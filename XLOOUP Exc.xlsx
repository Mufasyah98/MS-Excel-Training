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8_{5FD24A35-2E0E-4CC0-8555-7489A65DE3DF}" xr6:coauthVersionLast="47" xr6:coauthVersionMax="47" xr10:uidLastSave="{00000000-0000-0000-0000-000000000000}"/>
  <bookViews>
    <workbookView xWindow="-108" yWindow="-108" windowWidth="23256" windowHeight="12456" xr2:uid="{F79FB91A-2D2C-4C00-BCCD-CD1A8F043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4" i="1" l="1"/>
  <c r="E44" i="1" a="1"/>
  <c r="I43" i="1"/>
  <c r="E43" i="1"/>
  <c r="I42" i="1"/>
  <c r="E42" i="1" a="1"/>
  <c r="I41" i="1"/>
  <c r="E41" i="1"/>
  <c r="I40" i="1"/>
  <c r="E40" i="1"/>
  <c r="I39" i="1"/>
  <c r="E39" i="1"/>
  <c r="I38" i="1"/>
  <c r="E38" i="1"/>
  <c r="I37" i="1"/>
  <c r="E37" i="1"/>
  <c r="I36" i="1"/>
  <c r="E36" i="1"/>
  <c r="I35" i="1"/>
  <c r="E35" i="1"/>
  <c r="I34" i="1"/>
  <c r="E34" i="1" a="1"/>
  <c r="I33" i="1"/>
  <c r="E33" i="1"/>
  <c r="I32" i="1"/>
  <c r="E32" i="1"/>
  <c r="I31" i="1"/>
  <c r="E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<sst xmlns="http://schemas.openxmlformats.org/spreadsheetml/2006/main" count="172" uniqueCount="120">
  <si>
    <t>🧩 COMPLEX XLOOKUP MASTER EXERCISE</t>
  </si>
  <si>
    <t>Scenario: Use the product master and supporting tables to solve every challenge. Enter your attempt in column D, then compare it with the live solution.</t>
  </si>
  <si>
    <t>Syntax: XLOOKUP(lookup_value, lookup_array, return_array, [if_not_found], [match_mode], [search_mode])</t>
  </si>
  <si>
    <t>Argument</t>
  </si>
  <si>
    <t>Required?</t>
  </si>
  <si>
    <t>Purpose</t>
  </si>
  <si>
    <t>Common values / behavior</t>
  </si>
  <si>
    <t>lookup_value</t>
  </si>
  <si>
    <t>Yes</t>
  </si>
  <si>
    <t>Value or pattern to find</t>
  </si>
  <si>
    <t>Cell reference, text, number, or wildcard pattern</t>
  </si>
  <si>
    <t>lookup_array</t>
  </si>
  <si>
    <t>Single row or column searched</t>
  </si>
  <si>
    <t>Must align with return_array</t>
  </si>
  <si>
    <t>return_array</t>
  </si>
  <si>
    <t>Range returned when a match is found</t>
  </si>
  <si>
    <t>Can contain one or multiple columns/rows</t>
  </si>
  <si>
    <t>if_not_found</t>
  </si>
  <si>
    <t>No</t>
  </si>
  <si>
    <t>Friendly result when no match exists</t>
  </si>
  <si>
    <t>Text, blank, or another formula</t>
  </si>
  <si>
    <t>match_mode</t>
  </si>
  <si>
    <t>Controls how a match is chosen</t>
  </si>
  <si>
    <t>0 exact; -1 exact/next smaller; 1 exact/next larger; 2 wildcard</t>
  </si>
  <si>
    <t>search_mode</t>
  </si>
  <si>
    <t>Controls search direction/algorithm</t>
  </si>
  <si>
    <t>1 first-to-last; -1 last-to-first; 2 binary ascending; -2 binary descending</t>
  </si>
  <si>
    <t>SKU</t>
  </si>
  <si>
    <t>Product</t>
  </si>
  <si>
    <t>Category</t>
  </si>
  <si>
    <t>Supplier</t>
  </si>
  <si>
    <t>Price</t>
  </si>
  <si>
    <t>Stock</t>
  </si>
  <si>
    <t>Last Updated</t>
  </si>
  <si>
    <t>Min Spend</t>
  </si>
  <si>
    <t>Discount</t>
  </si>
  <si>
    <t>SKU ↓</t>
  </si>
  <si>
    <t>P001</t>
  </si>
  <si>
    <t>Laptop</t>
  </si>
  <si>
    <t>Electronics</t>
  </si>
  <si>
    <t>Apex Tech</t>
  </si>
  <si>
    <t>P011</t>
  </si>
  <si>
    <t>Headset</t>
  </si>
  <si>
    <t>P002</t>
  </si>
  <si>
    <t>Mouse</t>
  </si>
  <si>
    <t>ByteWorks</t>
  </si>
  <si>
    <t>P010</t>
  </si>
  <si>
    <t>Printer</t>
  </si>
  <si>
    <t>P003</t>
  </si>
  <si>
    <t>Desk Chair</t>
  </si>
  <si>
    <t>Furniture</t>
  </si>
  <si>
    <t>Comfort Co</t>
  </si>
  <si>
    <t>P009</t>
  </si>
  <si>
    <t>Tablet</t>
  </si>
  <si>
    <t>P004</t>
  </si>
  <si>
    <t>Monitor</t>
  </si>
  <si>
    <t>Vision Ltd</t>
  </si>
  <si>
    <t>P008</t>
  </si>
  <si>
    <t>Filing Cabinet</t>
  </si>
  <si>
    <t>Monitor Pro</t>
  </si>
  <si>
    <t>P007</t>
  </si>
  <si>
    <t>Webcam</t>
  </si>
  <si>
    <t>P005</t>
  </si>
  <si>
    <t>Keyboard</t>
  </si>
  <si>
    <t>P006</t>
  </si>
  <si>
    <t>Standing Desk</t>
  </si>
  <si>
    <t>ErgoWorks</t>
  </si>
  <si>
    <t>Max Weight</t>
  </si>
  <si>
    <t>Shipping Tier</t>
  </si>
  <si>
    <t>Letter</t>
  </si>
  <si>
    <t>Office</t>
  </si>
  <si>
    <t>StoreRight</t>
  </si>
  <si>
    <t>Small</t>
  </si>
  <si>
    <t>Medium</t>
  </si>
  <si>
    <t>PrintMax</t>
  </si>
  <si>
    <t>Large</t>
  </si>
  <si>
    <t>SoundPro</t>
  </si>
  <si>
    <t>Freight</t>
  </si>
  <si>
    <t>Region</t>
  </si>
  <si>
    <t>North</t>
  </si>
  <si>
    <t>South</t>
  </si>
  <si>
    <t>East</t>
  </si>
  <si>
    <t>West</t>
  </si>
  <si>
    <t>Revenue</t>
  </si>
  <si>
    <t>No.</t>
  </si>
  <si>
    <t>Challenge</t>
  </si>
  <si>
    <t>Lookup Input</t>
  </si>
  <si>
    <t>Your Formula</t>
  </si>
  <si>
    <t>Live Solution / Spill</t>
  </si>
  <si>
    <t>Argument Focus</t>
  </si>
  <si>
    <t>Formula Used</t>
  </si>
  <si>
    <t>Default exact match: return Product by SKU</t>
  </si>
  <si>
    <t>Required arguments; default exact</t>
  </si>
  <si>
    <t>Missing SKU: show a friendly message</t>
  </si>
  <si>
    <t>P999</t>
  </si>
  <si>
    <t>Left lookup: return SKU from Product</t>
  </si>
  <si>
    <t>Lookup direction is unrestricted</t>
  </si>
  <si>
    <t>Return Product, Category, and Supplier</t>
  </si>
  <si>
    <t>Multi-column return_array</t>
  </si>
  <si>
    <t>Discount for spend using next smaller tier</t>
  </si>
  <si>
    <t>match_mode = -1</t>
  </si>
  <si>
    <t>Shipping tier using next larger weight</t>
  </si>
  <si>
    <t>match_mode = 1</t>
  </si>
  <si>
    <t>Find SKU using a wildcard product pattern</t>
  </si>
  <si>
    <t>*Chair*</t>
  </si>
  <si>
    <t>match_mode = 2</t>
  </si>
  <si>
    <t>Return latest Product for duplicate SKU</t>
  </si>
  <si>
    <t>search_mode = -1</t>
  </si>
  <si>
    <t>Binary search on ascending SKU list</t>
  </si>
  <si>
    <t>search_mode = 2</t>
  </si>
  <si>
    <t>Binary search on descending SKU list</t>
  </si>
  <si>
    <t>search_mode = -2</t>
  </si>
  <si>
    <t>Horizontal lookup: revenue by Region</t>
  </si>
  <si>
    <t>Horizontal lookup_array</t>
  </si>
  <si>
    <t>Two-way lookup: Price for selected SKU</t>
  </si>
  <si>
    <t>Nested XLOOKUP selects return column</t>
  </si>
  <si>
    <t>Full signature: first Product for duplicate SKU</t>
  </si>
  <si>
    <t>match_mode = 0; search_mode = 1</t>
  </si>
  <si>
    <t>Case-sensitive Product lookup with EXACT</t>
  </si>
  <si>
    <t>Advanced case-sensitive array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</si>
</sst>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6" x14ac:knownFonts="1">
    <font>
      <sz val="11"/>
      <color theme="1"/>
      <name val="Aptos Narrow"/>
      <family val="2"/>
      <scheme val="minor"/>
    </font>
    <font>
      <b/>
      <sz val="18"/>
      <color rgb="FFFFFFFF"/>
      <name val="Aptos"/>
      <family val="2"/>
    </font>
    <font>
      <sz val="10"/>
      <color theme="1"/>
      <name val="Aptos"/>
      <family val="2"/>
    </font>
    <font>
      <sz val="10"/>
      <color rgb="FF17365D"/>
      <name val="Aptos"/>
      <family val="2"/>
    </font>
    <font>
      <b/>
      <sz val="10"/>
      <color theme="1"/>
      <name val="Aptos"/>
      <family val="2"/>
    </font>
    <font>
      <b/>
      <sz val="10"/>
      <color rgb="FFFFFFFF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wrapText="1"/>
    </xf>
    <xf numFmtId="0" fontId="4" fillId="4" borderId="0" xfId="0" applyFont="1" applyFill="1"/>
    <xf numFmtId="0" fontId="5" fillId="5" borderId="0" xfId="0" applyFont="1" applyFill="1"/>
    <xf numFmtId="0" fontId="5" fillId="6" borderId="0" xfId="0" applyFont="1" applyFill="1"/>
    <xf numFmtId="164" fontId="2" fillId="0" borderId="0" xfId="0" applyNumberFormat="1" applyFont="1"/>
    <xf numFmtId="14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horizontal="center"/>
    </xf>
    <xf numFmtId="0" fontId="2" fillId="7" borderId="0" xfId="0" applyFont="1" applyFill="1"/>
    <xf numFmtId="0" fontId="2" fillId="4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 applyAlignment="1">
      <alignment wrapText="1"/>
    </xf>
    <xf numFmtId="9" fontId="2" fillId="8" borderId="0" xfId="0" applyNumberFormat="1" applyFont="1" applyFill="1"/>
    <xf numFmtId="164" fontId="2" fillId="8" borderId="0" xfId="0" applyNumberFormat="1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7" borderId="1" xfId="0" applyFont="1" applyFill="1" applyBorder="1"/>
    <xf numFmtId="0" fontId="2" fillId="4" borderId="1" xfId="0" applyFont="1" applyFill="1" applyBorder="1"/>
    <xf numFmtId="164" fontId="2" fillId="8" borderId="1" xfId="0" applyNumberFormat="1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B085-D88B-4310-A566-B0D42ADF1DC6}">
  <dimension ref="A1:N44"/>
  <sheetViews>
    <sheetView tabSelected="1" workbookViewId="0">
      <selection sqref="A1:P46"/>
    </sheetView>
  </sheetViews>
  <sheetFormatPr defaultRowHeight="14.4" x14ac:dyDescent="0.3"/>
  <sheetData>
    <row r="1" spans="1:14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</row>
    <row r="2" spans="1:14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5" t="s">
        <v>3</v>
      </c>
      <c r="B6" s="5" t="s">
        <v>4</v>
      </c>
      <c r="C6" s="5" t="s">
        <v>5</v>
      </c>
      <c r="D6" s="5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 t="s">
        <v>7</v>
      </c>
      <c r="B7" s="2" t="s">
        <v>8</v>
      </c>
      <c r="C7" s="2" t="s">
        <v>9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 t="s">
        <v>11</v>
      </c>
      <c r="B8" s="2" t="s">
        <v>8</v>
      </c>
      <c r="C8" s="2" t="s">
        <v>12</v>
      </c>
      <c r="D8" s="2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 t="s">
        <v>14</v>
      </c>
      <c r="B9" s="2" t="s">
        <v>8</v>
      </c>
      <c r="C9" s="2" t="s">
        <v>15</v>
      </c>
      <c r="D9" s="2" t="s">
        <v>16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 t="s">
        <v>17</v>
      </c>
      <c r="B10" s="2" t="s">
        <v>18</v>
      </c>
      <c r="C10" s="2" t="s">
        <v>19</v>
      </c>
      <c r="D10" s="2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 t="s">
        <v>21</v>
      </c>
      <c r="B11" s="2" t="s">
        <v>18</v>
      </c>
      <c r="C11" s="2" t="s">
        <v>22</v>
      </c>
      <c r="D11" s="2" t="s">
        <v>23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 t="s">
        <v>24</v>
      </c>
      <c r="B12" s="2" t="s">
        <v>18</v>
      </c>
      <c r="C12" s="2" t="s">
        <v>25</v>
      </c>
      <c r="D12" s="2" t="s">
        <v>26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32</v>
      </c>
      <c r="G14" s="6" t="s">
        <v>33</v>
      </c>
      <c r="H14" s="2"/>
      <c r="I14" s="2"/>
      <c r="J14" s="6" t="s">
        <v>34</v>
      </c>
      <c r="K14" s="6" t="s">
        <v>35</v>
      </c>
      <c r="L14" s="2"/>
      <c r="M14" s="6" t="s">
        <v>36</v>
      </c>
      <c r="N14" s="6" t="s">
        <v>28</v>
      </c>
    </row>
    <row r="15" spans="1:14" x14ac:dyDescent="0.3">
      <c r="A15" s="2" t="s">
        <v>37</v>
      </c>
      <c r="B15" s="2" t="s">
        <v>38</v>
      </c>
      <c r="C15" s="2" t="s">
        <v>39</v>
      </c>
      <c r="D15" s="2" t="s">
        <v>40</v>
      </c>
      <c r="E15" s="7">
        <v>999.99</v>
      </c>
      <c r="F15" s="2">
        <v>45</v>
      </c>
      <c r="G15" s="8">
        <v>46270</v>
      </c>
      <c r="H15" s="2"/>
      <c r="I15" s="2"/>
      <c r="J15" s="2">
        <v>0</v>
      </c>
      <c r="K15" s="9">
        <v>0</v>
      </c>
      <c r="L15" s="2"/>
      <c r="M15" s="2" t="s">
        <v>41</v>
      </c>
      <c r="N15" s="2" t="s">
        <v>42</v>
      </c>
    </row>
    <row r="16" spans="1:14" x14ac:dyDescent="0.3">
      <c r="A16" s="2" t="s">
        <v>43</v>
      </c>
      <c r="B16" s="2" t="s">
        <v>44</v>
      </c>
      <c r="C16" s="2" t="s">
        <v>39</v>
      </c>
      <c r="D16" s="2" t="s">
        <v>45</v>
      </c>
      <c r="E16" s="7">
        <v>29.99</v>
      </c>
      <c r="F16" s="2">
        <v>150</v>
      </c>
      <c r="G16" s="8">
        <v>46221</v>
      </c>
      <c r="H16" s="2"/>
      <c r="I16" s="2"/>
      <c r="J16" s="2">
        <v>100</v>
      </c>
      <c r="K16" s="9">
        <v>0.02</v>
      </c>
      <c r="L16" s="2"/>
      <c r="M16" s="2" t="s">
        <v>46</v>
      </c>
      <c r="N16" s="2" t="s">
        <v>47</v>
      </c>
    </row>
    <row r="17" spans="1:14" x14ac:dyDescent="0.3">
      <c r="A17" s="2" t="s">
        <v>48</v>
      </c>
      <c r="B17" s="2" t="s">
        <v>49</v>
      </c>
      <c r="C17" s="2" t="s">
        <v>50</v>
      </c>
      <c r="D17" s="2" t="s">
        <v>51</v>
      </c>
      <c r="E17" s="7">
        <v>249.99</v>
      </c>
      <c r="F17" s="2">
        <v>30</v>
      </c>
      <c r="G17" s="8">
        <v>46256</v>
      </c>
      <c r="H17" s="2"/>
      <c r="I17" s="2"/>
      <c r="J17" s="2">
        <v>250</v>
      </c>
      <c r="K17" s="9">
        <v>0.05</v>
      </c>
      <c r="L17" s="2"/>
      <c r="M17" s="2" t="s">
        <v>52</v>
      </c>
      <c r="N17" s="2" t="s">
        <v>53</v>
      </c>
    </row>
    <row r="18" spans="1:14" x14ac:dyDescent="0.3">
      <c r="A18" s="2" t="s">
        <v>54</v>
      </c>
      <c r="B18" s="2" t="s">
        <v>55</v>
      </c>
      <c r="C18" s="2" t="s">
        <v>39</v>
      </c>
      <c r="D18" s="2" t="s">
        <v>56</v>
      </c>
      <c r="E18" s="7">
        <v>349.99</v>
      </c>
      <c r="F18" s="2">
        <v>60</v>
      </c>
      <c r="G18" s="8">
        <v>46249</v>
      </c>
      <c r="H18" s="2"/>
      <c r="I18" s="2"/>
      <c r="J18" s="2">
        <v>500</v>
      </c>
      <c r="K18" s="9">
        <v>0.08</v>
      </c>
      <c r="L18" s="2"/>
      <c r="M18" s="2" t="s">
        <v>57</v>
      </c>
      <c r="N18" s="2" t="s">
        <v>58</v>
      </c>
    </row>
    <row r="19" spans="1:14" x14ac:dyDescent="0.3">
      <c r="A19" s="2" t="s">
        <v>54</v>
      </c>
      <c r="B19" s="2" t="s">
        <v>59</v>
      </c>
      <c r="C19" s="2" t="s">
        <v>39</v>
      </c>
      <c r="D19" s="2" t="s">
        <v>56</v>
      </c>
      <c r="E19" s="7">
        <v>399.99</v>
      </c>
      <c r="F19" s="2">
        <v>25</v>
      </c>
      <c r="G19" s="8">
        <v>46305</v>
      </c>
      <c r="H19" s="2"/>
      <c r="I19" s="2"/>
      <c r="J19" s="2">
        <v>1000</v>
      </c>
      <c r="K19" s="9">
        <v>0.12</v>
      </c>
      <c r="L19" s="2"/>
      <c r="M19" s="2" t="s">
        <v>60</v>
      </c>
      <c r="N19" s="2" t="s">
        <v>61</v>
      </c>
    </row>
    <row r="20" spans="1:14" x14ac:dyDescent="0.3">
      <c r="A20" s="2" t="s">
        <v>62</v>
      </c>
      <c r="B20" s="2" t="s">
        <v>63</v>
      </c>
      <c r="C20" s="2" t="s">
        <v>39</v>
      </c>
      <c r="D20" s="2" t="s">
        <v>45</v>
      </c>
      <c r="E20" s="7">
        <v>79.989999999999995</v>
      </c>
      <c r="F20" s="2">
        <v>100</v>
      </c>
      <c r="G20" s="8">
        <v>46233</v>
      </c>
      <c r="H20" s="2"/>
      <c r="I20" s="2"/>
      <c r="J20" s="2"/>
      <c r="K20" s="2"/>
      <c r="L20" s="2"/>
      <c r="M20" s="2" t="s">
        <v>64</v>
      </c>
      <c r="N20" s="2" t="s">
        <v>65</v>
      </c>
    </row>
    <row r="21" spans="1:14" x14ac:dyDescent="0.3">
      <c r="A21" s="2" t="s">
        <v>64</v>
      </c>
      <c r="B21" s="2" t="s">
        <v>65</v>
      </c>
      <c r="C21" s="2" t="s">
        <v>50</v>
      </c>
      <c r="D21" s="2" t="s">
        <v>66</v>
      </c>
      <c r="E21" s="7">
        <v>549.99</v>
      </c>
      <c r="F21" s="2">
        <v>18</v>
      </c>
      <c r="G21" s="8">
        <v>46277</v>
      </c>
      <c r="H21" s="2"/>
      <c r="I21" s="2"/>
      <c r="J21" s="6" t="s">
        <v>67</v>
      </c>
      <c r="K21" s="6" t="s">
        <v>68</v>
      </c>
      <c r="L21" s="2"/>
      <c r="M21" s="2" t="s">
        <v>62</v>
      </c>
      <c r="N21" s="2" t="s">
        <v>63</v>
      </c>
    </row>
    <row r="22" spans="1:14" x14ac:dyDescent="0.3">
      <c r="A22" s="2" t="s">
        <v>60</v>
      </c>
      <c r="B22" s="2" t="s">
        <v>61</v>
      </c>
      <c r="C22" s="2" t="s">
        <v>39</v>
      </c>
      <c r="D22" s="2" t="s">
        <v>40</v>
      </c>
      <c r="E22" s="7">
        <v>89.99</v>
      </c>
      <c r="F22" s="2">
        <v>75</v>
      </c>
      <c r="G22" s="8">
        <v>46293</v>
      </c>
      <c r="H22" s="2"/>
      <c r="I22" s="2"/>
      <c r="J22" s="2">
        <v>1</v>
      </c>
      <c r="K22" s="2" t="s">
        <v>69</v>
      </c>
      <c r="L22" s="2"/>
      <c r="M22" s="2" t="s">
        <v>54</v>
      </c>
      <c r="N22" s="2" t="s">
        <v>59</v>
      </c>
    </row>
    <row r="23" spans="1:14" x14ac:dyDescent="0.3">
      <c r="A23" s="2" t="s">
        <v>57</v>
      </c>
      <c r="B23" s="2" t="s">
        <v>58</v>
      </c>
      <c r="C23" s="2" t="s">
        <v>70</v>
      </c>
      <c r="D23" s="2" t="s">
        <v>71</v>
      </c>
      <c r="E23" s="7">
        <v>189.99</v>
      </c>
      <c r="F23" s="2">
        <v>22</v>
      </c>
      <c r="G23" s="8">
        <v>46187</v>
      </c>
      <c r="H23" s="2"/>
      <c r="I23" s="2"/>
      <c r="J23" s="2">
        <v>5</v>
      </c>
      <c r="K23" s="2" t="s">
        <v>72</v>
      </c>
      <c r="L23" s="2"/>
      <c r="M23" s="2" t="s">
        <v>48</v>
      </c>
      <c r="N23" s="2" t="s">
        <v>49</v>
      </c>
    </row>
    <row r="24" spans="1:14" x14ac:dyDescent="0.3">
      <c r="A24" s="2" t="s">
        <v>52</v>
      </c>
      <c r="B24" s="2" t="s">
        <v>53</v>
      </c>
      <c r="C24" s="2" t="s">
        <v>39</v>
      </c>
      <c r="D24" s="2" t="s">
        <v>40</v>
      </c>
      <c r="E24" s="7">
        <v>499.99</v>
      </c>
      <c r="F24" s="2">
        <v>40</v>
      </c>
      <c r="G24" s="8">
        <v>46296</v>
      </c>
      <c r="H24" s="2"/>
      <c r="I24" s="2"/>
      <c r="J24" s="2">
        <v>10</v>
      </c>
      <c r="K24" s="2" t="s">
        <v>73</v>
      </c>
      <c r="L24" s="2"/>
      <c r="M24" s="2" t="s">
        <v>43</v>
      </c>
      <c r="N24" s="2" t="s">
        <v>44</v>
      </c>
    </row>
    <row r="25" spans="1:14" x14ac:dyDescent="0.3">
      <c r="A25" s="2" t="s">
        <v>46</v>
      </c>
      <c r="B25" s="2" t="s">
        <v>47</v>
      </c>
      <c r="C25" s="2" t="s">
        <v>70</v>
      </c>
      <c r="D25" s="2" t="s">
        <v>74</v>
      </c>
      <c r="E25" s="7">
        <v>219.99</v>
      </c>
      <c r="F25" s="2">
        <v>35</v>
      </c>
      <c r="G25" s="8">
        <v>46242</v>
      </c>
      <c r="H25" s="2"/>
      <c r="I25" s="2"/>
      <c r="J25" s="2">
        <v>20</v>
      </c>
      <c r="K25" s="2" t="s">
        <v>75</v>
      </c>
      <c r="L25" s="2"/>
      <c r="M25" s="2" t="s">
        <v>37</v>
      </c>
      <c r="N25" s="2" t="s">
        <v>38</v>
      </c>
    </row>
    <row r="26" spans="1:14" x14ac:dyDescent="0.3">
      <c r="A26" s="2" t="s">
        <v>41</v>
      </c>
      <c r="B26" s="2" t="s">
        <v>42</v>
      </c>
      <c r="C26" s="2" t="s">
        <v>39</v>
      </c>
      <c r="D26" s="2" t="s">
        <v>76</v>
      </c>
      <c r="E26" s="7">
        <v>119.99</v>
      </c>
      <c r="F26" s="2">
        <v>65</v>
      </c>
      <c r="G26" s="8">
        <v>46284</v>
      </c>
      <c r="H26" s="2"/>
      <c r="I26" s="2"/>
      <c r="J26" s="2">
        <v>50</v>
      </c>
      <c r="K26" s="2" t="s">
        <v>77</v>
      </c>
      <c r="L26" s="2"/>
      <c r="M26" s="2"/>
      <c r="N26" s="2"/>
    </row>
    <row r="27" spans="1:1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2"/>
      <c r="B28" s="2"/>
      <c r="C28" s="2"/>
      <c r="D28" s="2"/>
      <c r="E28" s="2"/>
      <c r="F28" s="2"/>
      <c r="G28" s="2"/>
      <c r="H28" s="2"/>
      <c r="I28" s="2"/>
      <c r="J28" s="6" t="s">
        <v>78</v>
      </c>
      <c r="K28" s="6" t="s">
        <v>79</v>
      </c>
      <c r="L28" s="6" t="s">
        <v>80</v>
      </c>
      <c r="M28" s="6" t="s">
        <v>81</v>
      </c>
      <c r="N28" s="6" t="s">
        <v>82</v>
      </c>
    </row>
    <row r="29" spans="1:14" x14ac:dyDescent="0.3">
      <c r="A29" s="2"/>
      <c r="B29" s="2"/>
      <c r="C29" s="2"/>
      <c r="D29" s="2"/>
      <c r="E29" s="2"/>
      <c r="F29" s="2"/>
      <c r="G29" s="2"/>
      <c r="H29" s="2"/>
      <c r="I29" s="2"/>
      <c r="J29" s="2" t="s">
        <v>83</v>
      </c>
      <c r="K29" s="7">
        <v>14200</v>
      </c>
      <c r="L29" s="7">
        <v>17650</v>
      </c>
      <c r="M29" s="7">
        <v>12950</v>
      </c>
      <c r="N29" s="7">
        <v>15100</v>
      </c>
    </row>
    <row r="30" spans="1:14" x14ac:dyDescent="0.3">
      <c r="A30" s="6" t="s">
        <v>84</v>
      </c>
      <c r="B30" s="6" t="s">
        <v>85</v>
      </c>
      <c r="C30" s="6" t="s">
        <v>86</v>
      </c>
      <c r="D30" s="6" t="s">
        <v>87</v>
      </c>
      <c r="E30" s="6" t="s">
        <v>88</v>
      </c>
      <c r="F30" s="6"/>
      <c r="G30" s="6"/>
      <c r="H30" s="6" t="s">
        <v>89</v>
      </c>
      <c r="I30" s="6" t="s">
        <v>90</v>
      </c>
      <c r="J30" s="2"/>
      <c r="K30" s="2"/>
      <c r="L30" s="2"/>
      <c r="M30" s="2"/>
      <c r="N30" s="2"/>
    </row>
    <row r="31" spans="1:14" ht="82.8" x14ac:dyDescent="0.3">
      <c r="A31" s="10">
        <v>1</v>
      </c>
      <c r="B31" s="2" t="s">
        <v>91</v>
      </c>
      <c r="C31" s="11" t="s">
        <v>60</v>
      </c>
      <c r="D31" s="12"/>
      <c r="E31" s="13" t="e">
        <f>_xlfn.XLOOKUP(C31,$A$287:$A$298,$B$287:$B$298)</f>
        <v>#N/A</v>
      </c>
      <c r="F31" s="13"/>
      <c r="G31" s="13"/>
      <c r="H31" s="14" t="s">
        <v>92</v>
      </c>
      <c r="I31" s="15" t="str">
        <f ca="1">_xlfn.FORMULATEXT(E31)</f>
        <v>=XLOOKUP(C31,$A$287:$A$298,$B$287:$B$298)</v>
      </c>
      <c r="J31" s="2"/>
      <c r="K31" s="2"/>
      <c r="L31" s="2"/>
      <c r="M31" s="2"/>
      <c r="N31" s="2"/>
    </row>
    <row r="32" spans="1:14" ht="110.4" x14ac:dyDescent="0.3">
      <c r="A32" s="10">
        <v>2</v>
      </c>
      <c r="B32" s="2" t="s">
        <v>93</v>
      </c>
      <c r="C32" s="11" t="s">
        <v>94</v>
      </c>
      <c r="D32" s="12"/>
      <c r="E32" s="13" t="str">
        <f>_xlfn.XLOOKUP(C32,$A$287:$A$298,$B$287:$B$298,"SKU not found")</f>
        <v>SKU not found</v>
      </c>
      <c r="F32" s="13"/>
      <c r="G32" s="13"/>
      <c r="H32" s="14" t="s">
        <v>17</v>
      </c>
      <c r="I32" s="15" t="str">
        <f t="shared" ref="I32:I42" ca="1" si="0">_xlfn.FORMULATEXT(E32)</f>
        <v>=XLOOKUP(C32,$A$287:$A$298,$B$287:$B$298,"SKU not found")</v>
      </c>
      <c r="J32" s="2"/>
      <c r="K32" s="2"/>
      <c r="L32" s="2"/>
      <c r="M32" s="2"/>
      <c r="N32" s="2"/>
    </row>
    <row r="33" spans="1:14" ht="124.2" x14ac:dyDescent="0.3">
      <c r="A33" s="10">
        <v>3</v>
      </c>
      <c r="B33" s="2" t="s">
        <v>95</v>
      </c>
      <c r="C33" s="11" t="s">
        <v>49</v>
      </c>
      <c r="D33" s="12"/>
      <c r="E33" s="13" t="str">
        <f>_xlfn.XLOOKUP(C33,$B$287:$B$298,$A$287:$A$298,"Product not found")</f>
        <v>Product not found</v>
      </c>
      <c r="F33" s="13"/>
      <c r="G33" s="13"/>
      <c r="H33" s="14" t="s">
        <v>96</v>
      </c>
      <c r="I33" s="15" t="str">
        <f t="shared" ca="1" si="0"/>
        <v>=XLOOKUP(C33,$B$287:$B$298,$A$287:$A$298,"Product not found")</v>
      </c>
      <c r="J33" s="2"/>
      <c r="K33" s="2"/>
      <c r="L33" s="2"/>
      <c r="M33" s="2"/>
      <c r="N33" s="2"/>
    </row>
    <row r="34" spans="1:14" ht="110.4" x14ac:dyDescent="0.3">
      <c r="A34" s="10">
        <v>4</v>
      </c>
      <c r="B34" s="2" t="s">
        <v>97</v>
      </c>
      <c r="C34" s="11" t="s">
        <v>64</v>
      </c>
      <c r="D34" s="12"/>
      <c r="E34" s="13" t="str" cm="1">
        <f t="array" ref="E34">_xlfn.XLOOKUP(C34,$A$287:$A$298,$B$287:$D$298,"SKU not found")</f>
        <v>SKU not found</v>
      </c>
      <c r="F34" s="13"/>
      <c r="G34" s="13"/>
      <c r="H34" s="14" t="s">
        <v>98</v>
      </c>
      <c r="I34" s="15" t="str">
        <f t="shared" ca="1" si="0"/>
        <v>=XLOOKUP(C34,$A$287:$A$298,$B$287:$D$298,"SKU not found")</v>
      </c>
      <c r="J34" s="2"/>
      <c r="K34" s="2"/>
      <c r="L34" s="2"/>
      <c r="M34" s="2"/>
      <c r="N34" s="2"/>
    </row>
    <row r="35" spans="1:14" ht="96.6" x14ac:dyDescent="0.3">
      <c r="A35" s="10">
        <v>5</v>
      </c>
      <c r="B35" s="2" t="s">
        <v>99</v>
      </c>
      <c r="C35" s="11">
        <v>760</v>
      </c>
      <c r="D35" s="12"/>
      <c r="E35" s="16" t="str">
        <f>_xlfn.XLOOKUP(C35,$J$287:$J$291,$K$287:$K$291,"No tier",-1)</f>
        <v>No tier</v>
      </c>
      <c r="F35" s="13"/>
      <c r="G35" s="13"/>
      <c r="H35" s="14" t="s">
        <v>100</v>
      </c>
      <c r="I35" s="15" t="str">
        <f t="shared" ca="1" si="0"/>
        <v>=XLOOKUP(C35,$J$287:$J$291,$K$287:$K$291,"No tier",-1)</v>
      </c>
      <c r="J35" s="2"/>
      <c r="K35" s="2"/>
      <c r="L35" s="2"/>
      <c r="M35" s="2"/>
      <c r="N35" s="2"/>
    </row>
    <row r="36" spans="1:14" ht="110.4" x14ac:dyDescent="0.3">
      <c r="A36" s="10">
        <v>6</v>
      </c>
      <c r="B36" s="2" t="s">
        <v>101</v>
      </c>
      <c r="C36" s="11">
        <v>7.5</v>
      </c>
      <c r="D36" s="12"/>
      <c r="E36" s="13">
        <f>_xlfn.XLOOKUP(C36,$J$294:$J$298,$K$294:$K$298,"Over 50 kg",1)</f>
        <v>0</v>
      </c>
      <c r="F36" s="13"/>
      <c r="G36" s="13"/>
      <c r="H36" s="14" t="s">
        <v>102</v>
      </c>
      <c r="I36" s="15" t="str">
        <f t="shared" ca="1" si="0"/>
        <v>=XLOOKUP(C36,$J$294:$J$298,$K$294:$K$298,"Over 50 kg",1)</v>
      </c>
      <c r="J36" s="2"/>
      <c r="K36" s="2"/>
      <c r="L36" s="2"/>
      <c r="M36" s="2"/>
      <c r="N36" s="2"/>
    </row>
    <row r="37" spans="1:14" ht="124.2" x14ac:dyDescent="0.3">
      <c r="A37" s="10">
        <v>7</v>
      </c>
      <c r="B37" s="2" t="s">
        <v>103</v>
      </c>
      <c r="C37" s="11" t="s">
        <v>104</v>
      </c>
      <c r="D37" s="12"/>
      <c r="E37" s="13" t="str">
        <f>_xlfn.XLOOKUP(C37,$B$287:$B$298,$A$287:$A$298,"No match",2)</f>
        <v>No match</v>
      </c>
      <c r="F37" s="13"/>
      <c r="G37" s="13"/>
      <c r="H37" s="14" t="s">
        <v>105</v>
      </c>
      <c r="I37" s="15" t="str">
        <f t="shared" ca="1" si="0"/>
        <v>=XLOOKUP(C37,$B$287:$B$298,$A$287:$A$298,"No match",2)</v>
      </c>
      <c r="J37" s="2"/>
      <c r="K37" s="2"/>
      <c r="L37" s="2"/>
      <c r="M37" s="2"/>
      <c r="N37" s="2"/>
    </row>
    <row r="38" spans="1:14" ht="124.2" x14ac:dyDescent="0.3">
      <c r="A38" s="10">
        <v>8</v>
      </c>
      <c r="B38" s="2" t="s">
        <v>106</v>
      </c>
      <c r="C38" s="11" t="s">
        <v>54</v>
      </c>
      <c r="D38" s="12"/>
      <c r="E38" s="13" t="str">
        <f>_xlfn.XLOOKUP(C38,$A$287:$A$298,$B$287:$B$298,"SKU not found",0,-1)</f>
        <v>SKU not found</v>
      </c>
      <c r="F38" s="13"/>
      <c r="G38" s="13"/>
      <c r="H38" s="14" t="s">
        <v>107</v>
      </c>
      <c r="I38" s="15" t="str">
        <f t="shared" ca="1" si="0"/>
        <v>=XLOOKUP(C38,$A$287:$A$298,$B$287:$B$298,"SKU not found",0,-1)</v>
      </c>
      <c r="J38" s="2"/>
      <c r="K38" s="2"/>
      <c r="L38" s="2"/>
      <c r="M38" s="2"/>
      <c r="N38" s="2"/>
    </row>
    <row r="39" spans="1:14" ht="124.2" x14ac:dyDescent="0.3">
      <c r="A39" s="10">
        <v>9</v>
      </c>
      <c r="B39" s="2" t="s">
        <v>108</v>
      </c>
      <c r="C39" s="11" t="s">
        <v>52</v>
      </c>
      <c r="D39" s="12"/>
      <c r="E39" s="13" t="str">
        <f>_xlfn.XLOOKUP(C39,$A$287:$A$298,$B$287:$B$298,"SKU not found",0,2)</f>
        <v>SKU not found</v>
      </c>
      <c r="F39" s="13"/>
      <c r="G39" s="13"/>
      <c r="H39" s="14" t="s">
        <v>109</v>
      </c>
      <c r="I39" s="15" t="str">
        <f t="shared" ca="1" si="0"/>
        <v>=XLOOKUP(C39,$A$287:$A$298,$B$287:$B$298,"SKU not found",0,2)</v>
      </c>
      <c r="J39" s="2"/>
      <c r="K39" s="2"/>
      <c r="L39" s="2"/>
      <c r="M39" s="2"/>
      <c r="N39" s="2"/>
    </row>
    <row r="40" spans="1:14" ht="124.2" x14ac:dyDescent="0.3">
      <c r="A40" s="10">
        <v>10</v>
      </c>
      <c r="B40" s="2" t="s">
        <v>110</v>
      </c>
      <c r="C40" s="11" t="s">
        <v>43</v>
      </c>
      <c r="D40" s="12"/>
      <c r="E40" s="13" t="str">
        <f>_xlfn.XLOOKUP(C40,$M$287:$M$297,$N$287:$N$297,"SKU not found",0,-2)</f>
        <v>SKU not found</v>
      </c>
      <c r="F40" s="13"/>
      <c r="G40" s="13"/>
      <c r="H40" s="14" t="s">
        <v>111</v>
      </c>
      <c r="I40" s="15" t="str">
        <f t="shared" ca="1" si="0"/>
        <v>=XLOOKUP(C40,$M$287:$M$297,$N$287:$N$297,"SKU not found",0,-2)</v>
      </c>
      <c r="J40" s="2"/>
      <c r="K40" s="2"/>
      <c r="L40" s="2"/>
      <c r="M40" s="2"/>
      <c r="N40" s="2"/>
    </row>
    <row r="41" spans="1:14" ht="110.4" x14ac:dyDescent="0.3">
      <c r="A41" s="10">
        <v>11</v>
      </c>
      <c r="B41" s="2" t="s">
        <v>112</v>
      </c>
      <c r="C41" s="11" t="s">
        <v>81</v>
      </c>
      <c r="D41" s="12"/>
      <c r="E41" s="17" t="str">
        <f>_xlfn.XLOOKUP(C41,$K$300:$N$300,$K$301:$N$301,"Region not found")</f>
        <v>Region not found</v>
      </c>
      <c r="F41" s="13"/>
      <c r="G41" s="13"/>
      <c r="H41" s="14" t="s">
        <v>113</v>
      </c>
      <c r="I41" s="15" t="str">
        <f t="shared" ca="1" si="0"/>
        <v>=XLOOKUP(C41,$K$300:$N$300,$K$301:$N$301,"Region not found")</v>
      </c>
      <c r="J41" s="2"/>
      <c r="K41" s="2"/>
      <c r="L41" s="2"/>
      <c r="M41" s="2"/>
      <c r="N41" s="2"/>
    </row>
    <row r="42" spans="1:14" ht="165.6" x14ac:dyDescent="0.3">
      <c r="A42" s="18">
        <v>12</v>
      </c>
      <c r="B42" s="19" t="s">
        <v>114</v>
      </c>
      <c r="C42" s="20" t="s">
        <v>64</v>
      </c>
      <c r="D42" s="21"/>
      <c r="E42" s="22" t="e" cm="1">
        <f t="array" ref="E42">_xlfn.XLOOKUP(C42,$A$287:$A$298,_xlfn.XLOOKUP("Price",$A$286:$G$286,$A$287:$G$298),"SKU not found")</f>
        <v>#N/A</v>
      </c>
      <c r="F42" s="23"/>
      <c r="G42" s="23"/>
      <c r="H42" s="24" t="s">
        <v>115</v>
      </c>
      <c r="I42" s="25" t="str">
        <f t="shared" ca="1" si="0"/>
        <v>=XLOOKUP(C42,$A$287:$A$298,XLOOKUP("Price",$A$286:$G$286,$A$287:$G$298),"SKU not found")</v>
      </c>
      <c r="J42" s="2"/>
      <c r="K42" s="2"/>
      <c r="L42" s="2"/>
      <c r="M42" s="2"/>
      <c r="N42" s="2"/>
    </row>
    <row r="43" spans="1:14" ht="124.2" x14ac:dyDescent="0.3">
      <c r="A43" s="10">
        <v>13</v>
      </c>
      <c r="B43" s="2" t="s">
        <v>116</v>
      </c>
      <c r="C43" s="11" t="s">
        <v>54</v>
      </c>
      <c r="D43" s="12"/>
      <c r="E43" s="13" t="str">
        <f>_xlfn.XLOOKUP(C43,$A$287:$A$298,$B$287:$B$298,"SKU not found",0,1)</f>
        <v>SKU not found</v>
      </c>
      <c r="F43" s="13"/>
      <c r="G43" s="13"/>
      <c r="H43" s="14" t="s">
        <v>117</v>
      </c>
      <c r="I43" s="15" t="str">
        <f ca="1">_xlfn.FORMULATEXT(E43)</f>
        <v>=XLOOKUP(C43,$A$287:$A$298,$B$287:$B$298,"SKU not found",0,1)</v>
      </c>
    </row>
    <row r="44" spans="1:14" ht="165.6" x14ac:dyDescent="0.3">
      <c r="A44" s="10">
        <v>14</v>
      </c>
      <c r="B44" s="2" t="s">
        <v>118</v>
      </c>
      <c r="C44" s="11" t="s">
        <v>49</v>
      </c>
      <c r="D44" s="12"/>
      <c r="E44" s="13" t="str" cm="1">
        <f t="array" ref="E44">_xlfn.XLOOKUP(TRUE,EXACT(C44,$B$287:$B$298),$A$287:$A$298,"Case-sensitive match not found")</f>
        <v>Case-sensitive match not found</v>
      </c>
      <c r="F44" s="13"/>
      <c r="G44" s="13"/>
      <c r="H44" s="14" t="s">
        <v>119</v>
      </c>
      <c r="I44" s="15" t="str">
        <f ca="1">_xlfn.FORMULATEXT(E44)</f>
        <v>=XLOOKUP(TRUE,EXACT(C44,$B$287:$B$298),$A$287:$A$298,"Case-sensitive match not found")</v>
      </c>
    </row>
  </sheetData>
  <mergeCells count="3">
    <mergeCell ref="A1:I1"/>
    <mergeCell ref="A2:I2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2026-10-21T03:53:04Z</dcterms:created>
  <dcterms:modified xsi:type="dcterms:W3CDTF">2026-10-21T03:54:24Z</dcterms:modified>
</cp:coreProperties>
</file>