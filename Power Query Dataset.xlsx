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8_{23846415-0810-4E48-A45B-9D863E5E14AC}" xr6:coauthVersionLast="47" xr6:coauthVersionMax="47" xr10:uidLastSave="{00000000-0000-0000-0000-000000000000}"/>
  <bookViews>
    <workbookView xWindow="-108" yWindow="-108" windowWidth="23256" windowHeight="12456" xr2:uid="{8B76206D-361B-4BA1-8058-34F1D6288417}"/>
  </bookViews>
  <sheets>
    <sheet name="Case_Study" sheetId="7" r:id="rId1"/>
    <sheet name="M_Code_Tips" sheetId="11" r:id="rId2"/>
    <sheet name="Products" sheetId="2" r:id="rId3"/>
    <sheet name="Customers" sheetId="3" r:id="rId4"/>
    <sheet name="Suppliers" sheetId="4" r:id="rId5"/>
    <sheet name="Sal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" i="11" l="1" a="1"/>
  <c r="A23" i="11" s="1"/>
  <c r="A20" i="11" a="1"/>
  <c r="A20" i="11"/>
  <c r="A15" i="11" a="1"/>
  <c r="A15" i="11" s="1"/>
  <c r="A13" i="11" a="1"/>
  <c r="A6" i="11" a="1"/>
  <c r="A6" i="11" s="1"/>
  <c r="A13" i="11" a="1"/>
  <c r="A13" i="11" s="1"/>
  <c r="A17" i="11" a="1"/>
  <c r="A17" i="11" s="1"/>
  <c r="A22" i="11" a="1"/>
  <c r="A22" i="11" s="1"/>
  <c r="A28" i="11" a="1"/>
  <c r="A28" i="11" s="1"/>
  <c r="A33" i="11" a="1"/>
  <c r="A33" i="11" s="1"/>
  <c r="A13" i="1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<sst xmlns="http://schemas.openxmlformats.org/spreadsheetml/2006/main" count="287" uniqueCount="213">
  <si>
    <t>ProductID</t>
  </si>
  <si>
    <t>ProductName</t>
  </si>
  <si>
    <t>Category</t>
  </si>
  <si>
    <t>UnitPrice</t>
  </si>
  <si>
    <t>SupplierID</t>
  </si>
  <si>
    <t>P001</t>
  </si>
  <si>
    <t>Laptop Pro 15</t>
  </si>
  <si>
    <t>Electronics</t>
  </si>
  <si>
    <t>S001</t>
  </si>
  <si>
    <t>P002</t>
  </si>
  <si>
    <t>Wireless Mouse</t>
  </si>
  <si>
    <t>P003</t>
  </si>
  <si>
    <t>Office Chair</t>
  </si>
  <si>
    <t>Furniture</t>
  </si>
  <si>
    <t>S002</t>
  </si>
  <si>
    <t>P004</t>
  </si>
  <si>
    <t>Standing Desk</t>
  </si>
  <si>
    <t>P005</t>
  </si>
  <si>
    <t>USB-C Hub</t>
  </si>
  <si>
    <t>P006</t>
  </si>
  <si>
    <t>Monitor 27"</t>
  </si>
  <si>
    <t>S003</t>
  </si>
  <si>
    <t>P007</t>
  </si>
  <si>
    <t>Keyboard Mechanical</t>
  </si>
  <si>
    <t>P008</t>
  </si>
  <si>
    <t>Desk Lamp</t>
  </si>
  <si>
    <t>P009</t>
  </si>
  <si>
    <t>Webcam HD</t>
  </si>
  <si>
    <t>P010</t>
  </si>
  <si>
    <t>Filing Cabinet</t>
  </si>
  <si>
    <t>CustomerID</t>
  </si>
  <si>
    <t>CustomerName</t>
  </si>
  <si>
    <t>Email</t>
  </si>
  <si>
    <t>Region</t>
  </si>
  <si>
    <t>JoinDate</t>
  </si>
  <si>
    <t>C001</t>
  </si>
  <si>
    <t>Acme Corp</t>
  </si>
  <si>
    <t>contact@acme.com</t>
  </si>
  <si>
    <t>North</t>
  </si>
  <si>
    <t>C002</t>
  </si>
  <si>
    <t>Tech Solutions</t>
  </si>
  <si>
    <t>info@techsol.com</t>
  </si>
  <si>
    <t>South</t>
  </si>
  <si>
    <t>C003</t>
  </si>
  <si>
    <t>Global Imports</t>
  </si>
  <si>
    <t>sales@globalimports.com</t>
  </si>
  <si>
    <t>East</t>
  </si>
  <si>
    <t>C004</t>
  </si>
  <si>
    <t>Quick Services</t>
  </si>
  <si>
    <t>admin@quickserv.com</t>
  </si>
  <si>
    <t>West</t>
  </si>
  <si>
    <t>C005</t>
  </si>
  <si>
    <t>Prime Industries</t>
  </si>
  <si>
    <t>hello@primeindustries.com</t>
  </si>
  <si>
    <t>C006</t>
  </si>
  <si>
    <t>Metro Supplies</t>
  </si>
  <si>
    <t>order@metrosupplies.com</t>
  </si>
  <si>
    <t>C007</t>
  </si>
  <si>
    <t>Valley Enterprises</t>
  </si>
  <si>
    <t>contact@valleyent.com</t>
  </si>
  <si>
    <t>C008</t>
  </si>
  <si>
    <t>Summit Group</t>
  </si>
  <si>
    <t>info@summitgrp.com</t>
  </si>
  <si>
    <t>SupplierName</t>
  </si>
  <si>
    <t>Country</t>
  </si>
  <si>
    <t>ContactPerson</t>
  </si>
  <si>
    <t>Phone</t>
  </si>
  <si>
    <t>TechWorld Distributors</t>
  </si>
  <si>
    <t>USA</t>
  </si>
  <si>
    <t>John Smith</t>
  </si>
  <si>
    <t>+1-555-0101</t>
  </si>
  <si>
    <t>Office Essentials Co.</t>
  </si>
  <si>
    <t>Canada</t>
  </si>
  <si>
    <t>Sarah Johnson</t>
  </si>
  <si>
    <t>+1-555-0202</t>
  </si>
  <si>
    <t>Global Electronics</t>
  </si>
  <si>
    <t>Japan</t>
  </si>
  <si>
    <t>Kenji Tanaka</t>
  </si>
  <si>
    <t>+81-3-5555-0303</t>
  </si>
  <si>
    <t>TransactionID</t>
  </si>
  <si>
    <t>OrderDate</t>
  </si>
  <si>
    <t>Quantity</t>
  </si>
  <si>
    <t>Discount%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</si>
  <si>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</si>
  <si>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</si>
  <si>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</si>
  <si>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</si>
  <si>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</si>
  <si>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</si>
  <si>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</si>
  <si>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</si>
  <si>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</si>
  <si>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</si>
  <si>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</si>
  <si>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</si>
  <si>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</si>
  <si>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</si>
  <si>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</si>
  <si>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</si>
  <si>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</si>
  <si>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</si>
  <si>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</si>
  <si>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</si>
  <si>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POWER QUERY CASE STUDY: RETAIL SALES DATA ANALYSIS</t>
  </si>
  <si>
    <t>📊 DATASET OVERVIEW</t>
  </si>
  <si>
    <t>You have 4 related tables to work with:</t>
  </si>
  <si>
    <t>TABLE</t>
  </si>
  <si>
    <t>DESCRIPTION</t>
  </si>
  <si>
    <t>KEY COLUMNS</t>
  </si>
  <si>
    <t>Products</t>
  </si>
  <si>
    <t>Product catalog with pricing</t>
  </si>
  <si>
    <t>ProductID, SupplierID</t>
  </si>
  <si>
    <t>Customers</t>
  </si>
  <si>
    <t>Customer information</t>
  </si>
  <si>
    <t>CustomerID, Region</t>
  </si>
  <si>
    <t>Suppliers</t>
  </si>
  <si>
    <t>Supplier details</t>
  </si>
  <si>
    <t>Sales</t>
  </si>
  <si>
    <t>Transaction records</t>
  </si>
  <si>
    <t>TransactionID, CustomerID, ProductID</t>
  </si>
  <si>
    <t>📋 EXERCISES</t>
  </si>
  <si>
    <t>EXERCISE 1: Basic Import &amp; Transform</t>
  </si>
  <si>
    <t>• Import Products table</t>
  </si>
  <si>
    <t>• Change UnitPrice to Currency type</t>
  </si>
  <si>
    <t>• Add 'PriceCategory' column: Budget (&lt;$100), Mid-Range ($100-$500), Premium (&gt;$500)</t>
  </si>
  <si>
    <t>EXERCISE 2: Merge Tables (Left Join)</t>
  </si>
  <si>
    <t>• Merge Products with Suppliers using SupplierID</t>
  </si>
  <si>
    <t>• Expand SupplierName and Country</t>
  </si>
  <si>
    <t>EXERCISE 3: Multi-Table Sales Report</t>
  </si>
  <si>
    <t>• Merge Sales → Products (get prices)</t>
  </si>
  <si>
    <t>• Merge Sales → Customers (get names/regions)</t>
  </si>
  <si>
    <t>• Add LineTotal = Quantity × UnitPrice × (1 - Discount%)</t>
  </si>
  <si>
    <t>EXERCISE 4: Append Queries</t>
  </si>
  <si>
    <t>• Create Q1 query (Jan-Mar sales)</t>
  </si>
  <si>
    <t>• Create Q2 query (Apr-Jun sales)</t>
  </si>
  <si>
    <t>• Append Q1 and Q2 together</t>
  </si>
  <si>
    <t>EXERCISE 5: Grouping &amp; Aggregation</t>
  </si>
  <si>
    <t>• Group by Region → Sum of Sales</t>
  </si>
  <si>
    <t>• Group by Category → Sum of Sales</t>
  </si>
  <si>
    <t>• Group by Month → Sales Trend</t>
  </si>
  <si>
    <t>EXERCISE 6: Pivot &amp; Unpivot</t>
  </si>
  <si>
    <t>• Pivot: Rows=Category, Cols=Region, Values=Sum(Sales)</t>
  </si>
  <si>
    <t>• Then Unpivot back to flat structure</t>
  </si>
  <si>
    <t>💡 TIPS</t>
  </si>
  <si>
    <t>• Check data types after import</t>
  </si>
  <si>
    <t>• Use 'Close &amp; Load To...' to control output</t>
  </si>
  <si>
    <t>• Name queries clearly (qry_ProductsWithSuppliers)</t>
  </si>
  <si>
    <t>• Use 'Only Create Connection' for intermediate queries</t>
  </si>
  <si>
    <t>🎯 LEARNING OUTCOMES</t>
  </si>
  <si>
    <t>✓ Import and transform Excel tables</t>
  </si>
  <si>
    <t>✓ Merge tables using different join types</t>
  </si>
  <si>
    <t>✓ Create calculated columns</t>
  </si>
  <si>
    <t>✓ Group and aggregate data</t>
  </si>
  <si>
    <t>✓ Pivot and unpivot data</t>
  </si>
  <si>
    <t>📐 DATA MODEL RELATIONSHIPS</t>
  </si>
  <si>
    <t>┌─────────────────┐</t>
  </si>
  <si>
    <t>│    SUPPLIERS    │</t>
  </si>
  <si>
    <t>│  SupplierID (PK)│</t>
  </si>
  <si>
    <t>└────────┬────────┘</t>
  </si>
  <si>
    <t xml:space="preserve">         │</t>
  </si>
  <si>
    <t xml:space="preserve">         │ 1:N</t>
  </si>
  <si>
    <t xml:space="preserve">         ▼</t>
  </si>
  <si>
    <t>┌─────────────────┐       ┌─────────────────┐</t>
  </si>
  <si>
    <t>│    PRODUCTS     │       │   CUSTOMERS     │</t>
  </si>
  <si>
    <t>│  ProductID (PK) │       │ CustomerID (PK) │</t>
  </si>
  <si>
    <t>│  SupplierID (FK)│       │     Region      │</t>
  </si>
  <si>
    <t>└────────┬────────┘       └────────┬────────┘</t>
  </si>
  <si>
    <t xml:space="preserve">         │                         │</t>
  </si>
  <si>
    <t xml:space="preserve">         │ 1:N                1:N  │</t>
  </si>
  <si>
    <t xml:space="preserve">         │      ┌─────────┐       │</t>
  </si>
  <si>
    <t xml:space="preserve">         └─────►│  SALES  │◄──────┘</t>
  </si>
  <si>
    <t xml:space="preserve">                │TransID  │</t>
  </si>
  <si>
    <t xml:space="preserve">                │ProdID(FK)│</t>
  </si>
  <si>
    <t xml:space="preserve">                │CustID(FK)│</t>
  </si>
  <si>
    <t xml:space="preserve">                └─────────┘</t>
  </si>
  <si>
    <t>PK = Primary Key</t>
  </si>
  <si>
    <t>FK = Foreign Key</t>
  </si>
  <si>
    <t>POWER QUERY M CODE EXAMPLES</t>
  </si>
  <si>
    <t>Use these as reference when completing exercises</t>
  </si>
  <si>
    <t>EXERCISE 1: Add PriceCategory Column</t>
  </si>
  <si>
    <t>M Code:</t>
  </si>
  <si>
    <t xml:space="preserve">    if [UnitPrice] &lt; 100 then "Budget"</t>
  </si>
  <si>
    <t xml:space="preserve">    else if [UnitPrice] &lt;= 500 then "Mid-Range"</t>
  </si>
  <si>
    <t xml:space="preserve">    else "Premium")</t>
  </si>
  <si>
    <t>EXERCISE 2: Merge with Suppliers</t>
  </si>
  <si>
    <t xml:space="preserve">    Suppliers, {"SupplierID"}, "Suppliers", JoinKind.LeftOuter)</t>
  </si>
  <si>
    <t>Then expand:</t>
  </si>
  <si>
    <t xml:space="preserve">    {"SupplierName", "Country"})</t>
  </si>
  <si>
    <t>EXERCISE 3: Calculate LineTotal</t>
  </si>
  <si>
    <t xml:space="preserve">    [Quantity] * [UnitPrice] * (1 - [#"Discount%"] / 100),</t>
  </si>
  <si>
    <t xml:space="preserve">    type number)</t>
  </si>
  <si>
    <t>EXERCISE 4: Filter by Date for Q1</t>
  </si>
  <si>
    <t xml:space="preserve">    Date.Month([OrderDate]) &gt;= 1 and Date.Month([OrderDate]) &lt;= 3)</t>
  </si>
  <si>
    <t>EXERCISE 5: Group by Region</t>
  </si>
  <si>
    <t xml:space="preserve">    {{"TotalSales", each List.Sum([LineTotal]), type number}})</t>
  </si>
  <si>
    <t>EXERCISE 6: Pivot Table</t>
  </si>
  <si>
    <t>POWER QUERY TIPS &amp; GETTING STARTED</t>
  </si>
  <si>
    <t>HOW TO START POWER QUERY:</t>
  </si>
  <si>
    <t>1. Click inside any table (Products, Customers, Suppliers, or Sales)</t>
  </si>
  <si>
    <t>2. Go to Data tab and click 'From Table/Range'</t>
  </si>
  <si>
    <t>3. Power Query Editor will open with your data</t>
  </si>
  <si>
    <t>4. Use Add Column and Transform ribbon tabs</t>
  </si>
  <si>
    <t>5. Click Close and Load when finished</t>
  </si>
  <si>
    <t>KEY OPERATIONS:</t>
  </si>
  <si>
    <t>- Add Column &gt; Custom Column: Create calculated fields</t>
  </si>
  <si>
    <t>- Add Column &gt; Conditional Column: IF/THEN logic</t>
  </si>
  <si>
    <t>- Transform &gt; Group By: Aggregate data</t>
  </si>
  <si>
    <t>MERGE TYPES:</t>
  </si>
  <si>
    <t>- Left Outer: All from left, matching from right</t>
  </si>
  <si>
    <t>- Inner: Only matching rows</t>
  </si>
  <si>
    <t>DATA TYPE TIPS:</t>
  </si>
  <si>
    <t>- Use Currency for price columns</t>
  </si>
  <si>
    <t>- Use Date for date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</si>
</sst>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2E75B6"/>
      <name val="Aptos Narrow"/>
      <family val="2"/>
      <scheme val="minor"/>
    </font>
    <font>
      <b/>
      <sz val="11"/>
      <color rgb="FFC65911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sz val="10"/>
      <color theme="1"/>
      <name val="Consolas"/>
      <family val="3"/>
    </font>
    <font>
      <b/>
      <sz val="11"/>
      <color rgb="FF7030A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4" fillId="0" borderId="0" xfId="0" applyFont="1"/>
    <xf numFmtId="0" fontId="1" fillId="7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8" borderId="0" xfId="0" applyFont="1" applyFill="1"/>
    <xf numFmtId="0" fontId="8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5B9BD5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ED7D3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70AD47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F642B-12B4-434D-836C-422224AB29F6}" name="Products" displayName="Products" ref="A1:E11" totalsRowShown="0" headerRowDxfId="5">
  <autoFilter ref="A1:E11" xr:uid="{AFEF642B-12B4-434D-836C-422224AB29F6}"/>
  <tableColumns count="5">
    <tableColumn id="1" xr3:uid="{71FB4D22-40BE-4A8F-9150-52821CD1128B}" name="ProductID"/>
    <tableColumn id="2" xr3:uid="{FB68F39D-69B6-4599-B403-EDE9B6E29574}" name="ProductName"/>
    <tableColumn id="3" xr3:uid="{21D7D44E-E515-4857-80FA-4186B527BFE0}" name="Category"/>
    <tableColumn id="4" xr3:uid="{F5C91FBB-1E4C-4ABB-80F2-2A1954C20EC0}" name="UnitPrice"/>
    <tableColumn id="5" xr3:uid="{76DF8DA8-0417-46F3-B40B-21C8174D5F50}" name="Supplier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744AC0-1053-49BB-B13E-16B8FCFD7C28}" name="Customers" displayName="Customers" ref="A1:E9" totalsRowShown="0" headerRowDxfId="3">
  <autoFilter ref="A1:E9" xr:uid="{E6744AC0-1053-49BB-B13E-16B8FCFD7C28}"/>
  <tableColumns count="5">
    <tableColumn id="1" xr3:uid="{D95642E5-9F53-4BF0-9DA9-6B87520E8845}" name="CustomerID"/>
    <tableColumn id="2" xr3:uid="{CAA97167-4CF8-49AC-87A1-2FFD2EB2CF9D}" name="CustomerName"/>
    <tableColumn id="3" xr3:uid="{B6343D77-B03F-4867-96FC-3A3516D826C2}" name="Email"/>
    <tableColumn id="4" xr3:uid="{FB1B3122-6C7F-45F8-9B08-E2FB12AAA6E8}" name="Region"/>
    <tableColumn id="5" xr3:uid="{D0488B10-61A4-4813-BA32-F3AEE8B7E165}" name="Join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00C860-D263-48D3-A46B-1D5A657DB3BC}" name="Suppliers" displayName="Suppliers" ref="A1:E4" totalsRowShown="0" headerRowDxfId="2">
  <autoFilter ref="A1:E4" xr:uid="{8000C860-D263-48D3-A46B-1D5A657DB3BC}"/>
  <tableColumns count="5">
    <tableColumn id="1" xr3:uid="{16C19502-798E-4AA7-84DC-0F5A873AB3E1}" name="SupplierID"/>
    <tableColumn id="2" xr3:uid="{1EB454D2-839C-4956-9902-8F6594B55372}" name="SupplierName"/>
    <tableColumn id="3" xr3:uid="{C996F057-6852-4AFB-AD0C-E5DB86F2B57D}" name="Country"/>
    <tableColumn id="4" xr3:uid="{D3D83A5E-0E5F-40A7-B5D1-2D405127CCE4}" name="ContactPerson"/>
    <tableColumn id="5" xr3:uid="{65B13E91-3A82-4BBD-9053-12E209F4AC3D}" name="Ph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5CF55C-F3D8-4233-96AA-A366A06FE900}" name="Sales" displayName="Sales" ref="A1:F21" totalsRowShown="0" headerRowDxfId="0">
  <autoFilter ref="A1:F21" xr:uid="{8A5CF55C-F3D8-4233-96AA-A366A06FE900}"/>
  <tableColumns count="6">
    <tableColumn id="1" xr3:uid="{248788F2-E210-46C2-9CCF-BDB4D93CEA61}" name="TransactionID"/>
    <tableColumn id="2" xr3:uid="{2C307640-7ADB-4FEC-AB4E-66FB06571724}" name="OrderDate" dataDxfId="1"/>
    <tableColumn id="3" xr3:uid="{C523E21B-C61F-4060-A7F6-6BF48BB9554D}" name="CustomerID"/>
    <tableColumn id="4" xr3:uid="{DEC44BE9-64C5-4169-B767-EAFD88C16094}" name="ProductID"/>
    <tableColumn id="5" xr3:uid="{1A81764C-80D0-4849-A230-FB52341E1391}" name="Quantity"/>
    <tableColumn id="6" xr3:uid="{6F3B72BD-4B67-49DE-A6A7-D806B1D7D084}" name="Discount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D524-6666-4714-9DB1-3D0920D7B032}">
  <dimension ref="A1:F53"/>
  <sheetViews>
    <sheetView tabSelected="1" workbookViewId="0">
      <selection activeCell="C15" sqref="C15"/>
    </sheetView>
  </sheetViews>
  <sheetFormatPr defaultRowHeight="14.4" x14ac:dyDescent="0.3"/>
  <cols>
    <col min="1" max="1" width="74.109375" customWidth="1"/>
    <col min="2" max="2" width="27.77734375" customWidth="1"/>
    <col min="3" max="3" width="33.33203125" customWidth="1"/>
    <col min="5" max="5" width="5.5546875" customWidth="1"/>
    <col min="6" max="6" width="51.88671875" customWidth="1"/>
  </cols>
  <sheetData>
    <row r="1" spans="1:6" ht="18" x14ac:dyDescent="0.35">
      <c r="A1" s="6" t="s">
        <v>103</v>
      </c>
      <c r="B1" s="6"/>
      <c r="C1" s="6"/>
      <c r="F1" s="10" t="s">
        <v>154</v>
      </c>
    </row>
    <row r="3" spans="1:6" x14ac:dyDescent="0.3">
      <c r="A3" s="7" t="s">
        <v>104</v>
      </c>
      <c r="F3" s="11" t="s">
        <v>155</v>
      </c>
    </row>
    <row r="4" spans="1:6" x14ac:dyDescent="0.3">
      <c r="A4" t="s">
        <v>105</v>
      </c>
      <c r="F4" s="11" t="s">
        <v>156</v>
      </c>
    </row>
    <row r="5" spans="1:6" x14ac:dyDescent="0.3">
      <c r="F5" s="11" t="s">
        <v>157</v>
      </c>
    </row>
    <row r="6" spans="1:6" x14ac:dyDescent="0.3">
      <c r="A6" s="8" t="s">
        <v>106</v>
      </c>
      <c r="B6" s="8" t="s">
        <v>107</v>
      </c>
      <c r="C6" s="8" t="s">
        <v>108</v>
      </c>
      <c r="F6" s="11" t="s">
        <v>158</v>
      </c>
    </row>
    <row r="7" spans="1:6" x14ac:dyDescent="0.3">
      <c r="A7" t="s">
        <v>109</v>
      </c>
      <c r="B7" t="s">
        <v>110</v>
      </c>
      <c r="C7" t="s">
        <v>111</v>
      </c>
      <c r="F7" s="11" t="s">
        <v>159</v>
      </c>
    </row>
    <row r="8" spans="1:6" x14ac:dyDescent="0.3">
      <c r="A8" t="s">
        <v>112</v>
      </c>
      <c r="B8" t="s">
        <v>113</v>
      </c>
      <c r="C8" t="s">
        <v>114</v>
      </c>
      <c r="F8" s="11" t="s">
        <v>160</v>
      </c>
    </row>
    <row r="9" spans="1:6" x14ac:dyDescent="0.3">
      <c r="A9" t="s">
        <v>115</v>
      </c>
      <c r="B9" t="s">
        <v>116</v>
      </c>
      <c r="C9" t="s">
        <v>4</v>
      </c>
      <c r="F9" s="11" t="s">
        <v>161</v>
      </c>
    </row>
    <row r="10" spans="1:6" x14ac:dyDescent="0.3">
      <c r="A10" t="s">
        <v>117</v>
      </c>
      <c r="B10" t="s">
        <v>118</v>
      </c>
      <c r="C10" t="s">
        <v>119</v>
      </c>
      <c r="F10" s="11" t="s">
        <v>162</v>
      </c>
    </row>
    <row r="11" spans="1:6" x14ac:dyDescent="0.3">
      <c r="F11" s="11" t="s">
        <v>163</v>
      </c>
    </row>
    <row r="12" spans="1:6" x14ac:dyDescent="0.3">
      <c r="A12" s="7" t="s">
        <v>120</v>
      </c>
      <c r="F12" s="11" t="s">
        <v>164</v>
      </c>
    </row>
    <row r="13" spans="1:6" x14ac:dyDescent="0.3">
      <c r="F13" s="11" t="s">
        <v>165</v>
      </c>
    </row>
    <row r="14" spans="1:6" x14ac:dyDescent="0.3">
      <c r="A14" s="9" t="s">
        <v>121</v>
      </c>
      <c r="F14" s="11" t="s">
        <v>166</v>
      </c>
    </row>
    <row r="15" spans="1:6" x14ac:dyDescent="0.3">
      <c r="A15" t="s">
        <v>122</v>
      </c>
      <c r="F15" s="11" t="s">
        <v>167</v>
      </c>
    </row>
    <row r="16" spans="1:6" x14ac:dyDescent="0.3">
      <c r="A16" t="s">
        <v>123</v>
      </c>
      <c r="F16" s="11" t="s">
        <v>168</v>
      </c>
    </row>
    <row r="17" spans="1:6" x14ac:dyDescent="0.3">
      <c r="A17" t="s">
        <v>124</v>
      </c>
      <c r="F17" s="11" t="s">
        <v>169</v>
      </c>
    </row>
    <row r="18" spans="1:6" x14ac:dyDescent="0.3">
      <c r="F18" s="11" t="s">
        <v>170</v>
      </c>
    </row>
    <row r="19" spans="1:6" x14ac:dyDescent="0.3">
      <c r="A19" s="9" t="s">
        <v>125</v>
      </c>
      <c r="F19" s="11" t="s">
        <v>171</v>
      </c>
    </row>
    <row r="20" spans="1:6" x14ac:dyDescent="0.3">
      <c r="A20" t="s">
        <v>126</v>
      </c>
      <c r="F20" s="11" t="s">
        <v>172</v>
      </c>
    </row>
    <row r="21" spans="1:6" x14ac:dyDescent="0.3">
      <c r="A21" t="s">
        <v>127</v>
      </c>
      <c r="F21" s="11" t="s">
        <v>173</v>
      </c>
    </row>
    <row r="22" spans="1:6" x14ac:dyDescent="0.3">
      <c r="F22" s="11" t="s">
        <v>174</v>
      </c>
    </row>
    <row r="23" spans="1:6" x14ac:dyDescent="0.3">
      <c r="A23" s="9" t="s">
        <v>128</v>
      </c>
      <c r="F23" s="11"/>
    </row>
    <row r="24" spans="1:6" x14ac:dyDescent="0.3">
      <c r="A24" t="s">
        <v>129</v>
      </c>
      <c r="F24" s="11" t="s">
        <v>175</v>
      </c>
    </row>
    <row r="25" spans="1:6" x14ac:dyDescent="0.3">
      <c r="A25" t="s">
        <v>130</v>
      </c>
      <c r="F25" s="11" t="s">
        <v>176</v>
      </c>
    </row>
    <row r="26" spans="1:6" x14ac:dyDescent="0.3">
      <c r="A26" t="s">
        <v>131</v>
      </c>
    </row>
    <row r="28" spans="1:6" x14ac:dyDescent="0.3">
      <c r="A28" s="9" t="s">
        <v>132</v>
      </c>
    </row>
    <row r="29" spans="1:6" x14ac:dyDescent="0.3">
      <c r="A29" t="s">
        <v>133</v>
      </c>
    </row>
    <row r="30" spans="1:6" x14ac:dyDescent="0.3">
      <c r="A30" t="s">
        <v>134</v>
      </c>
    </row>
    <row r="31" spans="1:6" x14ac:dyDescent="0.3">
      <c r="A31" t="s">
        <v>135</v>
      </c>
    </row>
    <row r="33" spans="1:1" x14ac:dyDescent="0.3">
      <c r="A33" s="9" t="s">
        <v>136</v>
      </c>
    </row>
    <row r="34" spans="1:1" x14ac:dyDescent="0.3">
      <c r="A34" t="s">
        <v>137</v>
      </c>
    </row>
    <row r="35" spans="1:1" x14ac:dyDescent="0.3">
      <c r="A35" t="s">
        <v>138</v>
      </c>
    </row>
    <row r="36" spans="1:1" x14ac:dyDescent="0.3">
      <c r="A36" t="s">
        <v>139</v>
      </c>
    </row>
    <row r="38" spans="1:1" x14ac:dyDescent="0.3">
      <c r="A38" s="9" t="s">
        <v>140</v>
      </c>
    </row>
    <row r="39" spans="1:1" x14ac:dyDescent="0.3">
      <c r="A39" t="s">
        <v>141</v>
      </c>
    </row>
    <row r="40" spans="1:1" x14ac:dyDescent="0.3">
      <c r="A40" t="s">
        <v>142</v>
      </c>
    </row>
    <row r="42" spans="1:1" x14ac:dyDescent="0.3">
      <c r="A42" s="7" t="s">
        <v>143</v>
      </c>
    </row>
    <row r="43" spans="1:1" x14ac:dyDescent="0.3">
      <c r="A43" t="s">
        <v>144</v>
      </c>
    </row>
    <row r="44" spans="1:1" x14ac:dyDescent="0.3">
      <c r="A44" t="s">
        <v>145</v>
      </c>
    </row>
    <row r="45" spans="1:1" x14ac:dyDescent="0.3">
      <c r="A45" t="s">
        <v>146</v>
      </c>
    </row>
    <row r="46" spans="1:1" x14ac:dyDescent="0.3">
      <c r="A46" t="s">
        <v>147</v>
      </c>
    </row>
    <row r="48" spans="1:1" x14ac:dyDescent="0.3">
      <c r="A48" s="7" t="s">
        <v>148</v>
      </c>
    </row>
    <row r="49" spans="1:1" x14ac:dyDescent="0.3">
      <c r="A49" t="s">
        <v>149</v>
      </c>
    </row>
    <row r="50" spans="1:1" x14ac:dyDescent="0.3">
      <c r="A50" t="s">
        <v>150</v>
      </c>
    </row>
    <row r="51" spans="1:1" x14ac:dyDescent="0.3">
      <c r="A51" t="s">
        <v>151</v>
      </c>
    </row>
    <row r="52" spans="1:1" x14ac:dyDescent="0.3">
      <c r="A52" t="s">
        <v>152</v>
      </c>
    </row>
    <row r="53" spans="1:1" x14ac:dyDescent="0.3">
      <c r="A53" t="s">
        <v>153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245A-81F8-4A99-92AE-48A7B3E36084}">
  <dimension ref="A1:A25"/>
  <sheetViews>
    <sheetView workbookViewId="0"/>
  </sheetViews>
  <sheetFormatPr defaultRowHeight="14.4" x14ac:dyDescent="0.3"/>
  <cols>
    <col min="1" max="1" width="70.33203125" customWidth="1"/>
  </cols>
  <sheetData>
    <row r="1" spans="1:1" ht="18" x14ac:dyDescent="0.35">
      <c r="A1" s="12" t="s">
        <v>196</v>
      </c>
    </row>
    <row r="3" spans="1:1" x14ac:dyDescent="0.3">
      <c r="A3" s="13" t="s">
        <v>197</v>
      </c>
    </row>
    <row r="4" spans="1:1" x14ac:dyDescent="0.3">
      <c r="A4" t="s">
        <v>198</v>
      </c>
    </row>
    <row r="5" spans="1:1" x14ac:dyDescent="0.3">
      <c r="A5" t="s">
        <v>199</v>
      </c>
    </row>
    <row r="6" spans="1:1" x14ac:dyDescent="0.3">
      <c r="A6" t="s">
        <v>200</v>
      </c>
    </row>
    <row r="7" spans="1:1" x14ac:dyDescent="0.3">
      <c r="A7" t="s">
        <v>201</v>
      </c>
    </row>
    <row r="8" spans="1:1" x14ac:dyDescent="0.3">
      <c r="A8" t="s">
        <v>202</v>
      </c>
    </row>
    <row r="10" spans="1:1" x14ac:dyDescent="0.3">
      <c r="A10" s="13" t="s">
        <v>203</v>
      </c>
    </row>
    <row r="11" spans="1:1" x14ac:dyDescent="0.3">
      <c r="A11" t="s">
        <v>204</v>
      </c>
    </row>
    <row r="12" spans="1:1" x14ac:dyDescent="0.3">
      <c r="A12" t="s">
        <v>205</v>
      </c>
    </row>
    <row r="13" spans="1:1" x14ac:dyDescent="0.3">
      <c r="A13" t="e" cm="1">
        <f t="array" ref="A13" ca="1">- Home &gt; Merge Queries: Join tables together</f>
        <v>#NAME?</v>
      </c>
    </row>
    <row r="14" spans="1:1" x14ac:dyDescent="0.3">
      <c r="A14" t="s">
        <v>206</v>
      </c>
    </row>
    <row r="15" spans="1:1" x14ac:dyDescent="0.3">
      <c r="A15" t="e" cm="1">
        <f t="array" ref="A15">- Transform &gt; Pivot/Unpivot: Reshape data</f>
        <v>#NAME?</v>
      </c>
    </row>
    <row r="17" spans="1:1" x14ac:dyDescent="0.3">
      <c r="A17" s="13" t="s">
        <v>207</v>
      </c>
    </row>
    <row r="18" spans="1:1" x14ac:dyDescent="0.3">
      <c r="A18" t="s">
        <v>208</v>
      </c>
    </row>
    <row r="19" spans="1:1" x14ac:dyDescent="0.3">
      <c r="A19" t="s">
        <v>209</v>
      </c>
    </row>
    <row r="20" spans="1:1" x14ac:dyDescent="0.3">
      <c r="A20" t="e" cm="1">
        <f t="array" ref="A20">- Full Outer: All from both tables</f>
        <v>#NAME?</v>
      </c>
    </row>
    <row r="22" spans="1:1" x14ac:dyDescent="0.3">
      <c r="A22" s="13" t="s">
        <v>210</v>
      </c>
    </row>
    <row r="23" spans="1:1" x14ac:dyDescent="0.3">
      <c r="A23" t="e" cm="1">
        <f t="array" ref="A23">- Always set correct data types after import</f>
        <v>#NAME?</v>
      </c>
    </row>
    <row r="24" spans="1:1" x14ac:dyDescent="0.3">
      <c r="A24" t="s">
        <v>211</v>
      </c>
    </row>
    <row r="25" spans="1:1" x14ac:dyDescent="0.3">
      <c r="A25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1DF7-73B8-4D60-8A20-311207CC4B28}">
  <dimension ref="A1:E11"/>
  <sheetViews>
    <sheetView workbookViewId="0"/>
  </sheetViews>
  <sheetFormatPr defaultRowHeight="14.4" x14ac:dyDescent="0.3"/>
  <cols>
    <col min="1" max="1" width="11.21875" customWidth="1"/>
    <col min="2" max="2" width="18.33203125" bestFit="1" customWidth="1"/>
    <col min="3" max="3" width="10.21875" customWidth="1"/>
    <col min="4" max="4" width="10.6640625" customWidth="1"/>
    <col min="5" max="5" width="11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1299.99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>
        <v>29.99</v>
      </c>
      <c r="E3" t="s">
        <v>8</v>
      </c>
    </row>
    <row r="4" spans="1:5" x14ac:dyDescent="0.3">
      <c r="A4" t="s">
        <v>11</v>
      </c>
      <c r="B4" t="s">
        <v>12</v>
      </c>
      <c r="C4" t="s">
        <v>13</v>
      </c>
      <c r="D4">
        <v>249.99</v>
      </c>
      <c r="E4" t="s">
        <v>14</v>
      </c>
    </row>
    <row r="5" spans="1:5" x14ac:dyDescent="0.3">
      <c r="A5" t="s">
        <v>15</v>
      </c>
      <c r="B5" t="s">
        <v>16</v>
      </c>
      <c r="C5" t="s">
        <v>13</v>
      </c>
      <c r="D5">
        <v>599.99</v>
      </c>
      <c r="E5" t="s">
        <v>14</v>
      </c>
    </row>
    <row r="6" spans="1:5" x14ac:dyDescent="0.3">
      <c r="A6" t="s">
        <v>17</v>
      </c>
      <c r="B6" t="s">
        <v>18</v>
      </c>
      <c r="C6" t="s">
        <v>7</v>
      </c>
      <c r="D6">
        <v>49.99</v>
      </c>
      <c r="E6" t="s">
        <v>8</v>
      </c>
    </row>
    <row r="7" spans="1:5" x14ac:dyDescent="0.3">
      <c r="A7" t="s">
        <v>19</v>
      </c>
      <c r="B7" t="s">
        <v>20</v>
      </c>
      <c r="C7" t="s">
        <v>7</v>
      </c>
      <c r="D7">
        <v>399.99</v>
      </c>
      <c r="E7" t="s">
        <v>21</v>
      </c>
    </row>
    <row r="8" spans="1:5" x14ac:dyDescent="0.3">
      <c r="A8" t="s">
        <v>22</v>
      </c>
      <c r="B8" t="s">
        <v>23</v>
      </c>
      <c r="C8" t="s">
        <v>7</v>
      </c>
      <c r="D8">
        <v>129.99</v>
      </c>
      <c r="E8" t="s">
        <v>8</v>
      </c>
    </row>
    <row r="9" spans="1:5" x14ac:dyDescent="0.3">
      <c r="A9" t="s">
        <v>24</v>
      </c>
      <c r="B9" t="s">
        <v>25</v>
      </c>
      <c r="C9" t="s">
        <v>13</v>
      </c>
      <c r="D9">
        <v>45.99</v>
      </c>
      <c r="E9" t="s">
        <v>14</v>
      </c>
    </row>
    <row r="10" spans="1:5" x14ac:dyDescent="0.3">
      <c r="A10" t="s">
        <v>26</v>
      </c>
      <c r="B10" t="s">
        <v>27</v>
      </c>
      <c r="C10" t="s">
        <v>7</v>
      </c>
      <c r="D10">
        <v>79.989999999999995</v>
      </c>
      <c r="E10" t="s">
        <v>21</v>
      </c>
    </row>
    <row r="11" spans="1:5" x14ac:dyDescent="0.3">
      <c r="A11" t="s">
        <v>28</v>
      </c>
      <c r="B11" t="s">
        <v>29</v>
      </c>
      <c r="C11" t="s">
        <v>13</v>
      </c>
      <c r="D11">
        <v>189.99</v>
      </c>
      <c r="E11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235B-4BC0-448C-9537-F9A5A5E98CB0}">
  <dimension ref="A1:E9"/>
  <sheetViews>
    <sheetView workbookViewId="0"/>
  </sheetViews>
  <sheetFormatPr defaultRowHeight="14.4" x14ac:dyDescent="0.3"/>
  <cols>
    <col min="1" max="1" width="12.77734375" customWidth="1"/>
    <col min="2" max="2" width="16" customWidth="1"/>
    <col min="3" max="3" width="23.5546875" bestFit="1" customWidth="1"/>
    <col min="4" max="4" width="8.44140625" customWidth="1"/>
    <col min="5" max="5" width="10.33203125" bestFit="1" customWidth="1"/>
  </cols>
  <sheetData>
    <row r="1" spans="1:5" x14ac:dyDescent="0.3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</row>
    <row r="2" spans="1:5" x14ac:dyDescent="0.3">
      <c r="A2" t="s">
        <v>35</v>
      </c>
      <c r="B2" t="s">
        <v>36</v>
      </c>
      <c r="C2" t="s">
        <v>37</v>
      </c>
      <c r="D2" t="s">
        <v>38</v>
      </c>
      <c r="E2" s="2">
        <v>44941</v>
      </c>
    </row>
    <row r="3" spans="1:5" x14ac:dyDescent="0.3">
      <c r="A3" t="s">
        <v>39</v>
      </c>
      <c r="B3" t="s">
        <v>40</v>
      </c>
      <c r="C3" t="s">
        <v>41</v>
      </c>
      <c r="D3" t="s">
        <v>42</v>
      </c>
      <c r="E3" s="2">
        <v>45007</v>
      </c>
    </row>
    <row r="4" spans="1:5" x14ac:dyDescent="0.3">
      <c r="A4" t="s">
        <v>43</v>
      </c>
      <c r="B4" t="s">
        <v>44</v>
      </c>
      <c r="C4" t="s">
        <v>45</v>
      </c>
      <c r="D4" t="s">
        <v>46</v>
      </c>
      <c r="E4" s="2">
        <v>44873</v>
      </c>
    </row>
    <row r="5" spans="1:5" x14ac:dyDescent="0.3">
      <c r="A5" t="s">
        <v>47</v>
      </c>
      <c r="B5" t="s">
        <v>48</v>
      </c>
      <c r="C5" t="s">
        <v>49</v>
      </c>
      <c r="D5" t="s">
        <v>50</v>
      </c>
      <c r="E5" s="2">
        <v>45107</v>
      </c>
    </row>
    <row r="6" spans="1:5" x14ac:dyDescent="0.3">
      <c r="A6" t="s">
        <v>51</v>
      </c>
      <c r="B6" t="s">
        <v>52</v>
      </c>
      <c r="C6" t="s">
        <v>53</v>
      </c>
      <c r="D6" t="s">
        <v>38</v>
      </c>
      <c r="E6" s="2">
        <v>44818</v>
      </c>
    </row>
    <row r="7" spans="1:5" x14ac:dyDescent="0.3">
      <c r="A7" t="s">
        <v>54</v>
      </c>
      <c r="B7" t="s">
        <v>55</v>
      </c>
      <c r="C7" t="s">
        <v>56</v>
      </c>
      <c r="D7" t="s">
        <v>42</v>
      </c>
      <c r="E7" s="2">
        <v>44985</v>
      </c>
    </row>
    <row r="8" spans="1:5" x14ac:dyDescent="0.3">
      <c r="A8" t="s">
        <v>57</v>
      </c>
      <c r="B8" t="s">
        <v>58</v>
      </c>
      <c r="C8" t="s">
        <v>59</v>
      </c>
      <c r="D8" t="s">
        <v>46</v>
      </c>
      <c r="E8" s="2">
        <v>45149</v>
      </c>
    </row>
    <row r="9" spans="1:5" x14ac:dyDescent="0.3">
      <c r="A9" t="s">
        <v>60</v>
      </c>
      <c r="B9" t="s">
        <v>61</v>
      </c>
      <c r="C9" t="s">
        <v>62</v>
      </c>
      <c r="D9" t="s">
        <v>50</v>
      </c>
      <c r="E9" s="2">
        <v>44900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BAAC-4FF0-4EDF-82ED-6A2B77C6EEC1}">
  <dimension ref="A1:E4"/>
  <sheetViews>
    <sheetView workbookViewId="0"/>
  </sheetViews>
  <sheetFormatPr defaultRowHeight="14.4" x14ac:dyDescent="0.3"/>
  <cols>
    <col min="1" max="1" width="11.77734375" customWidth="1"/>
    <col min="2" max="2" width="19.5546875" bestFit="1" customWidth="1"/>
    <col min="3" max="3" width="9.33203125" customWidth="1"/>
    <col min="4" max="4" width="15.109375" customWidth="1"/>
    <col min="5" max="5" width="15.109375" bestFit="1" customWidth="1"/>
  </cols>
  <sheetData>
    <row r="1" spans="1:5" x14ac:dyDescent="0.3">
      <c r="A1" s="4" t="s">
        <v>4</v>
      </c>
      <c r="B1" s="4" t="s">
        <v>63</v>
      </c>
      <c r="C1" s="4" t="s">
        <v>64</v>
      </c>
      <c r="D1" s="4" t="s">
        <v>65</v>
      </c>
      <c r="E1" s="4" t="s">
        <v>66</v>
      </c>
    </row>
    <row r="2" spans="1:5" x14ac:dyDescent="0.3">
      <c r="A2" t="s">
        <v>8</v>
      </c>
      <c r="B2" t="s">
        <v>67</v>
      </c>
      <c r="C2" t="s">
        <v>68</v>
      </c>
      <c r="D2" t="s">
        <v>69</v>
      </c>
      <c r="E2" t="s">
        <v>70</v>
      </c>
    </row>
    <row r="3" spans="1:5" x14ac:dyDescent="0.3">
      <c r="A3" t="s">
        <v>14</v>
      </c>
      <c r="B3" t="s">
        <v>71</v>
      </c>
      <c r="C3" t="s">
        <v>72</v>
      </c>
      <c r="D3" t="s">
        <v>73</v>
      </c>
      <c r="E3" t="s">
        <v>74</v>
      </c>
    </row>
    <row r="4" spans="1:5" x14ac:dyDescent="0.3">
      <c r="A4" t="s">
        <v>21</v>
      </c>
      <c r="B4" t="s">
        <v>75</v>
      </c>
      <c r="C4" t="s">
        <v>76</v>
      </c>
      <c r="D4" t="s">
        <v>77</v>
      </c>
      <c r="E4" t="s">
        <v>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AE05-990A-4F25-91A8-C099BEB55CFB}">
  <dimension ref="A1:F21"/>
  <sheetViews>
    <sheetView workbookViewId="0"/>
  </sheetViews>
  <sheetFormatPr defaultRowHeight="14.4" x14ac:dyDescent="0.3"/>
  <cols>
    <col min="1" max="1" width="14.33203125" customWidth="1"/>
    <col min="2" max="2" width="11.5546875" customWidth="1"/>
    <col min="3" max="3" width="12.77734375" customWidth="1"/>
    <col min="4" max="4" width="11.21875" customWidth="1"/>
    <col min="5" max="5" width="10" customWidth="1"/>
    <col min="6" max="6" width="11.77734375" customWidth="1"/>
  </cols>
  <sheetData>
    <row r="1" spans="1:6" x14ac:dyDescent="0.3">
      <c r="A1" s="5" t="s">
        <v>79</v>
      </c>
      <c r="B1" s="5" t="s">
        <v>80</v>
      </c>
      <c r="C1" s="5" t="s">
        <v>30</v>
      </c>
      <c r="D1" s="5" t="s">
        <v>0</v>
      </c>
      <c r="E1" s="5" t="s">
        <v>81</v>
      </c>
      <c r="F1" s="5" t="s">
        <v>82</v>
      </c>
    </row>
    <row r="2" spans="1:6" x14ac:dyDescent="0.3">
      <c r="A2" t="s">
        <v>83</v>
      </c>
      <c r="B2" s="2">
        <v>45296</v>
      </c>
      <c r="C2" t="s">
        <v>35</v>
      </c>
      <c r="D2" t="s">
        <v>5</v>
      </c>
      <c r="E2">
        <v>3</v>
      </c>
      <c r="F2">
        <v>5</v>
      </c>
    </row>
    <row r="3" spans="1:6" x14ac:dyDescent="0.3">
      <c r="A3" t="s">
        <v>84</v>
      </c>
      <c r="B3" s="2">
        <v>45299</v>
      </c>
      <c r="C3" t="s">
        <v>39</v>
      </c>
      <c r="D3" t="s">
        <v>11</v>
      </c>
      <c r="E3">
        <v>10</v>
      </c>
      <c r="F3">
        <v>10</v>
      </c>
    </row>
    <row r="4" spans="1:6" x14ac:dyDescent="0.3">
      <c r="A4" t="s">
        <v>85</v>
      </c>
      <c r="B4" s="2">
        <v>45303</v>
      </c>
      <c r="C4" t="s">
        <v>35</v>
      </c>
      <c r="D4" t="s">
        <v>9</v>
      </c>
      <c r="E4">
        <v>25</v>
      </c>
      <c r="F4">
        <v>0</v>
      </c>
    </row>
    <row r="5" spans="1:6" x14ac:dyDescent="0.3">
      <c r="A5" t="s">
        <v>86</v>
      </c>
      <c r="B5" s="2">
        <v>45306</v>
      </c>
      <c r="C5" t="s">
        <v>43</v>
      </c>
      <c r="D5" t="s">
        <v>19</v>
      </c>
      <c r="E5">
        <v>8</v>
      </c>
      <c r="F5">
        <v>15</v>
      </c>
    </row>
    <row r="6" spans="1:6" x14ac:dyDescent="0.3">
      <c r="A6" t="s">
        <v>87</v>
      </c>
      <c r="B6" s="2">
        <v>45311</v>
      </c>
      <c r="C6" t="s">
        <v>47</v>
      </c>
      <c r="D6" t="s">
        <v>15</v>
      </c>
      <c r="E6">
        <v>5</v>
      </c>
      <c r="F6">
        <v>5</v>
      </c>
    </row>
    <row r="7" spans="1:6" x14ac:dyDescent="0.3">
      <c r="A7" t="s">
        <v>88</v>
      </c>
      <c r="B7" s="2">
        <v>45324</v>
      </c>
      <c r="C7" t="s">
        <v>51</v>
      </c>
      <c r="D7" t="s">
        <v>5</v>
      </c>
      <c r="E7">
        <v>2</v>
      </c>
      <c r="F7">
        <v>0</v>
      </c>
    </row>
    <row r="8" spans="1:6" x14ac:dyDescent="0.3">
      <c r="A8" t="s">
        <v>89</v>
      </c>
      <c r="B8" s="2">
        <v>45332</v>
      </c>
      <c r="C8" t="s">
        <v>39</v>
      </c>
      <c r="D8" t="s">
        <v>22</v>
      </c>
      <c r="E8">
        <v>15</v>
      </c>
      <c r="F8">
        <v>10</v>
      </c>
    </row>
    <row r="9" spans="1:6" x14ac:dyDescent="0.3">
      <c r="A9" t="s">
        <v>90</v>
      </c>
      <c r="B9" s="2">
        <v>45336</v>
      </c>
      <c r="C9" t="s">
        <v>54</v>
      </c>
      <c r="D9" t="s">
        <v>17</v>
      </c>
      <c r="E9">
        <v>50</v>
      </c>
      <c r="F9">
        <v>20</v>
      </c>
    </row>
    <row r="10" spans="1:6" x14ac:dyDescent="0.3">
      <c r="A10" t="s">
        <v>91</v>
      </c>
      <c r="B10" s="2">
        <v>45344</v>
      </c>
      <c r="C10" t="s">
        <v>43</v>
      </c>
      <c r="D10" t="s">
        <v>24</v>
      </c>
      <c r="E10">
        <v>30</v>
      </c>
      <c r="F10">
        <v>5</v>
      </c>
    </row>
    <row r="11" spans="1:6" x14ac:dyDescent="0.3">
      <c r="A11" t="s">
        <v>92</v>
      </c>
      <c r="B11" s="2">
        <v>45352</v>
      </c>
      <c r="C11" t="s">
        <v>57</v>
      </c>
      <c r="D11" t="s">
        <v>26</v>
      </c>
      <c r="E11">
        <v>12</v>
      </c>
      <c r="F11">
        <v>0</v>
      </c>
    </row>
    <row r="12" spans="1:6" x14ac:dyDescent="0.3">
      <c r="A12" t="s">
        <v>93</v>
      </c>
      <c r="B12" s="2">
        <v>45359</v>
      </c>
      <c r="C12" t="s">
        <v>35</v>
      </c>
      <c r="D12" t="s">
        <v>28</v>
      </c>
      <c r="E12">
        <v>4</v>
      </c>
      <c r="F12">
        <v>10</v>
      </c>
    </row>
    <row r="13" spans="1:6" x14ac:dyDescent="0.3">
      <c r="A13" t="s">
        <v>94</v>
      </c>
      <c r="B13" s="2">
        <v>45366</v>
      </c>
      <c r="C13" t="s">
        <v>60</v>
      </c>
      <c r="D13" t="s">
        <v>9</v>
      </c>
      <c r="E13">
        <v>100</v>
      </c>
      <c r="F13">
        <v>25</v>
      </c>
    </row>
    <row r="14" spans="1:6" x14ac:dyDescent="0.3">
      <c r="A14" t="s">
        <v>95</v>
      </c>
      <c r="B14" s="2">
        <v>45373</v>
      </c>
      <c r="C14" t="s">
        <v>47</v>
      </c>
      <c r="D14" t="s">
        <v>19</v>
      </c>
      <c r="E14">
        <v>6</v>
      </c>
      <c r="F14">
        <v>5</v>
      </c>
    </row>
    <row r="15" spans="1:6" x14ac:dyDescent="0.3">
      <c r="A15" t="s">
        <v>96</v>
      </c>
      <c r="B15" s="2">
        <v>45383</v>
      </c>
      <c r="C15" t="s">
        <v>51</v>
      </c>
      <c r="D15" t="s">
        <v>11</v>
      </c>
      <c r="E15">
        <v>8</v>
      </c>
      <c r="F15">
        <v>0</v>
      </c>
    </row>
    <row r="16" spans="1:6" x14ac:dyDescent="0.3">
      <c r="A16" t="s">
        <v>97</v>
      </c>
      <c r="B16" s="2">
        <v>45392</v>
      </c>
      <c r="C16" t="s">
        <v>39</v>
      </c>
      <c r="D16" t="s">
        <v>5</v>
      </c>
      <c r="E16">
        <v>1</v>
      </c>
      <c r="F16">
        <v>0</v>
      </c>
    </row>
    <row r="17" spans="1:6" x14ac:dyDescent="0.3">
      <c r="A17" t="s">
        <v>98</v>
      </c>
      <c r="B17" s="2">
        <v>45400</v>
      </c>
      <c r="C17" t="s">
        <v>54</v>
      </c>
      <c r="D17" t="s">
        <v>15</v>
      </c>
      <c r="E17">
        <v>3</v>
      </c>
      <c r="F17">
        <v>15</v>
      </c>
    </row>
    <row r="18" spans="1:6" x14ac:dyDescent="0.3">
      <c r="A18" t="s">
        <v>99</v>
      </c>
      <c r="B18" s="2">
        <v>45417</v>
      </c>
      <c r="C18" t="s">
        <v>57</v>
      </c>
      <c r="D18" t="s">
        <v>22</v>
      </c>
      <c r="E18">
        <v>20</v>
      </c>
      <c r="F18">
        <v>10</v>
      </c>
    </row>
    <row r="19" spans="1:6" x14ac:dyDescent="0.3">
      <c r="A19" t="s">
        <v>100</v>
      </c>
      <c r="B19" s="2">
        <v>45424</v>
      </c>
      <c r="C19" t="s">
        <v>60</v>
      </c>
      <c r="D19" t="s">
        <v>17</v>
      </c>
      <c r="E19">
        <v>45</v>
      </c>
      <c r="F19">
        <v>5</v>
      </c>
    </row>
    <row r="20" spans="1:6" x14ac:dyDescent="0.3">
      <c r="A20" t="s">
        <v>101</v>
      </c>
      <c r="B20" s="2">
        <v>45432</v>
      </c>
      <c r="C20" t="s">
        <v>43</v>
      </c>
      <c r="D20" t="s">
        <v>26</v>
      </c>
      <c r="E20">
        <v>15</v>
      </c>
      <c r="F20">
        <v>0</v>
      </c>
    </row>
    <row r="21" spans="1:6" x14ac:dyDescent="0.3">
      <c r="A21" t="s">
        <v>102</v>
      </c>
      <c r="B21" s="2">
        <v>45444</v>
      </c>
      <c r="C21" t="s">
        <v>35</v>
      </c>
      <c r="D21" t="s">
        <v>28</v>
      </c>
      <c r="E21">
        <v>6</v>
      </c>
      <c r="F21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Case_Study</vt:lpstr>
      <vt:lpstr>M_Code_Tips</vt:lpstr>
      <vt:lpstr>Products</vt:lpstr>
      <vt:lpstr>Customers</vt:lpstr>
      <vt:lpstr>Suppliers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2026-04-28T06:06:32Z</dcterms:created>
  <dcterms:modified xsi:type="dcterms:W3CDTF">2026-04-28T06:12:00Z</dcterms:modified>
</cp:coreProperties>
</file>