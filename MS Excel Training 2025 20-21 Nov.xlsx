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7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pivotTables/pivotTable1.xml" ContentType="application/vnd.openxmlformats-officedocument.spreadsheetml.pivotTable+xml"/>
  <Override PartName="/xl/drawings/drawing1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akhrul Syahmi\Desktop\"/>
    </mc:Choice>
  </mc:AlternateContent>
  <xr:revisionPtr revIDLastSave="0" documentId="13_ncr:1_{F3FB6DC9-2F51-4DBB-B8B7-F268B0FDC081}" xr6:coauthVersionLast="47" xr6:coauthVersionMax="47" xr10:uidLastSave="{00000000-0000-0000-0000-000000000000}"/>
  <bookViews>
    <workbookView xWindow="-108" yWindow="-108" windowWidth="23256" windowHeight="12456" firstSheet="10" activeTab="13" xr2:uid="{00000000-000D-0000-FFFF-FFFF00000000}"/>
  </bookViews>
  <sheets>
    <sheet name="Main Page" sheetId="20" r:id="rId1"/>
    <sheet name="Reference" sheetId="1" r:id="rId2"/>
    <sheet name="Price" sheetId="21" r:id="rId3"/>
    <sheet name="Mathematical Funtion" sheetId="2" r:id="rId4"/>
    <sheet name="Logical Funtion" sheetId="3" r:id="rId5"/>
    <sheet name="Match" sheetId="5" r:id="rId6"/>
    <sheet name="VLookUp" sheetId="7" r:id="rId7"/>
    <sheet name="VlookUp Dashboard" sheetId="25" r:id="rId8"/>
    <sheet name="XLookUp" sheetId="9" r:id="rId9"/>
    <sheet name="Text Function" sheetId="24" r:id="rId10"/>
    <sheet name="Conditional Formatting" sheetId="10" r:id="rId11"/>
    <sheet name="Date Function" sheetId="11" r:id="rId12"/>
    <sheet name="Goal Seek" sheetId="12" r:id="rId13"/>
    <sheet name="FV Data Table" sheetId="13" r:id="rId14"/>
    <sheet name="Data Validation" sheetId="14" r:id="rId15"/>
    <sheet name="Progress" sheetId="15" r:id="rId16"/>
    <sheet name="Financial Fx" sheetId="16" r:id="rId17"/>
    <sheet name="Exercise" sheetId="17" r:id="rId18"/>
    <sheet name="Pivot Table" sheetId="18" r:id="rId19"/>
    <sheet name="Holiday List" sheetId="19" r:id="rId20"/>
    <sheet name="Sheet1" sheetId="22" r:id="rId21"/>
  </sheets>
  <definedNames>
    <definedName name="_xlnm._FilterDatabase" localSheetId="11" hidden="1">'Date Function'!$B$5:$F$529</definedName>
    <definedName name="_xlnm._FilterDatabase" localSheetId="8" hidden="1">XLookUp!$K$4:$O$12</definedName>
    <definedName name="Car_Price">Price!$B$1</definedName>
    <definedName name="_xlnm.Criteria" localSheetId="11">'Date Function'!$K$3:$L$5</definedName>
    <definedName name="_xlnm.Criteria" localSheetId="8">XLookUp!$D$11:$D$12</definedName>
    <definedName name="_xlnm.Extract" localSheetId="11">'Date Function'!$J$8:$P$8</definedName>
    <definedName name="_xlnm.Extract" localSheetId="8">XLookUp!$C$15:$G$15</definedName>
    <definedName name="Filter_Table">'Date Function'!$B$5:$F$529</definedName>
    <definedName name="solver_adj" localSheetId="12" hidden="1">'Goal Seek'!$B$7,'Goal Seek'!$B$10</definedName>
    <definedName name="solver_cvg" localSheetId="12" hidden="1">0.0001</definedName>
    <definedName name="solver_drv" localSheetId="12" hidden="1">1</definedName>
    <definedName name="solver_eng" localSheetId="12" hidden="1">1</definedName>
    <definedName name="solver_est" localSheetId="12" hidden="1">1</definedName>
    <definedName name="solver_itr" localSheetId="12" hidden="1">2147483647</definedName>
    <definedName name="solver_lhs1" localSheetId="12" hidden="1">'Goal Seek'!$B$10</definedName>
    <definedName name="solver_lhs2" localSheetId="12" hidden="1">'Goal Seek'!$B$10</definedName>
    <definedName name="solver_lhs3" localSheetId="12" hidden="1">'Goal Seek'!$B$7</definedName>
    <definedName name="solver_mip" localSheetId="12" hidden="1">2147483647</definedName>
    <definedName name="solver_mni" localSheetId="12" hidden="1">30</definedName>
    <definedName name="solver_mrt" localSheetId="12" hidden="1">0.075</definedName>
    <definedName name="solver_msl" localSheetId="12" hidden="1">2</definedName>
    <definedName name="solver_neg" localSheetId="12" hidden="1">1</definedName>
    <definedName name="solver_nod" localSheetId="12" hidden="1">2147483647</definedName>
    <definedName name="solver_num" localSheetId="12" hidden="1">3</definedName>
    <definedName name="solver_nwt" localSheetId="12" hidden="1">1</definedName>
    <definedName name="solver_opt" localSheetId="12" hidden="1">'Goal Seek'!$B$13</definedName>
    <definedName name="solver_pre" localSheetId="12" hidden="1">0.000001</definedName>
    <definedName name="solver_rbv" localSheetId="12" hidden="1">1</definedName>
    <definedName name="solver_rel1" localSheetId="12" hidden="1">1</definedName>
    <definedName name="solver_rel2" localSheetId="12" hidden="1">3</definedName>
    <definedName name="solver_rel3" localSheetId="12" hidden="1">1</definedName>
    <definedName name="solver_rhs1" localSheetId="12" hidden="1">15</definedName>
    <definedName name="solver_rhs2" localSheetId="12" hidden="1">10</definedName>
    <definedName name="solver_rhs3" localSheetId="12" hidden="1">20</definedName>
    <definedName name="solver_rlx" localSheetId="12" hidden="1">2</definedName>
    <definedName name="solver_rsd" localSheetId="12" hidden="1">0</definedName>
    <definedName name="solver_scl" localSheetId="12" hidden="1">1</definedName>
    <definedName name="solver_sho" localSheetId="12" hidden="1">2</definedName>
    <definedName name="solver_ssz" localSheetId="12" hidden="1">100</definedName>
    <definedName name="solver_tim" localSheetId="12" hidden="1">2147483647</definedName>
    <definedName name="solver_tol" localSheetId="12" hidden="1">0.01</definedName>
    <definedName name="solver_typ" localSheetId="12" hidden="1">3</definedName>
    <definedName name="solver_val" localSheetId="12" hidden="1">100000</definedName>
    <definedName name="solver_ver" localSheetId="12" hidden="1">3</definedName>
  </definedNames>
  <calcPr calcId="191028"/>
  <pivotCaches>
    <pivotCache cacheId="0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7" roundtripDataChecksum="qhb0X9cdoUBfFPyf1uEne1kKxNHMdju6deeApcOLCoc="/>
    </ext>
  </extLst>
</workbook>
</file>

<file path=xl/calcChain.xml><?xml version="1.0" encoding="utf-8"?>
<calcChain xmlns="http://schemas.openxmlformats.org/spreadsheetml/2006/main">
  <c r="I5" i="17" l="1"/>
  <c r="B5" i="13"/>
  <c r="L9" i="16"/>
  <c r="M9" i="16"/>
  <c r="M10" i="16"/>
  <c r="M11" i="16"/>
  <c r="M12" i="16" s="1"/>
  <c r="M13" i="16" s="1"/>
  <c r="M14" i="16" s="1"/>
  <c r="M15" i="16" s="1"/>
  <c r="M16" i="16" s="1"/>
  <c r="M17" i="16" s="1"/>
  <c r="M18" i="16" s="1"/>
  <c r="M19" i="16" s="1"/>
  <c r="M20" i="16" s="1"/>
  <c r="M21" i="16" s="1"/>
  <c r="M22" i="16" s="1"/>
  <c r="M23" i="16" s="1"/>
  <c r="M24" i="16" s="1"/>
  <c r="M25" i="16" s="1"/>
  <c r="M26" i="16" s="1"/>
  <c r="M27" i="16" s="1"/>
  <c r="M28" i="16" s="1"/>
  <c r="M29" i="16" s="1"/>
  <c r="M30" i="16" s="1"/>
  <c r="M31" i="16" s="1"/>
  <c r="M32" i="16" s="1"/>
  <c r="M33" i="16" s="1"/>
  <c r="M34" i="16" s="1"/>
  <c r="M35" i="16" s="1"/>
  <c r="M36" i="16" s="1"/>
  <c r="M37" i="16" s="1"/>
  <c r="M38" i="16" s="1"/>
  <c r="M39" i="16" s="1"/>
  <c r="M40" i="16" s="1"/>
  <c r="M41" i="16" s="1"/>
  <c r="M42" i="16" s="1"/>
  <c r="M43" i="16" s="1"/>
  <c r="M44" i="16" s="1"/>
  <c r="M45" i="16" s="1"/>
  <c r="M46" i="16" s="1"/>
  <c r="M47" i="16" s="1"/>
  <c r="M48" i="16" s="1"/>
  <c r="M49" i="16" s="1"/>
  <c r="M50" i="16" s="1"/>
  <c r="M51" i="16" s="1"/>
  <c r="M52" i="16" s="1"/>
  <c r="M53" i="16" s="1"/>
  <c r="M54" i="16" s="1"/>
  <c r="M55" i="16" s="1"/>
  <c r="M56" i="16" s="1"/>
  <c r="M57" i="16" s="1"/>
  <c r="M58" i="16" s="1"/>
  <c r="M59" i="16" s="1"/>
  <c r="M60" i="16" s="1"/>
  <c r="M61" i="16" s="1"/>
  <c r="M62" i="16" s="1"/>
  <c r="M63" i="16" s="1"/>
  <c r="M64" i="16" s="1"/>
  <c r="M65" i="16" s="1"/>
  <c r="M66" i="16" s="1"/>
  <c r="M67" i="16" s="1"/>
  <c r="M68" i="16" s="1"/>
  <c r="M69" i="16" s="1"/>
  <c r="M70" i="16" s="1"/>
  <c r="M71" i="16" s="1"/>
  <c r="M72" i="16" s="1"/>
  <c r="M73" i="16" s="1"/>
  <c r="M74" i="16" s="1"/>
  <c r="M75" i="16" s="1"/>
  <c r="M76" i="16" s="1"/>
  <c r="M77" i="16" s="1"/>
  <c r="M78" i="16" s="1"/>
  <c r="M79" i="16" s="1"/>
  <c r="M80" i="16" s="1"/>
  <c r="M81" i="16" s="1"/>
  <c r="M82" i="16" s="1"/>
  <c r="M83" i="16" s="1"/>
  <c r="M84" i="16" s="1"/>
  <c r="M85" i="16" s="1"/>
  <c r="M86" i="16" s="1"/>
  <c r="M87" i="16" s="1"/>
  <c r="M88" i="16" s="1"/>
  <c r="M89" i="16" s="1"/>
  <c r="M90" i="16" s="1"/>
  <c r="M91" i="16" s="1"/>
  <c r="M92" i="16" s="1"/>
  <c r="M93" i="16" s="1"/>
  <c r="M94" i="16" s="1"/>
  <c r="M95" i="16" s="1"/>
  <c r="M96" i="16" s="1"/>
  <c r="M97" i="16" s="1"/>
  <c r="M98" i="16" s="1"/>
  <c r="M99" i="16" s="1"/>
  <c r="M100" i="16" s="1"/>
  <c r="M101" i="16" s="1"/>
  <c r="M102" i="16" s="1"/>
  <c r="M103" i="16" s="1"/>
  <c r="M104" i="16" s="1"/>
  <c r="M105" i="16" s="1"/>
  <c r="M106" i="16" s="1"/>
  <c r="M107" i="16" s="1"/>
  <c r="M108" i="16" s="1"/>
  <c r="M109" i="16" s="1"/>
  <c r="M110" i="16" s="1"/>
  <c r="M111" i="16" s="1"/>
  <c r="M112" i="16" s="1"/>
  <c r="M113" i="16" s="1"/>
  <c r="M114" i="16" s="1"/>
  <c r="M115" i="16" s="1"/>
  <c r="M116" i="16" s="1"/>
  <c r="M117" i="16" s="1"/>
  <c r="M118" i="16" s="1"/>
  <c r="M119" i="16" s="1"/>
  <c r="M120" i="16" s="1"/>
  <c r="M121" i="16" s="1"/>
  <c r="M122" i="16" s="1"/>
  <c r="M123" i="16" s="1"/>
  <c r="M124" i="16" s="1"/>
  <c r="M125" i="16" s="1"/>
  <c r="M126" i="16" s="1"/>
  <c r="M127" i="16" s="1"/>
  <c r="M128" i="16" s="1"/>
  <c r="M129" i="16" s="1"/>
  <c r="M130" i="16" s="1"/>
  <c r="M131" i="16" s="1"/>
  <c r="M132" i="16" s="1"/>
  <c r="M133" i="16" s="1"/>
  <c r="M134" i="16" s="1"/>
  <c r="M135" i="16" s="1"/>
  <c r="M136" i="16" s="1"/>
  <c r="M137" i="16" s="1"/>
  <c r="M138" i="16" s="1"/>
  <c r="M139" i="16" s="1"/>
  <c r="M140" i="16" s="1"/>
  <c r="M141" i="16" s="1"/>
  <c r="M142" i="16" s="1"/>
  <c r="M143" i="16" s="1"/>
  <c r="M144" i="16" s="1"/>
  <c r="M145" i="16" s="1"/>
  <c r="M146" i="16" s="1"/>
  <c r="M147" i="16" s="1"/>
  <c r="M148" i="16" s="1"/>
  <c r="M149" i="16" s="1"/>
  <c r="M150" i="16" s="1"/>
  <c r="M151" i="16" s="1"/>
  <c r="M152" i="16" s="1"/>
  <c r="M153" i="16" s="1"/>
  <c r="M154" i="16" s="1"/>
  <c r="M155" i="16" s="1"/>
  <c r="M156" i="16" s="1"/>
  <c r="M157" i="16" s="1"/>
  <c r="M158" i="16" s="1"/>
  <c r="M159" i="16" s="1"/>
  <c r="M160" i="16" s="1"/>
  <c r="M161" i="16" s="1"/>
  <c r="M162" i="16" s="1"/>
  <c r="M163" i="16" s="1"/>
  <c r="M164" i="16" s="1"/>
  <c r="M165" i="16" s="1"/>
  <c r="M166" i="16" s="1"/>
  <c r="M167" i="16" s="1"/>
  <c r="M168" i="16" s="1"/>
  <c r="M169" i="16" s="1"/>
  <c r="M170" i="16" s="1"/>
  <c r="M171" i="16" s="1"/>
  <c r="M172" i="16" s="1"/>
  <c r="M173" i="16" s="1"/>
  <c r="M174" i="16" s="1"/>
  <c r="M175" i="16" s="1"/>
  <c r="M176" i="16" s="1"/>
  <c r="M177" i="16" s="1"/>
  <c r="M178" i="16" s="1"/>
  <c r="M179" i="16" s="1"/>
  <c r="M180" i="16" s="1"/>
  <c r="M181" i="16" s="1"/>
  <c r="M182" i="16" s="1"/>
  <c r="M183" i="16" s="1"/>
  <c r="M184" i="16" s="1"/>
  <c r="M185" i="16" s="1"/>
  <c r="M186" i="16" s="1"/>
  <c r="M187" i="16" s="1"/>
  <c r="M188" i="16" s="1"/>
  <c r="M189" i="16" s="1"/>
  <c r="M190" i="16" s="1"/>
  <c r="M191" i="16" s="1"/>
  <c r="M192" i="16" s="1"/>
  <c r="M193" i="16" s="1"/>
  <c r="M194" i="16" s="1"/>
  <c r="M195" i="16" s="1"/>
  <c r="M196" i="16" s="1"/>
  <c r="M197" i="16" s="1"/>
  <c r="M198" i="16" s="1"/>
  <c r="M199" i="16" s="1"/>
  <c r="M200" i="16" s="1"/>
  <c r="M201" i="16" s="1"/>
  <c r="M202" i="16" s="1"/>
  <c r="M203" i="16" s="1"/>
  <c r="M204" i="16" s="1"/>
  <c r="M205" i="16" s="1"/>
  <c r="M206" i="16" s="1"/>
  <c r="M207" i="16" s="1"/>
  <c r="M208" i="16" s="1"/>
  <c r="M209" i="16" s="1"/>
  <c r="M210" i="16" s="1"/>
  <c r="M211" i="16" s="1"/>
  <c r="M212" i="16" s="1"/>
  <c r="M213" i="16" s="1"/>
  <c r="M214" i="16" s="1"/>
  <c r="M215" i="16" s="1"/>
  <c r="M216" i="16" s="1"/>
  <c r="M217" i="16" s="1"/>
  <c r="M218" i="16" s="1"/>
  <c r="M219" i="16" s="1"/>
  <c r="M220" i="16" s="1"/>
  <c r="M221" i="16" s="1"/>
  <c r="M222" i="16" s="1"/>
  <c r="M223" i="16" s="1"/>
  <c r="M224" i="16" s="1"/>
  <c r="M225" i="16" s="1"/>
  <c r="M226" i="16" s="1"/>
  <c r="M227" i="16" s="1"/>
  <c r="M228" i="16" s="1"/>
  <c r="M229" i="16" s="1"/>
  <c r="M230" i="16" s="1"/>
  <c r="M231" i="16" s="1"/>
  <c r="M232" i="16" s="1"/>
  <c r="M233" i="16" s="1"/>
  <c r="M234" i="16" s="1"/>
  <c r="M235" i="16" s="1"/>
  <c r="M236" i="16" s="1"/>
  <c r="M237" i="16" s="1"/>
  <c r="M238" i="16" s="1"/>
  <c r="M239" i="16" s="1"/>
  <c r="M240" i="16" s="1"/>
  <c r="M241" i="16" s="1"/>
  <c r="M242" i="16" s="1"/>
  <c r="M243" i="16" s="1"/>
  <c r="M244" i="16" s="1"/>
  <c r="M245" i="16" s="1"/>
  <c r="M246" i="16" s="1"/>
  <c r="M247" i="16" s="1"/>
  <c r="M248" i="16" s="1"/>
  <c r="M249" i="16" s="1"/>
  <c r="M250" i="16" s="1"/>
  <c r="M251" i="16" s="1"/>
  <c r="M252" i="16" s="1"/>
  <c r="M253" i="16" s="1"/>
  <c r="M254" i="16" s="1"/>
  <c r="M255" i="16" s="1"/>
  <c r="M256" i="16" s="1"/>
  <c r="M257" i="16" s="1"/>
  <c r="M258" i="16" s="1"/>
  <c r="M259" i="16" s="1"/>
  <c r="M260" i="16" s="1"/>
  <c r="M261" i="16" s="1"/>
  <c r="M262" i="16" s="1"/>
  <c r="M263" i="16" s="1"/>
  <c r="M264" i="16" s="1"/>
  <c r="M265" i="16" s="1"/>
  <c r="M266" i="16" s="1"/>
  <c r="M267" i="16" s="1"/>
  <c r="M268" i="16" s="1"/>
  <c r="M269" i="16" s="1"/>
  <c r="M270" i="16" s="1"/>
  <c r="M271" i="16" s="1"/>
  <c r="M272" i="16" s="1"/>
  <c r="M273" i="16" s="1"/>
  <c r="M274" i="16" s="1"/>
  <c r="M275" i="16" s="1"/>
  <c r="M276" i="16" s="1"/>
  <c r="M277" i="16" s="1"/>
  <c r="M278" i="16" s="1"/>
  <c r="M279" i="16" s="1"/>
  <c r="M280" i="16" s="1"/>
  <c r="M281" i="16" s="1"/>
  <c r="M282" i="16" s="1"/>
  <c r="M283" i="16" s="1"/>
  <c r="M284" i="16" s="1"/>
  <c r="M285" i="16" s="1"/>
  <c r="M286" i="16" s="1"/>
  <c r="M287" i="16" s="1"/>
  <c r="M288" i="16" s="1"/>
  <c r="M289" i="16" s="1"/>
  <c r="M290" i="16" s="1"/>
  <c r="M291" i="16" s="1"/>
  <c r="M292" i="16" s="1"/>
  <c r="M293" i="16" s="1"/>
  <c r="M294" i="16" s="1"/>
  <c r="M295" i="16" s="1"/>
  <c r="M296" i="16" s="1"/>
  <c r="M297" i="16" s="1"/>
  <c r="M298" i="16" s="1"/>
  <c r="M299" i="16" s="1"/>
  <c r="M300" i="16" s="1"/>
  <c r="M301" i="16" s="1"/>
  <c r="M302" i="16" s="1"/>
  <c r="M303" i="16" s="1"/>
  <c r="M304" i="16" s="1"/>
  <c r="M305" i="16" s="1"/>
  <c r="M306" i="16" s="1"/>
  <c r="M307" i="16" s="1"/>
  <c r="M308" i="16" s="1"/>
  <c r="M309" i="16" s="1"/>
  <c r="M310" i="16" s="1"/>
  <c r="M311" i="16" s="1"/>
  <c r="M312" i="16" s="1"/>
  <c r="M313" i="16" s="1"/>
  <c r="M314" i="16" s="1"/>
  <c r="M315" i="16" s="1"/>
  <c r="M316" i="16" s="1"/>
  <c r="M317" i="16" s="1"/>
  <c r="M318" i="16" s="1"/>
  <c r="M319" i="16" s="1"/>
  <c r="M320" i="16" s="1"/>
  <c r="M321" i="16" s="1"/>
  <c r="M322" i="16" s="1"/>
  <c r="M323" i="16" s="1"/>
  <c r="M324" i="16" s="1"/>
  <c r="M325" i="16" s="1"/>
  <c r="M326" i="16" s="1"/>
  <c r="M327" i="16" s="1"/>
  <c r="M328" i="16" s="1"/>
  <c r="M329" i="16" s="1"/>
  <c r="M330" i="16" s="1"/>
  <c r="M331" i="16" s="1"/>
  <c r="M332" i="16" s="1"/>
  <c r="M333" i="16" s="1"/>
  <c r="M334" i="16" s="1"/>
  <c r="M335" i="16" s="1"/>
  <c r="M336" i="16" s="1"/>
  <c r="M337" i="16" s="1"/>
  <c r="M338" i="16" s="1"/>
  <c r="M339" i="16" s="1"/>
  <c r="M340" i="16" s="1"/>
  <c r="M341" i="16" s="1"/>
  <c r="M342" i="16" s="1"/>
  <c r="M343" i="16" s="1"/>
  <c r="M344" i="16" s="1"/>
  <c r="M345" i="16" s="1"/>
  <c r="M346" i="16" s="1"/>
  <c r="M347" i="16" s="1"/>
  <c r="M348" i="16" s="1"/>
  <c r="M349" i="16" s="1"/>
  <c r="M350" i="16" s="1"/>
  <c r="M351" i="16" s="1"/>
  <c r="M352" i="16" s="1"/>
  <c r="M353" i="16" s="1"/>
  <c r="M354" i="16" s="1"/>
  <c r="M355" i="16" s="1"/>
  <c r="M356" i="16" s="1"/>
  <c r="M357" i="16" s="1"/>
  <c r="M358" i="16" s="1"/>
  <c r="M359" i="16" s="1"/>
  <c r="M360" i="16" s="1"/>
  <c r="M361" i="16" s="1"/>
  <c r="M362" i="16" s="1"/>
  <c r="M363" i="16" s="1"/>
  <c r="M364" i="16" s="1"/>
  <c r="M365" i="16" s="1"/>
  <c r="M366" i="16" s="1"/>
  <c r="M367" i="16" s="1"/>
  <c r="M368" i="16" s="1"/>
  <c r="L1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L50" i="16"/>
  <c r="L51" i="16"/>
  <c r="L52" i="16"/>
  <c r="L53" i="16"/>
  <c r="L54" i="16"/>
  <c r="L55" i="16"/>
  <c r="L56" i="16"/>
  <c r="L57" i="16"/>
  <c r="L58" i="16"/>
  <c r="L59" i="16"/>
  <c r="L60" i="16"/>
  <c r="L61" i="16"/>
  <c r="L62" i="16"/>
  <c r="L63" i="16"/>
  <c r="L64" i="16"/>
  <c r="L65" i="16"/>
  <c r="L66" i="16"/>
  <c r="L67" i="16"/>
  <c r="L68" i="16"/>
  <c r="L69" i="16"/>
  <c r="L70" i="16"/>
  <c r="L71" i="16"/>
  <c r="L72" i="16"/>
  <c r="L73" i="16"/>
  <c r="L74" i="16"/>
  <c r="L75" i="16"/>
  <c r="L76" i="16"/>
  <c r="L77" i="16"/>
  <c r="L78" i="16"/>
  <c r="L79" i="16"/>
  <c r="L80" i="16"/>
  <c r="L81" i="16"/>
  <c r="L82" i="16"/>
  <c r="L83" i="16"/>
  <c r="L84" i="16"/>
  <c r="L85" i="16"/>
  <c r="L86" i="16"/>
  <c r="L87" i="16"/>
  <c r="L88" i="16"/>
  <c r="L89" i="16"/>
  <c r="L90" i="16"/>
  <c r="L91" i="16"/>
  <c r="L92" i="16"/>
  <c r="L93" i="16"/>
  <c r="L94" i="16"/>
  <c r="L95" i="16"/>
  <c r="L96" i="16"/>
  <c r="L97" i="16"/>
  <c r="L98" i="16"/>
  <c r="L99" i="16"/>
  <c r="L100" i="16"/>
  <c r="L101" i="16"/>
  <c r="L102" i="16"/>
  <c r="L103" i="16"/>
  <c r="L104" i="16"/>
  <c r="L105" i="16"/>
  <c r="L106" i="16"/>
  <c r="L107" i="16"/>
  <c r="L108" i="16"/>
  <c r="L109" i="16"/>
  <c r="L110" i="16"/>
  <c r="L111" i="16"/>
  <c r="L112" i="16"/>
  <c r="L113" i="16"/>
  <c r="L114" i="16"/>
  <c r="L115" i="16"/>
  <c r="L116" i="16"/>
  <c r="L117" i="16"/>
  <c r="L118" i="16"/>
  <c r="L119" i="16"/>
  <c r="L120" i="16"/>
  <c r="L121" i="16"/>
  <c r="L122" i="16"/>
  <c r="L123" i="16"/>
  <c r="L124" i="16"/>
  <c r="L125" i="16"/>
  <c r="L126" i="16"/>
  <c r="L127" i="16"/>
  <c r="L128" i="16"/>
  <c r="L129" i="16"/>
  <c r="L130" i="16"/>
  <c r="L131" i="16"/>
  <c r="L132" i="16"/>
  <c r="L133" i="16"/>
  <c r="L134" i="16"/>
  <c r="L135" i="16"/>
  <c r="L136" i="16"/>
  <c r="L137" i="16"/>
  <c r="L138" i="16"/>
  <c r="L139" i="16"/>
  <c r="L140" i="16"/>
  <c r="L141" i="16"/>
  <c r="L142" i="16"/>
  <c r="L143" i="16"/>
  <c r="L144" i="16"/>
  <c r="L145" i="16"/>
  <c r="L146" i="16"/>
  <c r="L147" i="16"/>
  <c r="L148" i="16"/>
  <c r="L149" i="16"/>
  <c r="L150" i="16"/>
  <c r="L151" i="16"/>
  <c r="L152" i="16"/>
  <c r="L153" i="16"/>
  <c r="L154" i="16"/>
  <c r="L155" i="16"/>
  <c r="L156" i="16"/>
  <c r="L157" i="16"/>
  <c r="L158" i="16"/>
  <c r="L159" i="16"/>
  <c r="L160" i="16"/>
  <c r="L161" i="16"/>
  <c r="L162" i="16"/>
  <c r="L163" i="16"/>
  <c r="L164" i="16"/>
  <c r="L165" i="16"/>
  <c r="L166" i="16"/>
  <c r="L167" i="16"/>
  <c r="L168" i="16"/>
  <c r="L169" i="16"/>
  <c r="L170" i="16"/>
  <c r="L171" i="16"/>
  <c r="L172" i="16"/>
  <c r="L173" i="16"/>
  <c r="L174" i="16"/>
  <c r="L175" i="16"/>
  <c r="L176" i="16"/>
  <c r="L177" i="16"/>
  <c r="L178" i="16"/>
  <c r="L179" i="16"/>
  <c r="L180" i="16"/>
  <c r="L181" i="16"/>
  <c r="L182" i="16"/>
  <c r="L183" i="16"/>
  <c r="L184" i="16"/>
  <c r="L185" i="16"/>
  <c r="L186" i="16"/>
  <c r="L187" i="16"/>
  <c r="L188" i="16"/>
  <c r="L189" i="16"/>
  <c r="L190" i="16"/>
  <c r="L191" i="16"/>
  <c r="L192" i="16"/>
  <c r="L193" i="16"/>
  <c r="L194" i="16"/>
  <c r="L195" i="16"/>
  <c r="L196" i="16"/>
  <c r="L197" i="16"/>
  <c r="L198" i="16"/>
  <c r="L199" i="16"/>
  <c r="L200" i="16"/>
  <c r="L201" i="16"/>
  <c r="L202" i="16"/>
  <c r="L203" i="16"/>
  <c r="L204" i="16"/>
  <c r="L205" i="16"/>
  <c r="L206" i="16"/>
  <c r="L207" i="16"/>
  <c r="L208" i="16"/>
  <c r="L209" i="16"/>
  <c r="L210" i="16"/>
  <c r="L211" i="16"/>
  <c r="L212" i="16"/>
  <c r="L213" i="16"/>
  <c r="L214" i="16"/>
  <c r="L215" i="16"/>
  <c r="L216" i="16"/>
  <c r="L217" i="16"/>
  <c r="L218" i="16"/>
  <c r="L219" i="16"/>
  <c r="L220" i="16"/>
  <c r="L221" i="16"/>
  <c r="L222" i="16"/>
  <c r="L223" i="16"/>
  <c r="L224" i="16"/>
  <c r="L225" i="16"/>
  <c r="L226" i="16"/>
  <c r="L227" i="16"/>
  <c r="L228" i="16"/>
  <c r="L229" i="16"/>
  <c r="L230" i="16"/>
  <c r="L231" i="16"/>
  <c r="L232" i="16"/>
  <c r="L233" i="16"/>
  <c r="L234" i="16"/>
  <c r="L235" i="16"/>
  <c r="L236" i="16"/>
  <c r="L237" i="16"/>
  <c r="L238" i="16"/>
  <c r="L239" i="16"/>
  <c r="L240" i="16"/>
  <c r="L241" i="16"/>
  <c r="L242" i="16"/>
  <c r="L243" i="16"/>
  <c r="L244" i="16"/>
  <c r="L245" i="16"/>
  <c r="L246" i="16"/>
  <c r="L247" i="16"/>
  <c r="L248" i="16"/>
  <c r="L249" i="16"/>
  <c r="L250" i="16"/>
  <c r="L251" i="16"/>
  <c r="L252" i="16"/>
  <c r="L253" i="16"/>
  <c r="L254" i="16"/>
  <c r="L255" i="16"/>
  <c r="L256" i="16"/>
  <c r="L257" i="16"/>
  <c r="L258" i="16"/>
  <c r="L259" i="16"/>
  <c r="L260" i="16"/>
  <c r="L261" i="16"/>
  <c r="L262" i="16"/>
  <c r="L263" i="16"/>
  <c r="L264" i="16"/>
  <c r="L265" i="16"/>
  <c r="L266" i="16"/>
  <c r="L267" i="16"/>
  <c r="L268" i="16"/>
  <c r="L269" i="16"/>
  <c r="L270" i="16"/>
  <c r="L271" i="16"/>
  <c r="L272" i="16"/>
  <c r="L273" i="16"/>
  <c r="L274" i="16"/>
  <c r="L275" i="16"/>
  <c r="L276" i="16"/>
  <c r="L277" i="16"/>
  <c r="L278" i="16"/>
  <c r="L279" i="16"/>
  <c r="L280" i="16"/>
  <c r="L281" i="16"/>
  <c r="L282" i="16"/>
  <c r="L283" i="16"/>
  <c r="L284" i="16"/>
  <c r="L285" i="16"/>
  <c r="L286" i="16"/>
  <c r="L287" i="16"/>
  <c r="L288" i="16"/>
  <c r="L289" i="16"/>
  <c r="L290" i="16"/>
  <c r="L291" i="16"/>
  <c r="L292" i="16"/>
  <c r="L293" i="16"/>
  <c r="L294" i="16"/>
  <c r="L295" i="16"/>
  <c r="L296" i="16"/>
  <c r="L297" i="16"/>
  <c r="L298" i="16"/>
  <c r="L299" i="16"/>
  <c r="L300" i="16"/>
  <c r="L301" i="16"/>
  <c r="L302" i="16"/>
  <c r="L303" i="16"/>
  <c r="L304" i="16"/>
  <c r="L305" i="16"/>
  <c r="L306" i="16"/>
  <c r="L307" i="16"/>
  <c r="L308" i="16"/>
  <c r="L309" i="16"/>
  <c r="L310" i="16"/>
  <c r="L311" i="16"/>
  <c r="L312" i="16"/>
  <c r="L313" i="16"/>
  <c r="L314" i="16"/>
  <c r="L315" i="16"/>
  <c r="L316" i="16"/>
  <c r="L317" i="16"/>
  <c r="L318" i="16"/>
  <c r="L319" i="16"/>
  <c r="L320" i="16"/>
  <c r="L321" i="16"/>
  <c r="L322" i="16"/>
  <c r="L323" i="16"/>
  <c r="L324" i="16"/>
  <c r="L325" i="16"/>
  <c r="L326" i="16"/>
  <c r="L327" i="16"/>
  <c r="L328" i="16"/>
  <c r="L329" i="16"/>
  <c r="L330" i="16"/>
  <c r="L331" i="16"/>
  <c r="L332" i="16"/>
  <c r="L333" i="16"/>
  <c r="L334" i="16"/>
  <c r="L335" i="16"/>
  <c r="L336" i="16"/>
  <c r="L337" i="16"/>
  <c r="L338" i="16"/>
  <c r="L339" i="16"/>
  <c r="L340" i="16"/>
  <c r="L341" i="16"/>
  <c r="L342" i="16"/>
  <c r="L343" i="16"/>
  <c r="L344" i="16"/>
  <c r="L345" i="16"/>
  <c r="L346" i="16"/>
  <c r="L347" i="16"/>
  <c r="L348" i="16"/>
  <c r="L349" i="16"/>
  <c r="L350" i="16"/>
  <c r="L351" i="16"/>
  <c r="L352" i="16"/>
  <c r="L353" i="16"/>
  <c r="L354" i="16"/>
  <c r="L355" i="16"/>
  <c r="L356" i="16"/>
  <c r="L357" i="16"/>
  <c r="L358" i="16"/>
  <c r="L359" i="16"/>
  <c r="L360" i="16"/>
  <c r="L361" i="16"/>
  <c r="L362" i="16"/>
  <c r="L363" i="16"/>
  <c r="L364" i="16"/>
  <c r="L365" i="16"/>
  <c r="L366" i="16"/>
  <c r="L367" i="16"/>
  <c r="L368" i="16"/>
  <c r="J9" i="16"/>
  <c r="K10" i="16"/>
  <c r="K11" i="16"/>
  <c r="K12" i="16"/>
  <c r="K13" i="16"/>
  <c r="K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K31" i="16"/>
  <c r="K32" i="16"/>
  <c r="K33" i="16"/>
  <c r="K34" i="16"/>
  <c r="K35" i="16"/>
  <c r="K36" i="16"/>
  <c r="K37" i="16"/>
  <c r="K38" i="16"/>
  <c r="K39" i="16"/>
  <c r="K40" i="16"/>
  <c r="K41" i="16"/>
  <c r="K42" i="16"/>
  <c r="K43" i="16"/>
  <c r="K44" i="16"/>
  <c r="K45" i="16"/>
  <c r="K46" i="16"/>
  <c r="K47" i="16"/>
  <c r="K48" i="16"/>
  <c r="K49" i="16"/>
  <c r="K50" i="16"/>
  <c r="K51" i="16"/>
  <c r="K52" i="16"/>
  <c r="K53" i="16"/>
  <c r="K54" i="16"/>
  <c r="K55" i="16"/>
  <c r="K56" i="16"/>
  <c r="K57" i="16"/>
  <c r="K58" i="16"/>
  <c r="K59" i="16"/>
  <c r="K60" i="16"/>
  <c r="K61" i="16"/>
  <c r="K62" i="16"/>
  <c r="K63" i="16"/>
  <c r="K64" i="16"/>
  <c r="K65" i="16"/>
  <c r="K66" i="16"/>
  <c r="K67" i="16"/>
  <c r="K68" i="16"/>
  <c r="K69" i="16"/>
  <c r="K70" i="16"/>
  <c r="K71" i="16"/>
  <c r="K72" i="16"/>
  <c r="K73" i="16"/>
  <c r="K74" i="16"/>
  <c r="K75" i="16"/>
  <c r="K76" i="16"/>
  <c r="K77" i="16"/>
  <c r="K78" i="16"/>
  <c r="K79" i="16"/>
  <c r="K80" i="16"/>
  <c r="K81" i="16"/>
  <c r="K82" i="16"/>
  <c r="K83" i="16"/>
  <c r="K84" i="16"/>
  <c r="K85" i="16"/>
  <c r="K86" i="16"/>
  <c r="K87" i="16"/>
  <c r="K88" i="16"/>
  <c r="K89" i="16"/>
  <c r="K90" i="16"/>
  <c r="K91" i="16"/>
  <c r="K92" i="16"/>
  <c r="K93" i="16"/>
  <c r="K94" i="16"/>
  <c r="K95" i="16"/>
  <c r="K96" i="16"/>
  <c r="K97" i="16"/>
  <c r="K98" i="16"/>
  <c r="K99" i="16"/>
  <c r="K100" i="16"/>
  <c r="K101" i="16"/>
  <c r="K102" i="16"/>
  <c r="K103" i="16"/>
  <c r="K104" i="16"/>
  <c r="K105" i="16"/>
  <c r="K106" i="16"/>
  <c r="K107" i="16"/>
  <c r="K108" i="16"/>
  <c r="K109" i="16"/>
  <c r="K110" i="16"/>
  <c r="K111" i="16"/>
  <c r="K112" i="16"/>
  <c r="K113" i="16"/>
  <c r="K114" i="16"/>
  <c r="K115" i="16"/>
  <c r="K116" i="16"/>
  <c r="K117" i="16"/>
  <c r="K118" i="16"/>
  <c r="K119" i="16"/>
  <c r="K120" i="16"/>
  <c r="K121" i="16"/>
  <c r="K122" i="16"/>
  <c r="K123" i="16"/>
  <c r="K124" i="16"/>
  <c r="K125" i="16"/>
  <c r="K126" i="16"/>
  <c r="K127" i="16"/>
  <c r="K128" i="16"/>
  <c r="K129" i="16"/>
  <c r="K130" i="16"/>
  <c r="K131" i="16"/>
  <c r="K132" i="16"/>
  <c r="K133" i="16"/>
  <c r="K134" i="16"/>
  <c r="K135" i="16"/>
  <c r="K136" i="16"/>
  <c r="K137" i="16"/>
  <c r="K138" i="16"/>
  <c r="K139" i="16"/>
  <c r="K140" i="16"/>
  <c r="K141" i="16"/>
  <c r="K142" i="16"/>
  <c r="K143" i="16"/>
  <c r="K144" i="16"/>
  <c r="K145" i="16"/>
  <c r="K146" i="16"/>
  <c r="K147" i="16"/>
  <c r="K148" i="16"/>
  <c r="K149" i="16"/>
  <c r="K150" i="16"/>
  <c r="K151" i="16"/>
  <c r="K152" i="16"/>
  <c r="K153" i="16"/>
  <c r="K154" i="16"/>
  <c r="K155" i="16"/>
  <c r="K156" i="16"/>
  <c r="K157" i="16"/>
  <c r="K158" i="16"/>
  <c r="K159" i="16"/>
  <c r="K160" i="16"/>
  <c r="K161" i="16"/>
  <c r="K162" i="16"/>
  <c r="K163" i="16"/>
  <c r="K164" i="16"/>
  <c r="K165" i="16"/>
  <c r="K166" i="16"/>
  <c r="K167" i="16"/>
  <c r="K168" i="16"/>
  <c r="K169" i="16"/>
  <c r="K170" i="16"/>
  <c r="K171" i="16"/>
  <c r="K172" i="16"/>
  <c r="K173" i="16"/>
  <c r="K174" i="16"/>
  <c r="K175" i="16"/>
  <c r="K176" i="16"/>
  <c r="K177" i="16"/>
  <c r="K178" i="16"/>
  <c r="K179" i="16"/>
  <c r="K180" i="16"/>
  <c r="K181" i="16"/>
  <c r="K182" i="16"/>
  <c r="K183" i="16"/>
  <c r="K184" i="16"/>
  <c r="K185" i="16"/>
  <c r="K186" i="16"/>
  <c r="K187" i="16"/>
  <c r="K188" i="16"/>
  <c r="K189" i="16"/>
  <c r="K190" i="16"/>
  <c r="K191" i="16"/>
  <c r="K192" i="16"/>
  <c r="K193" i="16"/>
  <c r="K194" i="16"/>
  <c r="K195" i="16"/>
  <c r="K196" i="16"/>
  <c r="K197" i="16"/>
  <c r="K198" i="16"/>
  <c r="K199" i="16"/>
  <c r="K200" i="16"/>
  <c r="K201" i="16"/>
  <c r="K202" i="16"/>
  <c r="K203" i="16"/>
  <c r="K204" i="16"/>
  <c r="K205" i="16"/>
  <c r="K206" i="16"/>
  <c r="K207" i="16"/>
  <c r="K208" i="16"/>
  <c r="K209" i="16"/>
  <c r="K210" i="16"/>
  <c r="K211" i="16"/>
  <c r="K212" i="16"/>
  <c r="K213" i="16"/>
  <c r="K214" i="16"/>
  <c r="K215" i="16"/>
  <c r="K216" i="16"/>
  <c r="K217" i="16"/>
  <c r="K218" i="16"/>
  <c r="K219" i="16"/>
  <c r="K220" i="16"/>
  <c r="K221" i="16"/>
  <c r="K222" i="16"/>
  <c r="K223" i="16"/>
  <c r="K224" i="16"/>
  <c r="K225" i="16"/>
  <c r="K226" i="16"/>
  <c r="K227" i="16"/>
  <c r="K228" i="16"/>
  <c r="K229" i="16"/>
  <c r="K230" i="16"/>
  <c r="K231" i="16"/>
  <c r="K232" i="16"/>
  <c r="K233" i="16"/>
  <c r="K234" i="16"/>
  <c r="K235" i="16"/>
  <c r="K236" i="16"/>
  <c r="K237" i="16"/>
  <c r="K238" i="16"/>
  <c r="K239" i="16"/>
  <c r="K240" i="16"/>
  <c r="K241" i="16"/>
  <c r="K242" i="16"/>
  <c r="K243" i="16"/>
  <c r="K244" i="16"/>
  <c r="K245" i="16"/>
  <c r="K246" i="16"/>
  <c r="K247" i="16"/>
  <c r="K248" i="16"/>
  <c r="K249" i="16"/>
  <c r="K250" i="16"/>
  <c r="K251" i="16"/>
  <c r="K252" i="16"/>
  <c r="K253" i="16"/>
  <c r="K254" i="16"/>
  <c r="K255" i="16"/>
  <c r="K256" i="16"/>
  <c r="K257" i="16"/>
  <c r="K258" i="16"/>
  <c r="K259" i="16"/>
  <c r="K260" i="16"/>
  <c r="K261" i="16"/>
  <c r="K262" i="16"/>
  <c r="K263" i="16"/>
  <c r="K264" i="16"/>
  <c r="K265" i="16"/>
  <c r="K266" i="16"/>
  <c r="K267" i="16"/>
  <c r="K268" i="16"/>
  <c r="K269" i="16"/>
  <c r="K270" i="16"/>
  <c r="K271" i="16"/>
  <c r="K272" i="16"/>
  <c r="K273" i="16"/>
  <c r="K274" i="16"/>
  <c r="K275" i="16"/>
  <c r="K276" i="16"/>
  <c r="K277" i="16"/>
  <c r="K278" i="16"/>
  <c r="K279" i="16"/>
  <c r="K280" i="16"/>
  <c r="K281" i="16"/>
  <c r="K282" i="16"/>
  <c r="K283" i="16"/>
  <c r="K284" i="16"/>
  <c r="K285" i="16"/>
  <c r="K286" i="16"/>
  <c r="K287" i="16"/>
  <c r="K288" i="16"/>
  <c r="K289" i="16"/>
  <c r="K290" i="16"/>
  <c r="K291" i="16"/>
  <c r="K292" i="16"/>
  <c r="K293" i="16"/>
  <c r="K294" i="16"/>
  <c r="K295" i="16"/>
  <c r="K296" i="16"/>
  <c r="K297" i="16"/>
  <c r="K298" i="16"/>
  <c r="K299" i="16"/>
  <c r="K300" i="16"/>
  <c r="K301" i="16"/>
  <c r="K302" i="16"/>
  <c r="K303" i="16"/>
  <c r="K304" i="16"/>
  <c r="K305" i="16"/>
  <c r="K306" i="16"/>
  <c r="K307" i="16"/>
  <c r="K308" i="16"/>
  <c r="K309" i="16"/>
  <c r="K310" i="16"/>
  <c r="K311" i="16"/>
  <c r="K312" i="16"/>
  <c r="K313" i="16"/>
  <c r="K314" i="16"/>
  <c r="K315" i="16"/>
  <c r="K316" i="16"/>
  <c r="K317" i="16"/>
  <c r="K318" i="16"/>
  <c r="K319" i="16"/>
  <c r="K320" i="16"/>
  <c r="K321" i="16"/>
  <c r="K322" i="16"/>
  <c r="K323" i="16"/>
  <c r="K324" i="16"/>
  <c r="K325" i="16"/>
  <c r="K326" i="16"/>
  <c r="K327" i="16"/>
  <c r="K328" i="16"/>
  <c r="K329" i="16"/>
  <c r="K330" i="16"/>
  <c r="K331" i="16"/>
  <c r="K332" i="16"/>
  <c r="K333" i="16"/>
  <c r="K334" i="16"/>
  <c r="K335" i="16"/>
  <c r="K336" i="16"/>
  <c r="K337" i="16"/>
  <c r="K338" i="16"/>
  <c r="K339" i="16"/>
  <c r="K340" i="16"/>
  <c r="K341" i="16"/>
  <c r="K342" i="16"/>
  <c r="K343" i="16"/>
  <c r="K344" i="16"/>
  <c r="K345" i="16"/>
  <c r="K346" i="16"/>
  <c r="K347" i="16"/>
  <c r="K348" i="16"/>
  <c r="K349" i="16"/>
  <c r="K350" i="16"/>
  <c r="K351" i="16"/>
  <c r="K352" i="16"/>
  <c r="K353" i="16"/>
  <c r="K354" i="16"/>
  <c r="K355" i="16"/>
  <c r="K356" i="16"/>
  <c r="K357" i="16"/>
  <c r="K358" i="16"/>
  <c r="K359" i="16"/>
  <c r="K360" i="16"/>
  <c r="K361" i="16"/>
  <c r="K362" i="16"/>
  <c r="K363" i="16"/>
  <c r="K364" i="16"/>
  <c r="K365" i="16"/>
  <c r="K366" i="16"/>
  <c r="K367" i="16"/>
  <c r="K368" i="16"/>
  <c r="K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J50" i="16"/>
  <c r="J51" i="16"/>
  <c r="J52" i="16"/>
  <c r="J53" i="16"/>
  <c r="J54" i="16"/>
  <c r="J55" i="16"/>
  <c r="J56" i="16"/>
  <c r="J57" i="16"/>
  <c r="J58" i="16"/>
  <c r="J59" i="16"/>
  <c r="J60" i="16"/>
  <c r="J61" i="16"/>
  <c r="J62" i="16"/>
  <c r="J63" i="16"/>
  <c r="J64" i="16"/>
  <c r="J65" i="16"/>
  <c r="J66" i="16"/>
  <c r="J67" i="16"/>
  <c r="J68" i="16"/>
  <c r="J69" i="16"/>
  <c r="J70" i="16"/>
  <c r="J71" i="16"/>
  <c r="J72" i="16"/>
  <c r="J73" i="16"/>
  <c r="J74" i="16"/>
  <c r="J75" i="16"/>
  <c r="J76" i="16"/>
  <c r="J77" i="16"/>
  <c r="J78" i="16"/>
  <c r="J79" i="16"/>
  <c r="J80" i="16"/>
  <c r="J81" i="16"/>
  <c r="J82" i="16"/>
  <c r="J83" i="16"/>
  <c r="J84" i="16"/>
  <c r="J85" i="16"/>
  <c r="J86" i="16"/>
  <c r="J87" i="16"/>
  <c r="J88" i="16"/>
  <c r="J89" i="16"/>
  <c r="J90" i="16"/>
  <c r="J91" i="16"/>
  <c r="J92" i="16"/>
  <c r="J93" i="16"/>
  <c r="J94" i="16"/>
  <c r="J95" i="16"/>
  <c r="J96" i="16"/>
  <c r="J97" i="16"/>
  <c r="J98" i="16"/>
  <c r="J99" i="16"/>
  <c r="J100" i="16"/>
  <c r="J101" i="16"/>
  <c r="J102" i="16"/>
  <c r="J103" i="16"/>
  <c r="J104" i="16"/>
  <c r="J105" i="16"/>
  <c r="J106" i="16"/>
  <c r="J107" i="16"/>
  <c r="J108" i="16"/>
  <c r="J109" i="16"/>
  <c r="J110" i="16"/>
  <c r="J111" i="16"/>
  <c r="J112" i="16"/>
  <c r="J113" i="16"/>
  <c r="J114" i="16"/>
  <c r="J115" i="16"/>
  <c r="J116" i="16"/>
  <c r="J117" i="16"/>
  <c r="J118" i="16"/>
  <c r="J119" i="16"/>
  <c r="J120" i="16"/>
  <c r="J121" i="16"/>
  <c r="J122" i="16"/>
  <c r="J123" i="16"/>
  <c r="J124" i="16"/>
  <c r="J125" i="16"/>
  <c r="J126" i="16"/>
  <c r="J127" i="16"/>
  <c r="J128" i="16"/>
  <c r="J129" i="16"/>
  <c r="J130" i="16"/>
  <c r="J131" i="16"/>
  <c r="J132" i="16"/>
  <c r="J133" i="16"/>
  <c r="J134" i="16"/>
  <c r="J135" i="16"/>
  <c r="J136" i="16"/>
  <c r="J137" i="16"/>
  <c r="J138" i="16"/>
  <c r="J139" i="16"/>
  <c r="J140" i="16"/>
  <c r="J141" i="16"/>
  <c r="J142" i="16"/>
  <c r="J143" i="16"/>
  <c r="J144" i="16"/>
  <c r="J145" i="16"/>
  <c r="J146" i="16"/>
  <c r="J147" i="16"/>
  <c r="J148" i="16"/>
  <c r="J149" i="16"/>
  <c r="J150" i="16"/>
  <c r="J151" i="16"/>
  <c r="J152" i="16"/>
  <c r="J153" i="16"/>
  <c r="J154" i="16"/>
  <c r="J155" i="16"/>
  <c r="J156" i="16"/>
  <c r="J157" i="16"/>
  <c r="J158" i="16"/>
  <c r="J159" i="16"/>
  <c r="J160" i="16"/>
  <c r="J161" i="16"/>
  <c r="J162" i="16"/>
  <c r="J163" i="16"/>
  <c r="J164" i="16"/>
  <c r="J165" i="16"/>
  <c r="J166" i="16"/>
  <c r="J167" i="16"/>
  <c r="J168" i="16"/>
  <c r="J169" i="16"/>
  <c r="J170" i="16"/>
  <c r="J171" i="16"/>
  <c r="J172" i="16"/>
  <c r="J173" i="16"/>
  <c r="J174" i="16"/>
  <c r="J175" i="16"/>
  <c r="J176" i="16"/>
  <c r="J177" i="16"/>
  <c r="J178" i="16"/>
  <c r="J179" i="16"/>
  <c r="J180" i="16"/>
  <c r="J181" i="16"/>
  <c r="J182" i="16"/>
  <c r="J183" i="16"/>
  <c r="J184" i="16"/>
  <c r="J185" i="16"/>
  <c r="J186" i="16"/>
  <c r="J187" i="16"/>
  <c r="J188" i="16"/>
  <c r="J189" i="16"/>
  <c r="J190" i="16"/>
  <c r="J191" i="16"/>
  <c r="J192" i="16"/>
  <c r="J193" i="16"/>
  <c r="J194" i="16"/>
  <c r="J195" i="16"/>
  <c r="J196" i="16"/>
  <c r="J197" i="16"/>
  <c r="J198" i="16"/>
  <c r="J199" i="16"/>
  <c r="J200" i="16"/>
  <c r="J201" i="16"/>
  <c r="J202" i="16"/>
  <c r="J203" i="16"/>
  <c r="J204" i="16"/>
  <c r="J205" i="16"/>
  <c r="J206" i="16"/>
  <c r="J207" i="16"/>
  <c r="J208" i="16"/>
  <c r="J209" i="16"/>
  <c r="J210" i="16"/>
  <c r="J211" i="16"/>
  <c r="J212" i="16"/>
  <c r="J213" i="16"/>
  <c r="J214" i="16"/>
  <c r="J215" i="16"/>
  <c r="J216" i="16"/>
  <c r="J217" i="16"/>
  <c r="J218" i="16"/>
  <c r="J219" i="16"/>
  <c r="J220" i="16"/>
  <c r="J221" i="16"/>
  <c r="J222" i="16"/>
  <c r="J223" i="16"/>
  <c r="J224" i="16"/>
  <c r="J225" i="16"/>
  <c r="J226" i="16"/>
  <c r="J227" i="16"/>
  <c r="J228" i="16"/>
  <c r="J229" i="16"/>
  <c r="J230" i="16"/>
  <c r="J231" i="16"/>
  <c r="J232" i="16"/>
  <c r="J233" i="16"/>
  <c r="J234" i="16"/>
  <c r="J235" i="16"/>
  <c r="J236" i="16"/>
  <c r="J237" i="16"/>
  <c r="J238" i="16"/>
  <c r="J239" i="16"/>
  <c r="J240" i="16"/>
  <c r="J241" i="16"/>
  <c r="J242" i="16"/>
  <c r="J243" i="16"/>
  <c r="J244" i="16"/>
  <c r="J245" i="16"/>
  <c r="J246" i="16"/>
  <c r="J247" i="16"/>
  <c r="J248" i="16"/>
  <c r="J249" i="16"/>
  <c r="J250" i="16"/>
  <c r="J251" i="16"/>
  <c r="J252" i="16"/>
  <c r="J253" i="16"/>
  <c r="J254" i="16"/>
  <c r="J255" i="16"/>
  <c r="J256" i="16"/>
  <c r="J257" i="16"/>
  <c r="J258" i="16"/>
  <c r="J259" i="16"/>
  <c r="J260" i="16"/>
  <c r="J261" i="16"/>
  <c r="J262" i="16"/>
  <c r="J263" i="16"/>
  <c r="J264" i="16"/>
  <c r="J265" i="16"/>
  <c r="J266" i="16"/>
  <c r="J267" i="16"/>
  <c r="J268" i="16"/>
  <c r="J269" i="16"/>
  <c r="J270" i="16"/>
  <c r="J271" i="16"/>
  <c r="J272" i="16"/>
  <c r="J273" i="16"/>
  <c r="J274" i="16"/>
  <c r="J275" i="16"/>
  <c r="J276" i="16"/>
  <c r="J277" i="16"/>
  <c r="J278" i="16"/>
  <c r="J279" i="16"/>
  <c r="J280" i="16"/>
  <c r="J281" i="16"/>
  <c r="J282" i="16"/>
  <c r="J283" i="16"/>
  <c r="J284" i="16"/>
  <c r="J285" i="16"/>
  <c r="J286" i="16"/>
  <c r="J287" i="16"/>
  <c r="J288" i="16"/>
  <c r="J289" i="16"/>
  <c r="J290" i="16"/>
  <c r="J291" i="16"/>
  <c r="J292" i="16"/>
  <c r="J293" i="16"/>
  <c r="J294" i="16"/>
  <c r="J295" i="16"/>
  <c r="J296" i="16"/>
  <c r="J297" i="16"/>
  <c r="J298" i="16"/>
  <c r="J299" i="16"/>
  <c r="J300" i="16"/>
  <c r="J301" i="16"/>
  <c r="J302" i="16"/>
  <c r="J303" i="16"/>
  <c r="J304" i="16"/>
  <c r="J305" i="16"/>
  <c r="J306" i="16"/>
  <c r="J307" i="16"/>
  <c r="J308" i="16"/>
  <c r="J309" i="16"/>
  <c r="J310" i="16"/>
  <c r="J311" i="16"/>
  <c r="J312" i="16"/>
  <c r="J313" i="16"/>
  <c r="J314" i="16"/>
  <c r="J315" i="16"/>
  <c r="J316" i="16"/>
  <c r="J317" i="16"/>
  <c r="J318" i="16"/>
  <c r="J319" i="16"/>
  <c r="J320" i="16"/>
  <c r="J321" i="16"/>
  <c r="J322" i="16"/>
  <c r="J323" i="16"/>
  <c r="J324" i="16"/>
  <c r="J325" i="16"/>
  <c r="J326" i="16"/>
  <c r="J327" i="16"/>
  <c r="J328" i="16"/>
  <c r="J329" i="16"/>
  <c r="J330" i="16"/>
  <c r="J331" i="16"/>
  <c r="J332" i="16"/>
  <c r="J333" i="16"/>
  <c r="J334" i="16"/>
  <c r="J335" i="16"/>
  <c r="J336" i="16"/>
  <c r="J337" i="16"/>
  <c r="J338" i="16"/>
  <c r="J339" i="16"/>
  <c r="J340" i="16"/>
  <c r="J341" i="16"/>
  <c r="J342" i="16"/>
  <c r="J343" i="16"/>
  <c r="J344" i="16"/>
  <c r="J345" i="16"/>
  <c r="J346" i="16"/>
  <c r="J347" i="16"/>
  <c r="J348" i="16"/>
  <c r="J349" i="16"/>
  <c r="J350" i="16"/>
  <c r="J351" i="16"/>
  <c r="J352" i="16"/>
  <c r="J353" i="16"/>
  <c r="J354" i="16"/>
  <c r="J355" i="16"/>
  <c r="J356" i="16"/>
  <c r="J357" i="16"/>
  <c r="J358" i="16"/>
  <c r="J359" i="16"/>
  <c r="J360" i="16"/>
  <c r="J361" i="16"/>
  <c r="J362" i="16"/>
  <c r="J363" i="16"/>
  <c r="J364" i="16"/>
  <c r="J365" i="16"/>
  <c r="J366" i="16"/>
  <c r="J367" i="16"/>
  <c r="J368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7" i="16"/>
  <c r="I78" i="16"/>
  <c r="I79" i="16"/>
  <c r="I80" i="16"/>
  <c r="I81" i="16"/>
  <c r="I82" i="16"/>
  <c r="I83" i="16"/>
  <c r="I84" i="16"/>
  <c r="I85" i="16"/>
  <c r="I86" i="16"/>
  <c r="I87" i="16"/>
  <c r="I88" i="16"/>
  <c r="I89" i="16"/>
  <c r="I90" i="16"/>
  <c r="I91" i="16"/>
  <c r="I92" i="16"/>
  <c r="I93" i="16"/>
  <c r="I94" i="16"/>
  <c r="I95" i="16"/>
  <c r="I96" i="16"/>
  <c r="I97" i="16"/>
  <c r="I98" i="16"/>
  <c r="I99" i="16"/>
  <c r="I100" i="16"/>
  <c r="I101" i="16"/>
  <c r="I102" i="16"/>
  <c r="I103" i="16"/>
  <c r="I104" i="16"/>
  <c r="I105" i="16"/>
  <c r="I106" i="16"/>
  <c r="I107" i="16"/>
  <c r="I108" i="16"/>
  <c r="I109" i="16"/>
  <c r="I110" i="16"/>
  <c r="I111" i="16"/>
  <c r="I112" i="16"/>
  <c r="I113" i="16"/>
  <c r="I114" i="16"/>
  <c r="I115" i="16"/>
  <c r="I116" i="16"/>
  <c r="I117" i="16"/>
  <c r="I118" i="16"/>
  <c r="I119" i="16"/>
  <c r="I120" i="16"/>
  <c r="I121" i="16"/>
  <c r="I122" i="16"/>
  <c r="I123" i="16"/>
  <c r="I124" i="16"/>
  <c r="I125" i="16"/>
  <c r="I126" i="16"/>
  <c r="I127" i="16"/>
  <c r="I128" i="16"/>
  <c r="I129" i="16"/>
  <c r="I130" i="16"/>
  <c r="I131" i="16"/>
  <c r="I132" i="16"/>
  <c r="I133" i="16"/>
  <c r="I134" i="16"/>
  <c r="I135" i="16"/>
  <c r="I136" i="16"/>
  <c r="I137" i="16"/>
  <c r="I138" i="16"/>
  <c r="I139" i="16"/>
  <c r="I140" i="16"/>
  <c r="I141" i="16"/>
  <c r="I142" i="16"/>
  <c r="I143" i="16"/>
  <c r="I144" i="16"/>
  <c r="I145" i="16"/>
  <c r="I146" i="16"/>
  <c r="I147" i="16"/>
  <c r="I148" i="16"/>
  <c r="I149" i="16"/>
  <c r="I150" i="16"/>
  <c r="I151" i="16"/>
  <c r="I152" i="16"/>
  <c r="I153" i="16"/>
  <c r="I154" i="16"/>
  <c r="I155" i="16"/>
  <c r="I156" i="16"/>
  <c r="I157" i="16"/>
  <c r="I158" i="16"/>
  <c r="I159" i="16"/>
  <c r="I160" i="16"/>
  <c r="I161" i="16"/>
  <c r="I162" i="16"/>
  <c r="I163" i="16"/>
  <c r="I164" i="16"/>
  <c r="I165" i="16"/>
  <c r="I166" i="16"/>
  <c r="I167" i="16"/>
  <c r="I168" i="16"/>
  <c r="I169" i="16"/>
  <c r="I170" i="16"/>
  <c r="I171" i="16"/>
  <c r="I172" i="16"/>
  <c r="I173" i="16"/>
  <c r="I174" i="16"/>
  <c r="I175" i="16"/>
  <c r="I176" i="16"/>
  <c r="I177" i="16"/>
  <c r="I178" i="16"/>
  <c r="I179" i="16"/>
  <c r="I180" i="16"/>
  <c r="I181" i="16"/>
  <c r="I182" i="16"/>
  <c r="I183" i="16"/>
  <c r="I184" i="16"/>
  <c r="I185" i="16"/>
  <c r="I186" i="16"/>
  <c r="I187" i="16"/>
  <c r="I188" i="16"/>
  <c r="I189" i="16"/>
  <c r="I190" i="16"/>
  <c r="I191" i="16"/>
  <c r="I192" i="16"/>
  <c r="I193" i="16"/>
  <c r="I194" i="16"/>
  <c r="I195" i="16"/>
  <c r="I196" i="16"/>
  <c r="I197" i="16"/>
  <c r="I198" i="16"/>
  <c r="I199" i="16"/>
  <c r="I200" i="16"/>
  <c r="I201" i="16"/>
  <c r="I202" i="16"/>
  <c r="I203" i="16"/>
  <c r="I204" i="16"/>
  <c r="I205" i="16"/>
  <c r="I206" i="16"/>
  <c r="I207" i="16"/>
  <c r="I208" i="16"/>
  <c r="I209" i="16"/>
  <c r="I210" i="16"/>
  <c r="I211" i="16"/>
  <c r="I212" i="16"/>
  <c r="I213" i="16"/>
  <c r="I214" i="16"/>
  <c r="I215" i="16"/>
  <c r="I216" i="16"/>
  <c r="I217" i="16"/>
  <c r="I218" i="16"/>
  <c r="I219" i="16"/>
  <c r="I220" i="16"/>
  <c r="I221" i="16"/>
  <c r="I222" i="16"/>
  <c r="I223" i="16"/>
  <c r="I224" i="16"/>
  <c r="I225" i="16"/>
  <c r="I226" i="16"/>
  <c r="I227" i="16"/>
  <c r="I228" i="16"/>
  <c r="I229" i="16"/>
  <c r="I230" i="16"/>
  <c r="I231" i="16"/>
  <c r="I232" i="16"/>
  <c r="I233" i="16"/>
  <c r="I234" i="16"/>
  <c r="I235" i="16"/>
  <c r="I236" i="16"/>
  <c r="I237" i="16"/>
  <c r="I238" i="16"/>
  <c r="I239" i="16"/>
  <c r="I240" i="16"/>
  <c r="I241" i="16"/>
  <c r="I242" i="16"/>
  <c r="I243" i="16"/>
  <c r="I244" i="16"/>
  <c r="I245" i="16"/>
  <c r="I246" i="16"/>
  <c r="I247" i="16"/>
  <c r="I248" i="16"/>
  <c r="I249" i="16"/>
  <c r="I250" i="16"/>
  <c r="I251" i="16"/>
  <c r="I252" i="16"/>
  <c r="I253" i="16"/>
  <c r="I254" i="16"/>
  <c r="I255" i="16"/>
  <c r="I256" i="16"/>
  <c r="I257" i="16"/>
  <c r="I258" i="16"/>
  <c r="I259" i="16"/>
  <c r="I260" i="16"/>
  <c r="I261" i="16"/>
  <c r="I262" i="16"/>
  <c r="I263" i="16"/>
  <c r="I264" i="16"/>
  <c r="I265" i="16"/>
  <c r="I266" i="16"/>
  <c r="I267" i="16"/>
  <c r="I268" i="16"/>
  <c r="I269" i="16"/>
  <c r="I270" i="16"/>
  <c r="I271" i="16"/>
  <c r="I272" i="16"/>
  <c r="I273" i="16"/>
  <c r="I274" i="16"/>
  <c r="I275" i="16"/>
  <c r="I276" i="16"/>
  <c r="I277" i="16"/>
  <c r="I278" i="16"/>
  <c r="I279" i="16"/>
  <c r="I280" i="16"/>
  <c r="I281" i="16"/>
  <c r="I282" i="16"/>
  <c r="I283" i="16"/>
  <c r="I284" i="16"/>
  <c r="I285" i="16"/>
  <c r="I286" i="16"/>
  <c r="I287" i="16"/>
  <c r="I288" i="16"/>
  <c r="I289" i="16"/>
  <c r="I290" i="16"/>
  <c r="I291" i="16"/>
  <c r="I292" i="16"/>
  <c r="I293" i="16"/>
  <c r="I294" i="16"/>
  <c r="I295" i="16"/>
  <c r="I296" i="16"/>
  <c r="I297" i="16"/>
  <c r="I298" i="16"/>
  <c r="I299" i="16"/>
  <c r="I300" i="16"/>
  <c r="I301" i="16"/>
  <c r="I302" i="16"/>
  <c r="I303" i="16"/>
  <c r="I304" i="16"/>
  <c r="I305" i="16"/>
  <c r="I306" i="16"/>
  <c r="I307" i="16"/>
  <c r="I308" i="16"/>
  <c r="I309" i="16"/>
  <c r="I310" i="16"/>
  <c r="I311" i="16"/>
  <c r="I312" i="16"/>
  <c r="I313" i="16"/>
  <c r="I314" i="16"/>
  <c r="I315" i="16"/>
  <c r="I316" i="16"/>
  <c r="I317" i="16"/>
  <c r="I318" i="16"/>
  <c r="I319" i="16"/>
  <c r="I320" i="16"/>
  <c r="I321" i="16"/>
  <c r="I322" i="16"/>
  <c r="I323" i="16"/>
  <c r="I324" i="16"/>
  <c r="I325" i="16"/>
  <c r="I326" i="16"/>
  <c r="I327" i="16"/>
  <c r="I328" i="16"/>
  <c r="I329" i="16"/>
  <c r="I330" i="16"/>
  <c r="I331" i="16"/>
  <c r="I332" i="16"/>
  <c r="I333" i="16"/>
  <c r="I334" i="16"/>
  <c r="I335" i="16"/>
  <c r="I336" i="16"/>
  <c r="I337" i="16"/>
  <c r="I338" i="16"/>
  <c r="I339" i="16"/>
  <c r="I340" i="16"/>
  <c r="I341" i="16"/>
  <c r="I342" i="16"/>
  <c r="I343" i="16"/>
  <c r="I344" i="16"/>
  <c r="I345" i="16"/>
  <c r="I346" i="16"/>
  <c r="I347" i="16"/>
  <c r="I348" i="16"/>
  <c r="I349" i="16"/>
  <c r="I350" i="16"/>
  <c r="I351" i="16"/>
  <c r="I352" i="16"/>
  <c r="I353" i="16"/>
  <c r="I354" i="16"/>
  <c r="I355" i="16"/>
  <c r="I356" i="16"/>
  <c r="I357" i="16"/>
  <c r="I358" i="16"/>
  <c r="I359" i="16"/>
  <c r="I360" i="16"/>
  <c r="I361" i="16"/>
  <c r="I362" i="16"/>
  <c r="I363" i="16"/>
  <c r="I364" i="16"/>
  <c r="I365" i="16"/>
  <c r="I366" i="16"/>
  <c r="I367" i="16"/>
  <c r="I368" i="16"/>
  <c r="I9" i="16"/>
  <c r="F14" i="16"/>
  <c r="F13" i="16"/>
  <c r="I6" i="17"/>
  <c r="I7" i="17"/>
  <c r="I8" i="17"/>
  <c r="I9" i="17"/>
  <c r="I10" i="17"/>
  <c r="I11" i="17"/>
  <c r="I12" i="17"/>
  <c r="G6" i="17"/>
  <c r="G7" i="17"/>
  <c r="G8" i="17"/>
  <c r="G9" i="17"/>
  <c r="G10" i="17"/>
  <c r="G11" i="17"/>
  <c r="G12" i="17"/>
  <c r="G5" i="17"/>
  <c r="F5" i="17"/>
  <c r="F6" i="17"/>
  <c r="F7" i="17"/>
  <c r="F8" i="17"/>
  <c r="F9" i="17"/>
  <c r="F10" i="17"/>
  <c r="F11" i="17"/>
  <c r="F12" i="17"/>
  <c r="H6" i="9"/>
  <c r="H7" i="9"/>
  <c r="H8" i="9"/>
  <c r="H9" i="9"/>
  <c r="H5" i="9"/>
  <c r="F6" i="9"/>
  <c r="F7" i="9"/>
  <c r="F8" i="9"/>
  <c r="F9" i="9"/>
  <c r="F5" i="9"/>
  <c r="E5" i="9"/>
  <c r="E6" i="9"/>
  <c r="E7" i="9"/>
  <c r="E8" i="9"/>
  <c r="E9" i="9"/>
  <c r="E52" i="3"/>
  <c r="E53" i="3"/>
  <c r="E54" i="3"/>
  <c r="E55" i="3"/>
  <c r="E56" i="3"/>
  <c r="E57" i="3"/>
  <c r="E58" i="3"/>
  <c r="E59" i="3"/>
  <c r="E60" i="3"/>
  <c r="E61" i="3"/>
  <c r="D64" i="7"/>
  <c r="G31" i="3"/>
  <c r="G32" i="3"/>
  <c r="G33" i="3"/>
  <c r="G34" i="3"/>
  <c r="G35" i="3"/>
  <c r="G36" i="3"/>
  <c r="G37" i="3"/>
  <c r="G38" i="3"/>
  <c r="G39" i="3"/>
  <c r="G30" i="3"/>
  <c r="D65" i="7"/>
  <c r="D66" i="7"/>
  <c r="D67" i="7"/>
  <c r="D68" i="7"/>
  <c r="D69" i="7"/>
  <c r="N18" i="25"/>
  <c r="O18" i="25" s="1"/>
  <c r="N15" i="25"/>
  <c r="O15" i="25"/>
  <c r="N7" i="25" a="1"/>
  <c r="N7" i="25" s="1"/>
  <c r="H56" i="7" a="1"/>
  <c r="H56" i="7" s="1"/>
  <c r="I42" i="7" a="1"/>
  <c r="I42" i="7" s="1"/>
  <c r="H5" i="5"/>
  <c r="D5" i="7"/>
  <c r="D10" i="7"/>
  <c r="D11" i="7"/>
  <c r="D12" i="7"/>
  <c r="D13" i="7"/>
  <c r="D14" i="7"/>
  <c r="D15" i="7"/>
  <c r="D16" i="7"/>
  <c r="D17" i="7"/>
  <c r="D24" i="7"/>
  <c r="D25" i="7"/>
  <c r="D26" i="7"/>
  <c r="D27" i="7"/>
  <c r="D30" i="7"/>
  <c r="D31" i="7"/>
  <c r="O57" i="2"/>
  <c r="O56" i="2"/>
  <c r="M10" i="15"/>
  <c r="M11" i="15"/>
  <c r="M12" i="15"/>
  <c r="M13" i="15"/>
  <c r="F15" i="15"/>
  <c r="G15" i="15"/>
  <c r="H15" i="15"/>
  <c r="I15" i="15"/>
  <c r="J15" i="15"/>
  <c r="F14" i="15"/>
  <c r="G14" i="15"/>
  <c r="H14" i="15"/>
  <c r="I14" i="15"/>
  <c r="J14" i="15"/>
  <c r="F9" i="15"/>
  <c r="G9" i="15"/>
  <c r="H9" i="15"/>
  <c r="I9" i="15"/>
  <c r="J9" i="15"/>
  <c r="H19" i="24"/>
  <c r="H18" i="24"/>
  <c r="F53" i="3"/>
  <c r="F54" i="3"/>
  <c r="F55" i="3"/>
  <c r="F56" i="3"/>
  <c r="F57" i="3"/>
  <c r="F58" i="3"/>
  <c r="F59" i="3"/>
  <c r="F60" i="3"/>
  <c r="F61" i="3"/>
  <c r="F52" i="3"/>
  <c r="E19" i="24"/>
  <c r="E20" i="24"/>
  <c r="E21" i="24"/>
  <c r="E22" i="24"/>
  <c r="E23" i="24"/>
  <c r="E24" i="24"/>
  <c r="E25" i="24"/>
  <c r="E26" i="24"/>
  <c r="E27" i="24"/>
  <c r="E18" i="24"/>
  <c r="D19" i="24"/>
  <c r="D20" i="24"/>
  <c r="D21" i="24"/>
  <c r="D22" i="24"/>
  <c r="D23" i="24"/>
  <c r="D24" i="24"/>
  <c r="D25" i="24"/>
  <c r="D26" i="24"/>
  <c r="D27" i="24"/>
  <c r="D18" i="24"/>
  <c r="C19" i="24"/>
  <c r="C20" i="24"/>
  <c r="C21" i="24"/>
  <c r="C22" i="24"/>
  <c r="C23" i="24"/>
  <c r="C24" i="24"/>
  <c r="C25" i="24"/>
  <c r="C26" i="24"/>
  <c r="C27" i="24"/>
  <c r="C18" i="24"/>
  <c r="E11" i="24"/>
  <c r="E12" i="24"/>
  <c r="E13" i="24"/>
  <c r="D12" i="24"/>
  <c r="D13" i="24"/>
  <c r="D11" i="24"/>
  <c r="C11" i="24"/>
  <c r="C12" i="24"/>
  <c r="C13" i="24"/>
  <c r="L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O230" i="11"/>
  <c r="O231" i="11"/>
  <c r="O232" i="11"/>
  <c r="O233" i="11"/>
  <c r="O234" i="11"/>
  <c r="O235" i="11"/>
  <c r="O236" i="11"/>
  <c r="O237" i="11"/>
  <c r="O238" i="11"/>
  <c r="O239" i="11"/>
  <c r="O240" i="11"/>
  <c r="O241" i="11"/>
  <c r="O242" i="11"/>
  <c r="O243" i="11"/>
  <c r="O244" i="11"/>
  <c r="O245" i="11"/>
  <c r="O246" i="11"/>
  <c r="O247" i="11"/>
  <c r="O248" i="11"/>
  <c r="O249" i="11"/>
  <c r="O250" i="11"/>
  <c r="O251" i="11"/>
  <c r="O252" i="11"/>
  <c r="O253" i="11"/>
  <c r="O254" i="11"/>
  <c r="O255" i="11"/>
  <c r="O256" i="11"/>
  <c r="O257" i="11"/>
  <c r="O258" i="11"/>
  <c r="O259" i="11"/>
  <c r="O260" i="11"/>
  <c r="O261" i="11"/>
  <c r="O262" i="11"/>
  <c r="O263" i="11"/>
  <c r="O264" i="11"/>
  <c r="O265" i="11"/>
  <c r="O266" i="11"/>
  <c r="O267" i="11"/>
  <c r="O268" i="11"/>
  <c r="O269" i="11"/>
  <c r="O270" i="11"/>
  <c r="O271" i="11"/>
  <c r="O272" i="11"/>
  <c r="O273" i="11"/>
  <c r="O274" i="11"/>
  <c r="O275" i="11"/>
  <c r="O276" i="11"/>
  <c r="O277" i="11"/>
  <c r="O278" i="11"/>
  <c r="O279" i="11"/>
  <c r="O280" i="11"/>
  <c r="O281" i="11"/>
  <c r="O282" i="11"/>
  <c r="O283" i="11"/>
  <c r="O284" i="11"/>
  <c r="O285" i="11"/>
  <c r="O286" i="11"/>
  <c r="O287" i="11"/>
  <c r="O288" i="11"/>
  <c r="O289" i="11"/>
  <c r="O290" i="11"/>
  <c r="O291" i="11"/>
  <c r="O292" i="11"/>
  <c r="O293" i="11"/>
  <c r="O294" i="11"/>
  <c r="O295" i="11"/>
  <c r="O296" i="11"/>
  <c r="O297" i="11"/>
  <c r="O298" i="11"/>
  <c r="O299" i="11"/>
  <c r="O300" i="11"/>
  <c r="O301" i="11"/>
  <c r="O302" i="11"/>
  <c r="O303" i="11"/>
  <c r="O304" i="11"/>
  <c r="O305" i="11"/>
  <c r="O306" i="11"/>
  <c r="O307" i="11"/>
  <c r="O308" i="11"/>
  <c r="O309" i="11"/>
  <c r="O310" i="11"/>
  <c r="O311" i="11"/>
  <c r="O312" i="11"/>
  <c r="O313" i="11"/>
  <c r="O314" i="11"/>
  <c r="O315" i="11"/>
  <c r="O316" i="11"/>
  <c r="O317" i="11"/>
  <c r="O318" i="11"/>
  <c r="O319" i="11"/>
  <c r="O320" i="11"/>
  <c r="O321" i="11"/>
  <c r="O322" i="11"/>
  <c r="O323" i="11"/>
  <c r="O324" i="11"/>
  <c r="O325" i="11"/>
  <c r="O326" i="11"/>
  <c r="O327" i="11"/>
  <c r="O328" i="11"/>
  <c r="O329" i="11"/>
  <c r="O330" i="11"/>
  <c r="O331" i="11"/>
  <c r="O332" i="11"/>
  <c r="O333" i="11"/>
  <c r="O334" i="11"/>
  <c r="O335" i="11"/>
  <c r="O336" i="11"/>
  <c r="O337" i="11"/>
  <c r="O338" i="11"/>
  <c r="O339" i="11"/>
  <c r="O340" i="11"/>
  <c r="O341" i="11"/>
  <c r="O342" i="11"/>
  <c r="O343" i="11"/>
  <c r="O344" i="11"/>
  <c r="O345" i="11"/>
  <c r="O346" i="11"/>
  <c r="O347" i="11"/>
  <c r="O348" i="11"/>
  <c r="O349" i="11"/>
  <c r="O350" i="11"/>
  <c r="O351" i="11"/>
  <c r="O352" i="11"/>
  <c r="O353" i="11"/>
  <c r="O354" i="11"/>
  <c r="O355" i="11"/>
  <c r="O356" i="11"/>
  <c r="O357" i="11"/>
  <c r="O358" i="11"/>
  <c r="O359" i="11"/>
  <c r="O360" i="11"/>
  <c r="O361" i="11"/>
  <c r="O362" i="11"/>
  <c r="O363" i="11"/>
  <c r="O364" i="11"/>
  <c r="O365" i="11"/>
  <c r="O366" i="11"/>
  <c r="O367" i="11"/>
  <c r="O368" i="11"/>
  <c r="O369" i="11"/>
  <c r="O370" i="11"/>
  <c r="O371" i="11"/>
  <c r="O372" i="11"/>
  <c r="O373" i="11"/>
  <c r="O374" i="11"/>
  <c r="O375" i="11"/>
  <c r="O376" i="11"/>
  <c r="O377" i="11"/>
  <c r="O378" i="11"/>
  <c r="O379" i="11"/>
  <c r="O380" i="11"/>
  <c r="O381" i="11"/>
  <c r="O382" i="11"/>
  <c r="O383" i="11"/>
  <c r="O384" i="11"/>
  <c r="O385" i="11"/>
  <c r="O386" i="11"/>
  <c r="O387" i="11"/>
  <c r="O388" i="11"/>
  <c r="O389" i="11"/>
  <c r="O390" i="11"/>
  <c r="O391" i="11"/>
  <c r="O392" i="11"/>
  <c r="O393" i="11"/>
  <c r="O394" i="11"/>
  <c r="O395" i="11"/>
  <c r="O396" i="11"/>
  <c r="O397" i="11"/>
  <c r="O398" i="11"/>
  <c r="O399" i="11"/>
  <c r="O400" i="11"/>
  <c r="O401" i="11"/>
  <c r="O402" i="11"/>
  <c r="O403" i="11"/>
  <c r="O404" i="11"/>
  <c r="O405" i="11"/>
  <c r="O406" i="11"/>
  <c r="O407" i="11"/>
  <c r="O408" i="11"/>
  <c r="O409" i="11"/>
  <c r="O410" i="11"/>
  <c r="O411" i="11"/>
  <c r="O412" i="11"/>
  <c r="O413" i="11"/>
  <c r="O414" i="11"/>
  <c r="O415" i="11"/>
  <c r="O416" i="11"/>
  <c r="O417" i="11"/>
  <c r="O418" i="11"/>
  <c r="O419" i="11"/>
  <c r="O420" i="11"/>
  <c r="O421" i="11"/>
  <c r="O422" i="11"/>
  <c r="O423" i="11"/>
  <c r="O424" i="11"/>
  <c r="O425" i="11"/>
  <c r="O426" i="11"/>
  <c r="O427" i="11"/>
  <c r="O428" i="11"/>
  <c r="O429" i="11"/>
  <c r="O430" i="11"/>
  <c r="O431" i="11"/>
  <c r="O432" i="11"/>
  <c r="O433" i="11"/>
  <c r="O434" i="11"/>
  <c r="O435" i="11"/>
  <c r="O436" i="11"/>
  <c r="O437" i="11"/>
  <c r="O438" i="11"/>
  <c r="O439" i="11"/>
  <c r="O440" i="11"/>
  <c r="O441" i="11"/>
  <c r="O442" i="11"/>
  <c r="O443" i="11"/>
  <c r="O444" i="11"/>
  <c r="O445" i="11"/>
  <c r="O446" i="11"/>
  <c r="O447" i="11"/>
  <c r="O448" i="11"/>
  <c r="O449" i="11"/>
  <c r="O450" i="11"/>
  <c r="O451" i="11"/>
  <c r="O452" i="11"/>
  <c r="O453" i="11"/>
  <c r="O454" i="11"/>
  <c r="O455" i="11"/>
  <c r="O456" i="11"/>
  <c r="O457" i="11"/>
  <c r="O458" i="11"/>
  <c r="O459" i="11"/>
  <c r="O460" i="11"/>
  <c r="O461" i="11"/>
  <c r="O462" i="11"/>
  <c r="O463" i="11"/>
  <c r="O464" i="11"/>
  <c r="O465" i="11"/>
  <c r="O466" i="11"/>
  <c r="O467" i="11"/>
  <c r="O468" i="11"/>
  <c r="O469" i="11"/>
  <c r="O470" i="11"/>
  <c r="O471" i="11"/>
  <c r="O472" i="11"/>
  <c r="O473" i="11"/>
  <c r="O474" i="11"/>
  <c r="O475" i="11"/>
  <c r="O476" i="11"/>
  <c r="O477" i="11"/>
  <c r="O478" i="11"/>
  <c r="O479" i="11"/>
  <c r="O480" i="11"/>
  <c r="O481" i="11"/>
  <c r="O482" i="11"/>
  <c r="O483" i="11"/>
  <c r="O484" i="11"/>
  <c r="O485" i="11"/>
  <c r="O486" i="11"/>
  <c r="O487" i="11"/>
  <c r="O488" i="11"/>
  <c r="O489" i="11"/>
  <c r="O490" i="11"/>
  <c r="O491" i="11"/>
  <c r="O492" i="11"/>
  <c r="O493" i="11"/>
  <c r="O494" i="11"/>
  <c r="O495" i="11"/>
  <c r="O496" i="11"/>
  <c r="O497" i="11"/>
  <c r="O498" i="11"/>
  <c r="O499" i="11"/>
  <c r="O500" i="11"/>
  <c r="O501" i="11"/>
  <c r="O502" i="11"/>
  <c r="O503" i="11"/>
  <c r="O504" i="11"/>
  <c r="O505" i="11"/>
  <c r="O506" i="11"/>
  <c r="O507" i="11"/>
  <c r="O508" i="11"/>
  <c r="O509" i="11"/>
  <c r="O510" i="11"/>
  <c r="O511" i="11"/>
  <c r="O512" i="11"/>
  <c r="O513" i="11"/>
  <c r="O514" i="11"/>
  <c r="O515" i="11"/>
  <c r="O516" i="11"/>
  <c r="O517" i="11"/>
  <c r="O518" i="11"/>
  <c r="O519" i="11"/>
  <c r="O520" i="11"/>
  <c r="O521" i="11"/>
  <c r="O522" i="11"/>
  <c r="O523" i="11"/>
  <c r="O524" i="11"/>
  <c r="O525" i="11"/>
  <c r="O526" i="11"/>
  <c r="O527" i="11"/>
  <c r="O528" i="11"/>
  <c r="O529" i="11"/>
  <c r="O6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N177" i="11"/>
  <c r="N178" i="11"/>
  <c r="N179" i="11"/>
  <c r="N180" i="11"/>
  <c r="N181" i="11"/>
  <c r="N182" i="11"/>
  <c r="N183" i="11"/>
  <c r="N184" i="11"/>
  <c r="N185" i="11"/>
  <c r="N186" i="11"/>
  <c r="N187" i="11"/>
  <c r="N188" i="11"/>
  <c r="N189" i="11"/>
  <c r="N190" i="11"/>
  <c r="N191" i="11"/>
  <c r="N192" i="11"/>
  <c r="N193" i="11"/>
  <c r="N194" i="11"/>
  <c r="N195" i="11"/>
  <c r="N196" i="11"/>
  <c r="N197" i="11"/>
  <c r="N198" i="11"/>
  <c r="N199" i="11"/>
  <c r="N200" i="11"/>
  <c r="N201" i="11"/>
  <c r="N202" i="11"/>
  <c r="N203" i="11"/>
  <c r="N204" i="11"/>
  <c r="N205" i="11"/>
  <c r="N206" i="11"/>
  <c r="N207" i="11"/>
  <c r="N208" i="11"/>
  <c r="N209" i="11"/>
  <c r="N210" i="11"/>
  <c r="N211" i="11"/>
  <c r="N212" i="11"/>
  <c r="N213" i="11"/>
  <c r="N214" i="11"/>
  <c r="N215" i="11"/>
  <c r="N216" i="11"/>
  <c r="N217" i="11"/>
  <c r="N218" i="11"/>
  <c r="N219" i="11"/>
  <c r="N220" i="11"/>
  <c r="N221" i="11"/>
  <c r="N222" i="11"/>
  <c r="N223" i="11"/>
  <c r="N224" i="11"/>
  <c r="N225" i="11"/>
  <c r="N226" i="11"/>
  <c r="N227" i="11"/>
  <c r="N228" i="11"/>
  <c r="N229" i="11"/>
  <c r="N230" i="11"/>
  <c r="N231" i="11"/>
  <c r="N232" i="11"/>
  <c r="N233" i="11"/>
  <c r="N234" i="11"/>
  <c r="N235" i="11"/>
  <c r="N236" i="11"/>
  <c r="N237" i="11"/>
  <c r="N238" i="11"/>
  <c r="N239" i="11"/>
  <c r="N240" i="11"/>
  <c r="N241" i="11"/>
  <c r="N242" i="11"/>
  <c r="N243" i="11"/>
  <c r="N244" i="11"/>
  <c r="N245" i="11"/>
  <c r="N246" i="11"/>
  <c r="N247" i="11"/>
  <c r="N248" i="11"/>
  <c r="N249" i="11"/>
  <c r="N250" i="11"/>
  <c r="N251" i="11"/>
  <c r="N252" i="11"/>
  <c r="N253" i="11"/>
  <c r="N254" i="11"/>
  <c r="N255" i="11"/>
  <c r="N256" i="11"/>
  <c r="N257" i="11"/>
  <c r="N258" i="11"/>
  <c r="N259" i="11"/>
  <c r="N260" i="11"/>
  <c r="N261" i="11"/>
  <c r="N262" i="11"/>
  <c r="N263" i="11"/>
  <c r="N264" i="11"/>
  <c r="N265" i="11"/>
  <c r="N266" i="11"/>
  <c r="N267" i="11"/>
  <c r="N268" i="11"/>
  <c r="N269" i="11"/>
  <c r="N270" i="11"/>
  <c r="N271" i="11"/>
  <c r="N272" i="11"/>
  <c r="N273" i="11"/>
  <c r="N274" i="11"/>
  <c r="N275" i="11"/>
  <c r="N276" i="11"/>
  <c r="N277" i="11"/>
  <c r="N278" i="11"/>
  <c r="N279" i="11"/>
  <c r="N280" i="11"/>
  <c r="N281" i="11"/>
  <c r="N282" i="11"/>
  <c r="N283" i="11"/>
  <c r="N284" i="11"/>
  <c r="N285" i="11"/>
  <c r="N286" i="11"/>
  <c r="N287" i="11"/>
  <c r="N288" i="11"/>
  <c r="N289" i="11"/>
  <c r="N290" i="11"/>
  <c r="N291" i="11"/>
  <c r="N292" i="11"/>
  <c r="N293" i="11"/>
  <c r="N294" i="11"/>
  <c r="N295" i="11"/>
  <c r="N296" i="11"/>
  <c r="N297" i="11"/>
  <c r="N298" i="11"/>
  <c r="N299" i="11"/>
  <c r="N300" i="11"/>
  <c r="N301" i="11"/>
  <c r="N302" i="11"/>
  <c r="N303" i="11"/>
  <c r="N304" i="11"/>
  <c r="N305" i="11"/>
  <c r="N306" i="11"/>
  <c r="N307" i="11"/>
  <c r="N308" i="11"/>
  <c r="N309" i="11"/>
  <c r="N310" i="11"/>
  <c r="N311" i="11"/>
  <c r="N312" i="11"/>
  <c r="N313" i="11"/>
  <c r="N314" i="11"/>
  <c r="N315" i="11"/>
  <c r="N316" i="11"/>
  <c r="N317" i="11"/>
  <c r="N318" i="11"/>
  <c r="N319" i="11"/>
  <c r="N320" i="11"/>
  <c r="N321" i="11"/>
  <c r="N322" i="11"/>
  <c r="N323" i="11"/>
  <c r="N324" i="11"/>
  <c r="N325" i="11"/>
  <c r="N326" i="11"/>
  <c r="N327" i="11"/>
  <c r="N328" i="11"/>
  <c r="N329" i="11"/>
  <c r="N330" i="11"/>
  <c r="N331" i="11"/>
  <c r="N332" i="11"/>
  <c r="N333" i="11"/>
  <c r="N334" i="11"/>
  <c r="N335" i="11"/>
  <c r="N336" i="11"/>
  <c r="N337" i="11"/>
  <c r="N338" i="11"/>
  <c r="N339" i="11"/>
  <c r="N340" i="11"/>
  <c r="N341" i="11"/>
  <c r="N342" i="11"/>
  <c r="N343" i="11"/>
  <c r="N344" i="11"/>
  <c r="N345" i="11"/>
  <c r="N346" i="11"/>
  <c r="N347" i="11"/>
  <c r="N348" i="11"/>
  <c r="N349" i="11"/>
  <c r="N350" i="11"/>
  <c r="N351" i="11"/>
  <c r="N352" i="11"/>
  <c r="N353" i="11"/>
  <c r="N354" i="11"/>
  <c r="N355" i="11"/>
  <c r="N356" i="11"/>
  <c r="N357" i="11"/>
  <c r="N358" i="11"/>
  <c r="N359" i="11"/>
  <c r="N360" i="11"/>
  <c r="N361" i="11"/>
  <c r="N362" i="11"/>
  <c r="N363" i="11"/>
  <c r="N364" i="11"/>
  <c r="N365" i="11"/>
  <c r="N366" i="11"/>
  <c r="N367" i="11"/>
  <c r="N368" i="11"/>
  <c r="N369" i="11"/>
  <c r="N370" i="11"/>
  <c r="N371" i="11"/>
  <c r="N372" i="11"/>
  <c r="N373" i="11"/>
  <c r="N374" i="11"/>
  <c r="N375" i="11"/>
  <c r="N376" i="11"/>
  <c r="N377" i="11"/>
  <c r="N378" i="11"/>
  <c r="N379" i="11"/>
  <c r="N380" i="11"/>
  <c r="N381" i="11"/>
  <c r="N382" i="11"/>
  <c r="N383" i="11"/>
  <c r="N384" i="11"/>
  <c r="N385" i="11"/>
  <c r="N386" i="11"/>
  <c r="N387" i="11"/>
  <c r="N388" i="11"/>
  <c r="N389" i="11"/>
  <c r="N390" i="11"/>
  <c r="N391" i="11"/>
  <c r="N392" i="11"/>
  <c r="N393" i="11"/>
  <c r="N394" i="11"/>
  <c r="N395" i="11"/>
  <c r="N396" i="11"/>
  <c r="N397" i="11"/>
  <c r="N398" i="11"/>
  <c r="N399" i="11"/>
  <c r="N400" i="11"/>
  <c r="N401" i="11"/>
  <c r="N402" i="11"/>
  <c r="N403" i="11"/>
  <c r="N404" i="11"/>
  <c r="N405" i="11"/>
  <c r="N406" i="11"/>
  <c r="N407" i="11"/>
  <c r="N408" i="11"/>
  <c r="N409" i="11"/>
  <c r="N410" i="11"/>
  <c r="N411" i="11"/>
  <c r="N412" i="11"/>
  <c r="N413" i="11"/>
  <c r="N414" i="11"/>
  <c r="N415" i="11"/>
  <c r="N416" i="11"/>
  <c r="N417" i="11"/>
  <c r="N418" i="11"/>
  <c r="N419" i="11"/>
  <c r="N420" i="11"/>
  <c r="N421" i="11"/>
  <c r="N422" i="11"/>
  <c r="N423" i="11"/>
  <c r="N424" i="11"/>
  <c r="N425" i="11"/>
  <c r="N426" i="11"/>
  <c r="N427" i="11"/>
  <c r="N428" i="11"/>
  <c r="N429" i="11"/>
  <c r="N430" i="11"/>
  <c r="N431" i="11"/>
  <c r="N432" i="11"/>
  <c r="N433" i="11"/>
  <c r="N434" i="11"/>
  <c r="N435" i="11"/>
  <c r="N436" i="11"/>
  <c r="N437" i="11"/>
  <c r="N438" i="11"/>
  <c r="N439" i="11"/>
  <c r="N440" i="11"/>
  <c r="N441" i="11"/>
  <c r="N442" i="11"/>
  <c r="N443" i="11"/>
  <c r="N444" i="11"/>
  <c r="N445" i="11"/>
  <c r="N446" i="11"/>
  <c r="N447" i="11"/>
  <c r="N448" i="11"/>
  <c r="N449" i="11"/>
  <c r="N450" i="11"/>
  <c r="N451" i="11"/>
  <c r="N452" i="11"/>
  <c r="N453" i="11"/>
  <c r="N454" i="11"/>
  <c r="N455" i="11"/>
  <c r="N456" i="11"/>
  <c r="N457" i="11"/>
  <c r="N458" i="11"/>
  <c r="N459" i="11"/>
  <c r="N460" i="11"/>
  <c r="N461" i="11"/>
  <c r="N462" i="11"/>
  <c r="N463" i="11"/>
  <c r="N464" i="11"/>
  <c r="N465" i="11"/>
  <c r="N466" i="11"/>
  <c r="N467" i="11"/>
  <c r="N468" i="11"/>
  <c r="N469" i="11"/>
  <c r="N470" i="11"/>
  <c r="N471" i="11"/>
  <c r="N472" i="11"/>
  <c r="N473" i="11"/>
  <c r="N474" i="11"/>
  <c r="N475" i="11"/>
  <c r="N476" i="11"/>
  <c r="N477" i="11"/>
  <c r="N478" i="11"/>
  <c r="N479" i="11"/>
  <c r="N480" i="11"/>
  <c r="N481" i="11"/>
  <c r="N482" i="11"/>
  <c r="N483" i="11"/>
  <c r="N484" i="11"/>
  <c r="N485" i="11"/>
  <c r="N486" i="11"/>
  <c r="N487" i="11"/>
  <c r="N488" i="11"/>
  <c r="N489" i="11"/>
  <c r="N490" i="11"/>
  <c r="N491" i="11"/>
  <c r="N492" i="11"/>
  <c r="N493" i="11"/>
  <c r="N494" i="11"/>
  <c r="N495" i="11"/>
  <c r="N496" i="11"/>
  <c r="N497" i="11"/>
  <c r="N498" i="11"/>
  <c r="N499" i="11"/>
  <c r="N500" i="11"/>
  <c r="N501" i="11"/>
  <c r="N502" i="11"/>
  <c r="N503" i="11"/>
  <c r="N504" i="11"/>
  <c r="N505" i="11"/>
  <c r="N506" i="11"/>
  <c r="N507" i="11"/>
  <c r="N508" i="11"/>
  <c r="N509" i="11"/>
  <c r="N510" i="11"/>
  <c r="N511" i="11"/>
  <c r="N512" i="11"/>
  <c r="N513" i="11"/>
  <c r="N514" i="11"/>
  <c r="N515" i="11"/>
  <c r="N516" i="11"/>
  <c r="N517" i="11"/>
  <c r="N518" i="11"/>
  <c r="N519" i="11"/>
  <c r="N520" i="11"/>
  <c r="N521" i="11"/>
  <c r="N522" i="11"/>
  <c r="N523" i="11"/>
  <c r="N524" i="11"/>
  <c r="N525" i="11"/>
  <c r="N526" i="11"/>
  <c r="N527" i="11"/>
  <c r="N528" i="11"/>
  <c r="N529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201" i="11"/>
  <c r="M202" i="11"/>
  <c r="M203" i="11"/>
  <c r="M204" i="11"/>
  <c r="M205" i="11"/>
  <c r="M206" i="11"/>
  <c r="M207" i="11"/>
  <c r="M208" i="11"/>
  <c r="M209" i="11"/>
  <c r="M210" i="11"/>
  <c r="M211" i="11"/>
  <c r="M212" i="11"/>
  <c r="M213" i="11"/>
  <c r="M214" i="11"/>
  <c r="M215" i="11"/>
  <c r="M216" i="11"/>
  <c r="M217" i="11"/>
  <c r="M218" i="11"/>
  <c r="M219" i="11"/>
  <c r="M220" i="11"/>
  <c r="M221" i="11"/>
  <c r="M222" i="11"/>
  <c r="M223" i="11"/>
  <c r="M224" i="11"/>
  <c r="M225" i="11"/>
  <c r="M226" i="11"/>
  <c r="M227" i="11"/>
  <c r="M228" i="11"/>
  <c r="M229" i="11"/>
  <c r="M230" i="11"/>
  <c r="M231" i="11"/>
  <c r="M232" i="11"/>
  <c r="M233" i="11"/>
  <c r="M234" i="11"/>
  <c r="M235" i="11"/>
  <c r="M236" i="11"/>
  <c r="M237" i="11"/>
  <c r="M238" i="11"/>
  <c r="M239" i="11"/>
  <c r="M240" i="11"/>
  <c r="M241" i="11"/>
  <c r="M242" i="11"/>
  <c r="M243" i="11"/>
  <c r="M244" i="11"/>
  <c r="M245" i="11"/>
  <c r="M246" i="11"/>
  <c r="M247" i="11"/>
  <c r="M248" i="11"/>
  <c r="M249" i="11"/>
  <c r="M250" i="11"/>
  <c r="M251" i="11"/>
  <c r="M252" i="11"/>
  <c r="M253" i="11"/>
  <c r="M254" i="11"/>
  <c r="M255" i="11"/>
  <c r="M256" i="11"/>
  <c r="M257" i="11"/>
  <c r="M258" i="11"/>
  <c r="M259" i="11"/>
  <c r="M260" i="11"/>
  <c r="M261" i="11"/>
  <c r="M262" i="11"/>
  <c r="M263" i="11"/>
  <c r="M264" i="11"/>
  <c r="M265" i="11"/>
  <c r="M266" i="11"/>
  <c r="M267" i="11"/>
  <c r="M268" i="11"/>
  <c r="M269" i="11"/>
  <c r="M270" i="11"/>
  <c r="M271" i="11"/>
  <c r="M272" i="11"/>
  <c r="M273" i="11"/>
  <c r="M274" i="11"/>
  <c r="M275" i="11"/>
  <c r="M276" i="11"/>
  <c r="M277" i="11"/>
  <c r="M278" i="11"/>
  <c r="M279" i="11"/>
  <c r="M280" i="11"/>
  <c r="M281" i="11"/>
  <c r="M282" i="11"/>
  <c r="M283" i="11"/>
  <c r="M284" i="11"/>
  <c r="M285" i="11"/>
  <c r="M286" i="11"/>
  <c r="M287" i="11"/>
  <c r="M288" i="11"/>
  <c r="M289" i="11"/>
  <c r="M290" i="11"/>
  <c r="M291" i="11"/>
  <c r="M292" i="11"/>
  <c r="M293" i="11"/>
  <c r="M294" i="11"/>
  <c r="M295" i="11"/>
  <c r="M296" i="11"/>
  <c r="M297" i="11"/>
  <c r="M298" i="11"/>
  <c r="M299" i="11"/>
  <c r="M300" i="11"/>
  <c r="M301" i="11"/>
  <c r="M302" i="11"/>
  <c r="M303" i="11"/>
  <c r="M304" i="11"/>
  <c r="M305" i="11"/>
  <c r="M306" i="11"/>
  <c r="M307" i="11"/>
  <c r="M308" i="11"/>
  <c r="M309" i="11"/>
  <c r="M310" i="11"/>
  <c r="M311" i="11"/>
  <c r="M312" i="11"/>
  <c r="M313" i="11"/>
  <c r="M314" i="11"/>
  <c r="M315" i="11"/>
  <c r="M316" i="11"/>
  <c r="M317" i="11"/>
  <c r="M318" i="11"/>
  <c r="M319" i="11"/>
  <c r="M320" i="11"/>
  <c r="M321" i="11"/>
  <c r="M322" i="11"/>
  <c r="M323" i="11"/>
  <c r="M324" i="11"/>
  <c r="M325" i="11"/>
  <c r="M326" i="11"/>
  <c r="M327" i="11"/>
  <c r="M328" i="11"/>
  <c r="M329" i="11"/>
  <c r="M330" i="11"/>
  <c r="M331" i="11"/>
  <c r="M332" i="11"/>
  <c r="M333" i="11"/>
  <c r="M334" i="11"/>
  <c r="M335" i="11"/>
  <c r="M336" i="11"/>
  <c r="M337" i="11"/>
  <c r="M338" i="11"/>
  <c r="M339" i="11"/>
  <c r="M340" i="11"/>
  <c r="M341" i="11"/>
  <c r="M342" i="11"/>
  <c r="M343" i="11"/>
  <c r="M344" i="11"/>
  <c r="M345" i="11"/>
  <c r="M346" i="11"/>
  <c r="M347" i="11"/>
  <c r="M348" i="11"/>
  <c r="M349" i="11"/>
  <c r="M350" i="11"/>
  <c r="M351" i="11"/>
  <c r="M352" i="11"/>
  <c r="M353" i="11"/>
  <c r="M354" i="11"/>
  <c r="M355" i="11"/>
  <c r="M356" i="11"/>
  <c r="M357" i="11"/>
  <c r="M358" i="11"/>
  <c r="M359" i="11"/>
  <c r="M360" i="11"/>
  <c r="M361" i="11"/>
  <c r="M362" i="11"/>
  <c r="M363" i="11"/>
  <c r="M364" i="11"/>
  <c r="M365" i="11"/>
  <c r="M366" i="11"/>
  <c r="M367" i="11"/>
  <c r="M368" i="11"/>
  <c r="M369" i="11"/>
  <c r="M370" i="11"/>
  <c r="M371" i="11"/>
  <c r="M372" i="11"/>
  <c r="M373" i="11"/>
  <c r="M374" i="11"/>
  <c r="M375" i="11"/>
  <c r="M376" i="11"/>
  <c r="M377" i="11"/>
  <c r="M378" i="11"/>
  <c r="M379" i="11"/>
  <c r="M380" i="11"/>
  <c r="M381" i="11"/>
  <c r="M382" i="11"/>
  <c r="M383" i="11"/>
  <c r="M384" i="11"/>
  <c r="M385" i="11"/>
  <c r="M386" i="11"/>
  <c r="M387" i="11"/>
  <c r="M388" i="11"/>
  <c r="M389" i="11"/>
  <c r="M390" i="11"/>
  <c r="M391" i="11"/>
  <c r="M392" i="11"/>
  <c r="M393" i="11"/>
  <c r="M394" i="11"/>
  <c r="M395" i="11"/>
  <c r="M396" i="11"/>
  <c r="M397" i="11"/>
  <c r="M398" i="11"/>
  <c r="M399" i="11"/>
  <c r="M400" i="11"/>
  <c r="M401" i="11"/>
  <c r="M402" i="11"/>
  <c r="M403" i="11"/>
  <c r="M404" i="11"/>
  <c r="M405" i="11"/>
  <c r="M406" i="11"/>
  <c r="M407" i="11"/>
  <c r="M408" i="11"/>
  <c r="M409" i="11"/>
  <c r="M410" i="11"/>
  <c r="M411" i="11"/>
  <c r="M412" i="11"/>
  <c r="M413" i="11"/>
  <c r="M414" i="11"/>
  <c r="M415" i="11"/>
  <c r="M416" i="11"/>
  <c r="M417" i="11"/>
  <c r="M418" i="11"/>
  <c r="M419" i="11"/>
  <c r="M420" i="11"/>
  <c r="M421" i="11"/>
  <c r="M422" i="11"/>
  <c r="M423" i="11"/>
  <c r="M424" i="11"/>
  <c r="M425" i="11"/>
  <c r="M426" i="11"/>
  <c r="M427" i="11"/>
  <c r="M428" i="11"/>
  <c r="M429" i="11"/>
  <c r="M430" i="11"/>
  <c r="M431" i="11"/>
  <c r="M432" i="11"/>
  <c r="M433" i="11"/>
  <c r="M434" i="11"/>
  <c r="M435" i="11"/>
  <c r="M436" i="11"/>
  <c r="M437" i="11"/>
  <c r="M438" i="11"/>
  <c r="M439" i="11"/>
  <c r="M440" i="11"/>
  <c r="M441" i="11"/>
  <c r="M442" i="11"/>
  <c r="M443" i="11"/>
  <c r="M444" i="11"/>
  <c r="M445" i="11"/>
  <c r="M446" i="11"/>
  <c r="M447" i="11"/>
  <c r="M448" i="11"/>
  <c r="M449" i="11"/>
  <c r="M450" i="11"/>
  <c r="M451" i="11"/>
  <c r="M452" i="11"/>
  <c r="M453" i="11"/>
  <c r="M454" i="11"/>
  <c r="M455" i="11"/>
  <c r="M456" i="11"/>
  <c r="M457" i="11"/>
  <c r="M458" i="11"/>
  <c r="M459" i="11"/>
  <c r="M460" i="11"/>
  <c r="M461" i="11"/>
  <c r="M462" i="11"/>
  <c r="M463" i="11"/>
  <c r="M464" i="11"/>
  <c r="M465" i="11"/>
  <c r="M466" i="11"/>
  <c r="M467" i="11"/>
  <c r="M468" i="11"/>
  <c r="M469" i="11"/>
  <c r="M470" i="11"/>
  <c r="M471" i="11"/>
  <c r="M472" i="11"/>
  <c r="M473" i="11"/>
  <c r="M474" i="11"/>
  <c r="M475" i="11"/>
  <c r="M476" i="11"/>
  <c r="M477" i="11"/>
  <c r="M478" i="11"/>
  <c r="M479" i="11"/>
  <c r="M480" i="11"/>
  <c r="M481" i="11"/>
  <c r="M482" i="11"/>
  <c r="M483" i="11"/>
  <c r="M484" i="11"/>
  <c r="M485" i="11"/>
  <c r="M486" i="11"/>
  <c r="M487" i="11"/>
  <c r="M488" i="11"/>
  <c r="M489" i="11"/>
  <c r="M490" i="11"/>
  <c r="M491" i="11"/>
  <c r="M492" i="11"/>
  <c r="M493" i="11"/>
  <c r="M494" i="11"/>
  <c r="M495" i="11"/>
  <c r="M496" i="11"/>
  <c r="M497" i="11"/>
  <c r="M498" i="11"/>
  <c r="M499" i="11"/>
  <c r="M500" i="11"/>
  <c r="M501" i="11"/>
  <c r="M502" i="11"/>
  <c r="M503" i="11"/>
  <c r="M504" i="11"/>
  <c r="M505" i="11"/>
  <c r="M506" i="11"/>
  <c r="M507" i="11"/>
  <c r="M508" i="11"/>
  <c r="M509" i="11"/>
  <c r="M510" i="11"/>
  <c r="M511" i="11"/>
  <c r="M512" i="11"/>
  <c r="M513" i="11"/>
  <c r="M514" i="11"/>
  <c r="M515" i="11"/>
  <c r="M516" i="11"/>
  <c r="M517" i="11"/>
  <c r="M518" i="11"/>
  <c r="M519" i="11"/>
  <c r="M520" i="11"/>
  <c r="M521" i="11"/>
  <c r="M522" i="11"/>
  <c r="M523" i="11"/>
  <c r="M524" i="11"/>
  <c r="M525" i="11"/>
  <c r="M526" i="11"/>
  <c r="M527" i="11"/>
  <c r="M528" i="11"/>
  <c r="M529" i="11"/>
  <c r="M6" i="11"/>
  <c r="K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L241" i="11"/>
  <c r="L242" i="11"/>
  <c r="L243" i="11"/>
  <c r="L244" i="11"/>
  <c r="L245" i="11"/>
  <c r="L246" i="11"/>
  <c r="L247" i="11"/>
  <c r="L248" i="11"/>
  <c r="L249" i="11"/>
  <c r="L250" i="11"/>
  <c r="L251" i="11"/>
  <c r="L252" i="11"/>
  <c r="L253" i="11"/>
  <c r="L254" i="11"/>
  <c r="L255" i="11"/>
  <c r="L256" i="11"/>
  <c r="L257" i="11"/>
  <c r="L258" i="11"/>
  <c r="L259" i="11"/>
  <c r="L260" i="11"/>
  <c r="L261" i="11"/>
  <c r="L262" i="11"/>
  <c r="L263" i="11"/>
  <c r="L264" i="11"/>
  <c r="L265" i="11"/>
  <c r="L266" i="11"/>
  <c r="L267" i="11"/>
  <c r="L268" i="11"/>
  <c r="L269" i="11"/>
  <c r="L270" i="11"/>
  <c r="L271" i="11"/>
  <c r="L272" i="11"/>
  <c r="L273" i="11"/>
  <c r="L274" i="11"/>
  <c r="L275" i="11"/>
  <c r="L276" i="11"/>
  <c r="L277" i="11"/>
  <c r="L278" i="11"/>
  <c r="L279" i="11"/>
  <c r="L280" i="11"/>
  <c r="L281" i="11"/>
  <c r="L282" i="11"/>
  <c r="L283" i="11"/>
  <c r="L284" i="11"/>
  <c r="L285" i="11"/>
  <c r="L286" i="11"/>
  <c r="L287" i="11"/>
  <c r="L288" i="11"/>
  <c r="L289" i="11"/>
  <c r="L290" i="11"/>
  <c r="L291" i="11"/>
  <c r="L292" i="11"/>
  <c r="L293" i="11"/>
  <c r="L294" i="11"/>
  <c r="L295" i="11"/>
  <c r="L296" i="11"/>
  <c r="L297" i="11"/>
  <c r="L298" i="11"/>
  <c r="L299" i="11"/>
  <c r="L300" i="11"/>
  <c r="L301" i="11"/>
  <c r="L302" i="11"/>
  <c r="L303" i="11"/>
  <c r="L304" i="11"/>
  <c r="L305" i="11"/>
  <c r="L306" i="11"/>
  <c r="L307" i="11"/>
  <c r="L308" i="11"/>
  <c r="L309" i="11"/>
  <c r="L310" i="11"/>
  <c r="L311" i="11"/>
  <c r="L312" i="11"/>
  <c r="L313" i="11"/>
  <c r="L314" i="11"/>
  <c r="L315" i="11"/>
  <c r="L316" i="11"/>
  <c r="L317" i="11"/>
  <c r="L318" i="11"/>
  <c r="L319" i="11"/>
  <c r="L320" i="11"/>
  <c r="L321" i="11"/>
  <c r="L322" i="11"/>
  <c r="L323" i="11"/>
  <c r="L324" i="11"/>
  <c r="L325" i="11"/>
  <c r="L326" i="11"/>
  <c r="L327" i="11"/>
  <c r="L328" i="11"/>
  <c r="L329" i="11"/>
  <c r="L330" i="11"/>
  <c r="L331" i="11"/>
  <c r="L332" i="11"/>
  <c r="L333" i="11"/>
  <c r="L334" i="11"/>
  <c r="L335" i="11"/>
  <c r="L336" i="11"/>
  <c r="L337" i="11"/>
  <c r="L338" i="11"/>
  <c r="L339" i="11"/>
  <c r="L340" i="11"/>
  <c r="L341" i="11"/>
  <c r="L342" i="11"/>
  <c r="L343" i="11"/>
  <c r="L344" i="11"/>
  <c r="L345" i="11"/>
  <c r="L346" i="11"/>
  <c r="L347" i="11"/>
  <c r="L348" i="11"/>
  <c r="L349" i="11"/>
  <c r="L350" i="11"/>
  <c r="L351" i="11"/>
  <c r="L352" i="11"/>
  <c r="L353" i="11"/>
  <c r="L354" i="11"/>
  <c r="L355" i="11"/>
  <c r="L356" i="11"/>
  <c r="L357" i="11"/>
  <c r="L358" i="11"/>
  <c r="L359" i="11"/>
  <c r="L360" i="11"/>
  <c r="L361" i="11"/>
  <c r="L362" i="11"/>
  <c r="L363" i="11"/>
  <c r="L364" i="11"/>
  <c r="L365" i="11"/>
  <c r="L366" i="11"/>
  <c r="L367" i="11"/>
  <c r="L368" i="11"/>
  <c r="L369" i="11"/>
  <c r="L370" i="11"/>
  <c r="L371" i="11"/>
  <c r="L372" i="11"/>
  <c r="L373" i="11"/>
  <c r="L374" i="11"/>
  <c r="L375" i="11"/>
  <c r="L376" i="11"/>
  <c r="L377" i="11"/>
  <c r="L378" i="11"/>
  <c r="L379" i="11"/>
  <c r="L380" i="11"/>
  <c r="L381" i="11"/>
  <c r="L382" i="11"/>
  <c r="L383" i="11"/>
  <c r="L384" i="11"/>
  <c r="L385" i="11"/>
  <c r="L386" i="11"/>
  <c r="L387" i="11"/>
  <c r="L388" i="11"/>
  <c r="L389" i="11"/>
  <c r="L390" i="11"/>
  <c r="L391" i="11"/>
  <c r="L392" i="11"/>
  <c r="L393" i="11"/>
  <c r="L394" i="11"/>
  <c r="L395" i="11"/>
  <c r="L396" i="11"/>
  <c r="L397" i="11"/>
  <c r="L398" i="11"/>
  <c r="L399" i="11"/>
  <c r="L400" i="11"/>
  <c r="L401" i="11"/>
  <c r="L402" i="11"/>
  <c r="L403" i="11"/>
  <c r="L404" i="11"/>
  <c r="L405" i="11"/>
  <c r="L406" i="11"/>
  <c r="L407" i="11"/>
  <c r="L408" i="11"/>
  <c r="L409" i="11"/>
  <c r="L410" i="11"/>
  <c r="L411" i="11"/>
  <c r="L412" i="11"/>
  <c r="L413" i="11"/>
  <c r="L414" i="11"/>
  <c r="L415" i="11"/>
  <c r="L416" i="11"/>
  <c r="L417" i="11"/>
  <c r="L418" i="11"/>
  <c r="L419" i="11"/>
  <c r="L420" i="11"/>
  <c r="L421" i="11"/>
  <c r="L422" i="11"/>
  <c r="L423" i="11"/>
  <c r="L424" i="11"/>
  <c r="L425" i="11"/>
  <c r="L426" i="11"/>
  <c r="L427" i="11"/>
  <c r="L428" i="11"/>
  <c r="L429" i="11"/>
  <c r="L430" i="11"/>
  <c r="L431" i="11"/>
  <c r="L432" i="11"/>
  <c r="L433" i="11"/>
  <c r="L434" i="11"/>
  <c r="L435" i="11"/>
  <c r="L436" i="11"/>
  <c r="L437" i="11"/>
  <c r="L438" i="11"/>
  <c r="L439" i="11"/>
  <c r="L440" i="11"/>
  <c r="L441" i="11"/>
  <c r="L442" i="11"/>
  <c r="L443" i="11"/>
  <c r="L444" i="11"/>
  <c r="L445" i="11"/>
  <c r="L446" i="11"/>
  <c r="L447" i="11"/>
  <c r="L448" i="11"/>
  <c r="L449" i="11"/>
  <c r="L450" i="11"/>
  <c r="L451" i="11"/>
  <c r="L452" i="11"/>
  <c r="L453" i="11"/>
  <c r="L454" i="11"/>
  <c r="L455" i="11"/>
  <c r="L456" i="11"/>
  <c r="L457" i="11"/>
  <c r="L458" i="11"/>
  <c r="L459" i="11"/>
  <c r="L460" i="11"/>
  <c r="L461" i="11"/>
  <c r="L462" i="11"/>
  <c r="L463" i="11"/>
  <c r="L464" i="11"/>
  <c r="L465" i="11"/>
  <c r="L466" i="11"/>
  <c r="L467" i="11"/>
  <c r="L468" i="11"/>
  <c r="L469" i="11"/>
  <c r="L470" i="11"/>
  <c r="L471" i="11"/>
  <c r="L472" i="11"/>
  <c r="L473" i="11"/>
  <c r="L474" i="11"/>
  <c r="L475" i="11"/>
  <c r="L476" i="11"/>
  <c r="L477" i="11"/>
  <c r="L478" i="11"/>
  <c r="L479" i="11"/>
  <c r="L480" i="11"/>
  <c r="L481" i="11"/>
  <c r="L482" i="11"/>
  <c r="L483" i="11"/>
  <c r="L484" i="11"/>
  <c r="L485" i="11"/>
  <c r="L486" i="11"/>
  <c r="L487" i="11"/>
  <c r="L488" i="11"/>
  <c r="L489" i="11"/>
  <c r="L490" i="11"/>
  <c r="L491" i="11"/>
  <c r="L492" i="11"/>
  <c r="L493" i="11"/>
  <c r="L494" i="11"/>
  <c r="L495" i="11"/>
  <c r="L496" i="11"/>
  <c r="L497" i="11"/>
  <c r="L498" i="11"/>
  <c r="L499" i="11"/>
  <c r="L500" i="11"/>
  <c r="L501" i="11"/>
  <c r="L502" i="11"/>
  <c r="L503" i="11"/>
  <c r="L504" i="11"/>
  <c r="L505" i="11"/>
  <c r="L506" i="11"/>
  <c r="L507" i="11"/>
  <c r="L508" i="11"/>
  <c r="L509" i="11"/>
  <c r="L510" i="11"/>
  <c r="L511" i="11"/>
  <c r="L512" i="11"/>
  <c r="L513" i="11"/>
  <c r="L514" i="11"/>
  <c r="L515" i="11"/>
  <c r="L516" i="11"/>
  <c r="L517" i="11"/>
  <c r="L518" i="11"/>
  <c r="L519" i="11"/>
  <c r="L520" i="11"/>
  <c r="L521" i="11"/>
  <c r="L522" i="11"/>
  <c r="L523" i="11"/>
  <c r="L524" i="11"/>
  <c r="L525" i="11"/>
  <c r="L526" i="11"/>
  <c r="L527" i="11"/>
  <c r="L528" i="11"/>
  <c r="L529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225" i="11"/>
  <c r="K226" i="11"/>
  <c r="K227" i="11"/>
  <c r="K228" i="11"/>
  <c r="K229" i="11"/>
  <c r="K230" i="11"/>
  <c r="K231" i="11"/>
  <c r="K232" i="11"/>
  <c r="K233" i="11"/>
  <c r="K234" i="11"/>
  <c r="K235" i="11"/>
  <c r="K236" i="11"/>
  <c r="K237" i="11"/>
  <c r="K238" i="11"/>
  <c r="K239" i="11"/>
  <c r="K240" i="11"/>
  <c r="K241" i="11"/>
  <c r="K242" i="11"/>
  <c r="K243" i="11"/>
  <c r="K244" i="11"/>
  <c r="K245" i="11"/>
  <c r="K246" i="11"/>
  <c r="K247" i="11"/>
  <c r="K248" i="11"/>
  <c r="K249" i="11"/>
  <c r="K250" i="11"/>
  <c r="K251" i="11"/>
  <c r="K252" i="11"/>
  <c r="K253" i="11"/>
  <c r="K254" i="11"/>
  <c r="K255" i="11"/>
  <c r="K256" i="11"/>
  <c r="K257" i="11"/>
  <c r="K258" i="11"/>
  <c r="K259" i="11"/>
  <c r="K260" i="11"/>
  <c r="K261" i="11"/>
  <c r="K262" i="11"/>
  <c r="K263" i="11"/>
  <c r="K264" i="11"/>
  <c r="K265" i="11"/>
  <c r="K266" i="11"/>
  <c r="K267" i="11"/>
  <c r="K268" i="11"/>
  <c r="K269" i="11"/>
  <c r="K270" i="11"/>
  <c r="K271" i="11"/>
  <c r="K272" i="11"/>
  <c r="K273" i="11"/>
  <c r="K274" i="11"/>
  <c r="K275" i="11"/>
  <c r="K276" i="11"/>
  <c r="K277" i="11"/>
  <c r="K278" i="11"/>
  <c r="K279" i="11"/>
  <c r="K280" i="11"/>
  <c r="K281" i="11"/>
  <c r="K282" i="11"/>
  <c r="K283" i="11"/>
  <c r="K284" i="11"/>
  <c r="K285" i="11"/>
  <c r="K286" i="11"/>
  <c r="K287" i="11"/>
  <c r="K288" i="11"/>
  <c r="K289" i="11"/>
  <c r="K290" i="11"/>
  <c r="K291" i="11"/>
  <c r="K292" i="11"/>
  <c r="K293" i="11"/>
  <c r="K294" i="11"/>
  <c r="K295" i="11"/>
  <c r="K296" i="11"/>
  <c r="K297" i="11"/>
  <c r="K298" i="11"/>
  <c r="K299" i="11"/>
  <c r="K300" i="11"/>
  <c r="K301" i="11"/>
  <c r="K302" i="11"/>
  <c r="K303" i="11"/>
  <c r="K304" i="11"/>
  <c r="K305" i="11"/>
  <c r="K306" i="11"/>
  <c r="K307" i="11"/>
  <c r="K308" i="11"/>
  <c r="K309" i="11"/>
  <c r="K310" i="11"/>
  <c r="K311" i="11"/>
  <c r="K312" i="11"/>
  <c r="K313" i="11"/>
  <c r="K314" i="11"/>
  <c r="K315" i="11"/>
  <c r="K316" i="11"/>
  <c r="K317" i="11"/>
  <c r="K318" i="11"/>
  <c r="K319" i="11"/>
  <c r="K320" i="11"/>
  <c r="K321" i="11"/>
  <c r="K322" i="11"/>
  <c r="K323" i="11"/>
  <c r="K324" i="11"/>
  <c r="K325" i="11"/>
  <c r="K326" i="11"/>
  <c r="K327" i="11"/>
  <c r="K328" i="11"/>
  <c r="K329" i="11"/>
  <c r="K330" i="11"/>
  <c r="K331" i="11"/>
  <c r="K332" i="11"/>
  <c r="K333" i="11"/>
  <c r="K334" i="11"/>
  <c r="K335" i="11"/>
  <c r="K336" i="11"/>
  <c r="K337" i="11"/>
  <c r="K338" i="11"/>
  <c r="K339" i="11"/>
  <c r="K340" i="11"/>
  <c r="K341" i="11"/>
  <c r="K342" i="11"/>
  <c r="K343" i="11"/>
  <c r="K344" i="11"/>
  <c r="K345" i="11"/>
  <c r="K346" i="11"/>
  <c r="K347" i="11"/>
  <c r="K348" i="11"/>
  <c r="K349" i="11"/>
  <c r="K350" i="11"/>
  <c r="K351" i="11"/>
  <c r="K352" i="11"/>
  <c r="K353" i="11"/>
  <c r="K354" i="11"/>
  <c r="K355" i="11"/>
  <c r="K356" i="11"/>
  <c r="K357" i="11"/>
  <c r="K358" i="11"/>
  <c r="K359" i="11"/>
  <c r="K360" i="11"/>
  <c r="K361" i="11"/>
  <c r="K362" i="11"/>
  <c r="K363" i="11"/>
  <c r="K364" i="11"/>
  <c r="K365" i="11"/>
  <c r="K366" i="11"/>
  <c r="K367" i="11"/>
  <c r="K368" i="11"/>
  <c r="K369" i="11"/>
  <c r="K370" i="11"/>
  <c r="K371" i="11"/>
  <c r="K372" i="11"/>
  <c r="K373" i="11"/>
  <c r="K374" i="11"/>
  <c r="K375" i="11"/>
  <c r="K376" i="11"/>
  <c r="K377" i="11"/>
  <c r="K378" i="11"/>
  <c r="K379" i="11"/>
  <c r="K380" i="11"/>
  <c r="K381" i="11"/>
  <c r="K382" i="11"/>
  <c r="K383" i="11"/>
  <c r="K384" i="11"/>
  <c r="K385" i="11"/>
  <c r="K386" i="11"/>
  <c r="K387" i="11"/>
  <c r="K388" i="11"/>
  <c r="K389" i="11"/>
  <c r="K390" i="11"/>
  <c r="K391" i="11"/>
  <c r="K392" i="11"/>
  <c r="K393" i="11"/>
  <c r="K394" i="11"/>
  <c r="K395" i="11"/>
  <c r="K396" i="11"/>
  <c r="K397" i="11"/>
  <c r="K398" i="11"/>
  <c r="K399" i="11"/>
  <c r="K400" i="11"/>
  <c r="K401" i="11"/>
  <c r="K402" i="11"/>
  <c r="K403" i="11"/>
  <c r="K404" i="11"/>
  <c r="K405" i="11"/>
  <c r="K406" i="11"/>
  <c r="K407" i="11"/>
  <c r="K408" i="11"/>
  <c r="K409" i="11"/>
  <c r="K410" i="11"/>
  <c r="K411" i="11"/>
  <c r="K412" i="11"/>
  <c r="K413" i="11"/>
  <c r="K414" i="11"/>
  <c r="K415" i="11"/>
  <c r="K416" i="11"/>
  <c r="K417" i="11"/>
  <c r="K418" i="11"/>
  <c r="K419" i="11"/>
  <c r="K420" i="11"/>
  <c r="K421" i="11"/>
  <c r="K422" i="11"/>
  <c r="K423" i="11"/>
  <c r="K424" i="11"/>
  <c r="K425" i="11"/>
  <c r="K426" i="11"/>
  <c r="K427" i="11"/>
  <c r="K428" i="11"/>
  <c r="K429" i="11"/>
  <c r="K430" i="11"/>
  <c r="K431" i="11"/>
  <c r="K432" i="11"/>
  <c r="K433" i="11"/>
  <c r="K434" i="11"/>
  <c r="K435" i="11"/>
  <c r="K436" i="11"/>
  <c r="K437" i="11"/>
  <c r="K438" i="11"/>
  <c r="K439" i="11"/>
  <c r="K440" i="11"/>
  <c r="K441" i="11"/>
  <c r="K442" i="11"/>
  <c r="K443" i="11"/>
  <c r="K444" i="11"/>
  <c r="K445" i="11"/>
  <c r="K446" i="11"/>
  <c r="K447" i="11"/>
  <c r="K448" i="11"/>
  <c r="K449" i="11"/>
  <c r="K450" i="11"/>
  <c r="K451" i="11"/>
  <c r="K452" i="11"/>
  <c r="K453" i="11"/>
  <c r="K454" i="11"/>
  <c r="K455" i="11"/>
  <c r="K456" i="11"/>
  <c r="K457" i="11"/>
  <c r="K458" i="11"/>
  <c r="K459" i="11"/>
  <c r="K460" i="11"/>
  <c r="K461" i="11"/>
  <c r="K462" i="11"/>
  <c r="K463" i="11"/>
  <c r="K464" i="11"/>
  <c r="K465" i="11"/>
  <c r="K466" i="11"/>
  <c r="K467" i="11"/>
  <c r="K468" i="11"/>
  <c r="K469" i="11"/>
  <c r="K470" i="11"/>
  <c r="K471" i="11"/>
  <c r="K472" i="11"/>
  <c r="K473" i="11"/>
  <c r="K474" i="11"/>
  <c r="K475" i="11"/>
  <c r="K476" i="11"/>
  <c r="K477" i="11"/>
  <c r="K478" i="11"/>
  <c r="K479" i="11"/>
  <c r="K480" i="11"/>
  <c r="K481" i="11"/>
  <c r="K482" i="11"/>
  <c r="K483" i="11"/>
  <c r="K484" i="11"/>
  <c r="K485" i="11"/>
  <c r="K486" i="11"/>
  <c r="K487" i="11"/>
  <c r="K488" i="11"/>
  <c r="K489" i="11"/>
  <c r="K490" i="11"/>
  <c r="K491" i="11"/>
  <c r="K492" i="11"/>
  <c r="K493" i="11"/>
  <c r="K494" i="11"/>
  <c r="K495" i="11"/>
  <c r="K496" i="11"/>
  <c r="K497" i="11"/>
  <c r="K498" i="11"/>
  <c r="K499" i="11"/>
  <c r="K500" i="11"/>
  <c r="K501" i="11"/>
  <c r="K502" i="11"/>
  <c r="K503" i="11"/>
  <c r="K504" i="11"/>
  <c r="K505" i="11"/>
  <c r="K506" i="11"/>
  <c r="K507" i="11"/>
  <c r="K508" i="11"/>
  <c r="K509" i="11"/>
  <c r="K510" i="11"/>
  <c r="K511" i="11"/>
  <c r="K512" i="11"/>
  <c r="K513" i="11"/>
  <c r="K514" i="11"/>
  <c r="K515" i="11"/>
  <c r="K516" i="11"/>
  <c r="K517" i="11"/>
  <c r="K518" i="11"/>
  <c r="K519" i="11"/>
  <c r="K520" i="11"/>
  <c r="K521" i="11"/>
  <c r="K522" i="11"/>
  <c r="K523" i="11"/>
  <c r="K524" i="11"/>
  <c r="K525" i="11"/>
  <c r="K526" i="11"/>
  <c r="K527" i="11"/>
  <c r="K528" i="11"/>
  <c r="K529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J259" i="11"/>
  <c r="J260" i="11"/>
  <c r="J261" i="11"/>
  <c r="J262" i="11"/>
  <c r="J263" i="11"/>
  <c r="J264" i="11"/>
  <c r="J265" i="11"/>
  <c r="J266" i="11"/>
  <c r="J267" i="11"/>
  <c r="J268" i="11"/>
  <c r="J269" i="11"/>
  <c r="J270" i="11"/>
  <c r="J271" i="11"/>
  <c r="J272" i="11"/>
  <c r="J273" i="11"/>
  <c r="J274" i="11"/>
  <c r="J275" i="11"/>
  <c r="J276" i="11"/>
  <c r="J277" i="11"/>
  <c r="J278" i="11"/>
  <c r="J279" i="11"/>
  <c r="J280" i="11"/>
  <c r="J281" i="11"/>
  <c r="J282" i="11"/>
  <c r="J283" i="11"/>
  <c r="J284" i="11"/>
  <c r="J285" i="11"/>
  <c r="J286" i="11"/>
  <c r="J287" i="11"/>
  <c r="J288" i="11"/>
  <c r="J289" i="11"/>
  <c r="J290" i="11"/>
  <c r="J291" i="11"/>
  <c r="J292" i="11"/>
  <c r="J293" i="11"/>
  <c r="J294" i="11"/>
  <c r="J295" i="11"/>
  <c r="J296" i="11"/>
  <c r="J297" i="11"/>
  <c r="J298" i="11"/>
  <c r="J299" i="11"/>
  <c r="J300" i="11"/>
  <c r="J301" i="11"/>
  <c r="J302" i="11"/>
  <c r="J303" i="11"/>
  <c r="J304" i="11"/>
  <c r="J305" i="11"/>
  <c r="J306" i="11"/>
  <c r="J307" i="11"/>
  <c r="J308" i="11"/>
  <c r="J309" i="11"/>
  <c r="J310" i="11"/>
  <c r="J311" i="11"/>
  <c r="J312" i="11"/>
  <c r="J313" i="11"/>
  <c r="J314" i="11"/>
  <c r="J315" i="11"/>
  <c r="J316" i="11"/>
  <c r="J317" i="11"/>
  <c r="J318" i="11"/>
  <c r="J319" i="11"/>
  <c r="J320" i="11"/>
  <c r="J321" i="11"/>
  <c r="J322" i="11"/>
  <c r="J323" i="11"/>
  <c r="J324" i="11"/>
  <c r="J325" i="11"/>
  <c r="J326" i="11"/>
  <c r="J327" i="11"/>
  <c r="J328" i="11"/>
  <c r="J329" i="11"/>
  <c r="J330" i="11"/>
  <c r="J331" i="11"/>
  <c r="J332" i="11"/>
  <c r="J333" i="11"/>
  <c r="J334" i="11"/>
  <c r="J335" i="11"/>
  <c r="J336" i="11"/>
  <c r="J337" i="11"/>
  <c r="J338" i="11"/>
  <c r="J339" i="11"/>
  <c r="J340" i="11"/>
  <c r="J341" i="11"/>
  <c r="J342" i="11"/>
  <c r="J343" i="11"/>
  <c r="J344" i="11"/>
  <c r="J345" i="11"/>
  <c r="J346" i="11"/>
  <c r="J347" i="11"/>
  <c r="J348" i="11"/>
  <c r="J349" i="11"/>
  <c r="J350" i="11"/>
  <c r="J351" i="11"/>
  <c r="J352" i="11"/>
  <c r="J353" i="11"/>
  <c r="J354" i="11"/>
  <c r="J355" i="11"/>
  <c r="J356" i="11"/>
  <c r="J357" i="11"/>
  <c r="J358" i="11"/>
  <c r="J359" i="11"/>
  <c r="J360" i="11"/>
  <c r="J361" i="11"/>
  <c r="J362" i="11"/>
  <c r="J363" i="11"/>
  <c r="J364" i="11"/>
  <c r="J365" i="11"/>
  <c r="J366" i="11"/>
  <c r="J367" i="11"/>
  <c r="J368" i="11"/>
  <c r="J369" i="11"/>
  <c r="J370" i="11"/>
  <c r="J371" i="11"/>
  <c r="J372" i="11"/>
  <c r="J373" i="11"/>
  <c r="J374" i="11"/>
  <c r="J375" i="11"/>
  <c r="J376" i="11"/>
  <c r="J377" i="11"/>
  <c r="J378" i="11"/>
  <c r="J379" i="11"/>
  <c r="J380" i="11"/>
  <c r="J381" i="11"/>
  <c r="J382" i="11"/>
  <c r="J383" i="11"/>
  <c r="J384" i="11"/>
  <c r="J385" i="11"/>
  <c r="J386" i="11"/>
  <c r="J387" i="11"/>
  <c r="J388" i="11"/>
  <c r="J389" i="11"/>
  <c r="J390" i="11"/>
  <c r="J391" i="11"/>
  <c r="J392" i="11"/>
  <c r="J393" i="11"/>
  <c r="J394" i="11"/>
  <c r="J395" i="11"/>
  <c r="J396" i="11"/>
  <c r="J397" i="11"/>
  <c r="J398" i="11"/>
  <c r="J399" i="11"/>
  <c r="J400" i="11"/>
  <c r="J401" i="11"/>
  <c r="J402" i="11"/>
  <c r="J403" i="11"/>
  <c r="J404" i="11"/>
  <c r="J405" i="11"/>
  <c r="J406" i="11"/>
  <c r="J407" i="11"/>
  <c r="J408" i="11"/>
  <c r="J409" i="11"/>
  <c r="J410" i="11"/>
  <c r="J411" i="11"/>
  <c r="J412" i="11"/>
  <c r="J413" i="11"/>
  <c r="J414" i="11"/>
  <c r="J415" i="11"/>
  <c r="J416" i="11"/>
  <c r="J417" i="11"/>
  <c r="J418" i="11"/>
  <c r="J419" i="11"/>
  <c r="J420" i="11"/>
  <c r="J421" i="11"/>
  <c r="J422" i="11"/>
  <c r="J423" i="11"/>
  <c r="J424" i="11"/>
  <c r="J425" i="11"/>
  <c r="J426" i="11"/>
  <c r="J427" i="11"/>
  <c r="J428" i="11"/>
  <c r="J429" i="11"/>
  <c r="J430" i="11"/>
  <c r="J431" i="11"/>
  <c r="J432" i="11"/>
  <c r="J433" i="11"/>
  <c r="J434" i="11"/>
  <c r="J435" i="11"/>
  <c r="J436" i="11"/>
  <c r="J437" i="11"/>
  <c r="J438" i="11"/>
  <c r="J439" i="11"/>
  <c r="J440" i="11"/>
  <c r="J441" i="11"/>
  <c r="J442" i="11"/>
  <c r="J443" i="11"/>
  <c r="J444" i="11"/>
  <c r="J445" i="11"/>
  <c r="J446" i="11"/>
  <c r="J447" i="11"/>
  <c r="J448" i="11"/>
  <c r="J449" i="11"/>
  <c r="J450" i="11"/>
  <c r="J451" i="11"/>
  <c r="J452" i="11"/>
  <c r="J453" i="11"/>
  <c r="J454" i="11"/>
  <c r="J455" i="11"/>
  <c r="J456" i="11"/>
  <c r="J457" i="11"/>
  <c r="J458" i="11"/>
  <c r="J459" i="11"/>
  <c r="J460" i="11"/>
  <c r="J461" i="11"/>
  <c r="J462" i="11"/>
  <c r="J463" i="11"/>
  <c r="J464" i="11"/>
  <c r="J465" i="11"/>
  <c r="J466" i="11"/>
  <c r="J467" i="11"/>
  <c r="J468" i="11"/>
  <c r="J469" i="11"/>
  <c r="J470" i="11"/>
  <c r="J471" i="11"/>
  <c r="J472" i="11"/>
  <c r="J473" i="11"/>
  <c r="J474" i="11"/>
  <c r="J475" i="11"/>
  <c r="J476" i="11"/>
  <c r="J477" i="11"/>
  <c r="J478" i="11"/>
  <c r="J479" i="11"/>
  <c r="J480" i="11"/>
  <c r="J481" i="11"/>
  <c r="J482" i="11"/>
  <c r="J483" i="11"/>
  <c r="J484" i="11"/>
  <c r="J485" i="11"/>
  <c r="J486" i="11"/>
  <c r="J487" i="11"/>
  <c r="J488" i="11"/>
  <c r="J489" i="11"/>
  <c r="J490" i="11"/>
  <c r="J491" i="11"/>
  <c r="J492" i="11"/>
  <c r="J493" i="11"/>
  <c r="J494" i="11"/>
  <c r="J495" i="11"/>
  <c r="J496" i="11"/>
  <c r="J497" i="11"/>
  <c r="J498" i="11"/>
  <c r="J499" i="11"/>
  <c r="J500" i="11"/>
  <c r="J501" i="11"/>
  <c r="J502" i="11"/>
  <c r="J503" i="11"/>
  <c r="J504" i="11"/>
  <c r="J505" i="11"/>
  <c r="J506" i="11"/>
  <c r="J507" i="11"/>
  <c r="J508" i="11"/>
  <c r="J509" i="11"/>
  <c r="J510" i="11"/>
  <c r="J511" i="11"/>
  <c r="J512" i="11"/>
  <c r="J513" i="11"/>
  <c r="J514" i="11"/>
  <c r="J515" i="11"/>
  <c r="J516" i="11"/>
  <c r="J517" i="11"/>
  <c r="J518" i="11"/>
  <c r="J519" i="11"/>
  <c r="J520" i="11"/>
  <c r="J521" i="11"/>
  <c r="J522" i="11"/>
  <c r="J523" i="11"/>
  <c r="J524" i="11"/>
  <c r="J525" i="11"/>
  <c r="J526" i="11"/>
  <c r="J527" i="11"/>
  <c r="J528" i="11"/>
  <c r="J529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301" i="11"/>
  <c r="I302" i="11"/>
  <c r="I303" i="11"/>
  <c r="I304" i="11"/>
  <c r="I305" i="11"/>
  <c r="I306" i="11"/>
  <c r="I307" i="11"/>
  <c r="I308" i="11"/>
  <c r="I309" i="11"/>
  <c r="I310" i="1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308" i="11"/>
  <c r="G309" i="11"/>
  <c r="G310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393" i="11"/>
  <c r="G394" i="11"/>
  <c r="G395" i="11"/>
  <c r="G396" i="11"/>
  <c r="G397" i="11"/>
  <c r="G398" i="11"/>
  <c r="G399" i="11"/>
  <c r="G400" i="11"/>
  <c r="G401" i="11"/>
  <c r="G402" i="11"/>
  <c r="G403" i="11"/>
  <c r="G404" i="11"/>
  <c r="G405" i="11"/>
  <c r="G406" i="11"/>
  <c r="G407" i="11"/>
  <c r="G408" i="11"/>
  <c r="G409" i="11"/>
  <c r="G410" i="11"/>
  <c r="G411" i="11"/>
  <c r="G412" i="11"/>
  <c r="G413" i="11"/>
  <c r="G414" i="11"/>
  <c r="G415" i="11"/>
  <c r="G416" i="11"/>
  <c r="G417" i="11"/>
  <c r="G418" i="11"/>
  <c r="G419" i="11"/>
  <c r="G420" i="11"/>
  <c r="G421" i="11"/>
  <c r="G422" i="11"/>
  <c r="G423" i="11"/>
  <c r="G424" i="11"/>
  <c r="G425" i="11"/>
  <c r="G426" i="11"/>
  <c r="G427" i="11"/>
  <c r="G428" i="11"/>
  <c r="G429" i="11"/>
  <c r="G430" i="11"/>
  <c r="G431" i="11"/>
  <c r="G432" i="11"/>
  <c r="G433" i="11"/>
  <c r="G434" i="11"/>
  <c r="G435" i="11"/>
  <c r="G436" i="11"/>
  <c r="G437" i="11"/>
  <c r="G438" i="11"/>
  <c r="G439" i="11"/>
  <c r="G440" i="11"/>
  <c r="G441" i="11"/>
  <c r="G442" i="11"/>
  <c r="G443" i="11"/>
  <c r="G444" i="11"/>
  <c r="G445" i="11"/>
  <c r="G446" i="11"/>
  <c r="G447" i="11"/>
  <c r="G448" i="11"/>
  <c r="G449" i="11"/>
  <c r="G450" i="11"/>
  <c r="G451" i="11"/>
  <c r="G452" i="11"/>
  <c r="G453" i="11"/>
  <c r="G454" i="11"/>
  <c r="G455" i="11"/>
  <c r="G456" i="11"/>
  <c r="G457" i="11"/>
  <c r="G458" i="11"/>
  <c r="G459" i="11"/>
  <c r="G460" i="11"/>
  <c r="G461" i="11"/>
  <c r="G462" i="11"/>
  <c r="G463" i="11"/>
  <c r="G464" i="11"/>
  <c r="G465" i="11"/>
  <c r="G466" i="11"/>
  <c r="G467" i="11"/>
  <c r="G468" i="11"/>
  <c r="G469" i="11"/>
  <c r="G470" i="11"/>
  <c r="G471" i="11"/>
  <c r="G472" i="11"/>
  <c r="G473" i="11"/>
  <c r="G474" i="11"/>
  <c r="G475" i="11"/>
  <c r="G476" i="11"/>
  <c r="G477" i="11"/>
  <c r="G478" i="11"/>
  <c r="G479" i="11"/>
  <c r="G480" i="11"/>
  <c r="G481" i="11"/>
  <c r="G482" i="11"/>
  <c r="G483" i="11"/>
  <c r="G484" i="11"/>
  <c r="G485" i="11"/>
  <c r="G486" i="11"/>
  <c r="G487" i="11"/>
  <c r="G488" i="11"/>
  <c r="G489" i="11"/>
  <c r="G490" i="11"/>
  <c r="G491" i="11"/>
  <c r="G492" i="11"/>
  <c r="G493" i="11"/>
  <c r="G494" i="11"/>
  <c r="G495" i="11"/>
  <c r="G496" i="11"/>
  <c r="G497" i="11"/>
  <c r="G498" i="11"/>
  <c r="G499" i="11"/>
  <c r="G500" i="11"/>
  <c r="G501" i="11"/>
  <c r="G502" i="11"/>
  <c r="G503" i="11"/>
  <c r="G504" i="11"/>
  <c r="G505" i="11"/>
  <c r="G506" i="11"/>
  <c r="G507" i="11"/>
  <c r="G508" i="11"/>
  <c r="G509" i="11"/>
  <c r="G510" i="11"/>
  <c r="G511" i="11"/>
  <c r="G512" i="11"/>
  <c r="G513" i="11"/>
  <c r="G514" i="11"/>
  <c r="G515" i="11"/>
  <c r="G516" i="11"/>
  <c r="G517" i="11"/>
  <c r="G518" i="11"/>
  <c r="G519" i="11"/>
  <c r="G520" i="11"/>
  <c r="G521" i="11"/>
  <c r="G522" i="11"/>
  <c r="G523" i="11"/>
  <c r="G524" i="11"/>
  <c r="G525" i="11"/>
  <c r="G526" i="11"/>
  <c r="G527" i="11"/>
  <c r="G528" i="11"/>
  <c r="G529" i="11"/>
  <c r="G6" i="11"/>
  <c r="G110" i="3"/>
  <c r="G111" i="3"/>
  <c r="G112" i="3"/>
  <c r="G113" i="3"/>
  <c r="G109" i="3"/>
  <c r="G97" i="3"/>
  <c r="G98" i="3"/>
  <c r="G99" i="3"/>
  <c r="G100" i="3"/>
  <c r="G96" i="3"/>
  <c r="F97" i="3"/>
  <c r="F98" i="3"/>
  <c r="F99" i="3"/>
  <c r="F100" i="3"/>
  <c r="F96" i="3"/>
  <c r="F30" i="3" a="1"/>
  <c r="F30" i="3" s="1"/>
  <c r="F31" i="3" a="1"/>
  <c r="F31" i="3" s="1"/>
  <c r="F32" i="3" a="1"/>
  <c r="F32" i="3" s="1"/>
  <c r="F33" i="3" a="1"/>
  <c r="F33" i="3" s="1"/>
  <c r="F34" i="3" a="1"/>
  <c r="F34" i="3" s="1"/>
  <c r="F35" i="3" a="1"/>
  <c r="F35" i="3" s="1"/>
  <c r="F36" i="3" a="1"/>
  <c r="F36" i="3" s="1"/>
  <c r="F37" i="3" a="1"/>
  <c r="F37" i="3" s="1"/>
  <c r="F38" i="3" a="1"/>
  <c r="F38" i="3" s="1"/>
  <c r="F39" i="3" a="1"/>
  <c r="F39" i="3" s="1"/>
  <c r="I7" i="3"/>
  <c r="I8" i="3"/>
  <c r="I9" i="3"/>
  <c r="I10" i="3"/>
  <c r="I11" i="3"/>
  <c r="I12" i="3"/>
  <c r="I13" i="3"/>
  <c r="I14" i="3"/>
  <c r="I15" i="3"/>
  <c r="I16" i="3"/>
  <c r="H8" i="3"/>
  <c r="H9" i="3"/>
  <c r="H10" i="3"/>
  <c r="H11" i="3"/>
  <c r="H12" i="3"/>
  <c r="H13" i="3"/>
  <c r="H14" i="3"/>
  <c r="H15" i="3"/>
  <c r="H16" i="3"/>
  <c r="H7" i="3"/>
  <c r="L52" i="2"/>
  <c r="L50" i="2"/>
  <c r="L38" i="2" a="1"/>
  <c r="L38" i="2" s="1"/>
  <c r="L34" i="2"/>
  <c r="L30" i="2"/>
  <c r="L26" i="2"/>
  <c r="L22" i="2"/>
  <c r="N16" i="2"/>
  <c r="N15" i="2"/>
  <c r="N14" i="2"/>
  <c r="K10" i="1"/>
  <c r="K11" i="1"/>
  <c r="K12" i="1"/>
  <c r="K13" i="1"/>
  <c r="K14" i="1"/>
  <c r="K15" i="1"/>
  <c r="K16" i="1"/>
  <c r="K17" i="1"/>
  <c r="K18" i="1"/>
  <c r="K19" i="1"/>
  <c r="K20" i="1"/>
  <c r="K21" i="1"/>
  <c r="C33" i="1"/>
  <c r="D33" i="1"/>
  <c r="E33" i="1"/>
  <c r="F33" i="1"/>
  <c r="G33" i="1"/>
  <c r="H33" i="1"/>
  <c r="I33" i="1"/>
  <c r="J33" i="1"/>
  <c r="K33" i="1"/>
  <c r="L33" i="1"/>
  <c r="M33" i="1"/>
  <c r="N33" i="1"/>
  <c r="C34" i="1"/>
  <c r="D34" i="1"/>
  <c r="E34" i="1"/>
  <c r="F34" i="1"/>
  <c r="G34" i="1"/>
  <c r="H34" i="1"/>
  <c r="I34" i="1"/>
  <c r="J34" i="1"/>
  <c r="K34" i="1"/>
  <c r="L34" i="1"/>
  <c r="M34" i="1"/>
  <c r="N34" i="1"/>
  <c r="D32" i="1"/>
  <c r="E32" i="1"/>
  <c r="F32" i="1"/>
  <c r="G32" i="1"/>
  <c r="H32" i="1"/>
  <c r="I32" i="1"/>
  <c r="J32" i="1"/>
  <c r="K32" i="1"/>
  <c r="L32" i="1"/>
  <c r="M32" i="1"/>
  <c r="N32" i="1"/>
  <c r="C32" i="1"/>
  <c r="B15" i="13"/>
  <c r="F42" i="16"/>
  <c r="F37" i="16"/>
  <c r="F41" i="16" s="1"/>
  <c r="F25" i="16"/>
  <c r="F12" i="16"/>
  <c r="F20" i="16" s="1"/>
  <c r="F21" i="16" s="1"/>
  <c r="F22" i="16" s="1"/>
  <c r="F23" i="16" s="1"/>
  <c r="M8" i="16"/>
  <c r="B11" i="12"/>
  <c r="B8" i="12"/>
  <c r="G20" i="1"/>
  <c r="G18" i="1"/>
  <c r="D28" i="7" l="1"/>
  <c r="D9" i="7"/>
  <c r="D20" i="7"/>
  <c r="D23" i="7"/>
  <c r="D21" i="7"/>
  <c r="D8" i="7"/>
  <c r="D22" i="7"/>
  <c r="D19" i="7"/>
  <c r="D7" i="7"/>
  <c r="D18" i="7"/>
  <c r="D6" i="7"/>
  <c r="D29" i="7"/>
  <c r="K9" i="15"/>
  <c r="L9" i="15" s="1"/>
  <c r="B13" i="1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<sst xmlns="http://schemas.openxmlformats.org/spreadsheetml/2006/main" count="5900" uniqueCount="1127">
  <si>
    <t xml:space="preserve">Relative Reference,    Absolute Reference,    Mixed Reference </t>
  </si>
  <si>
    <t>Units sold</t>
  </si>
  <si>
    <t xml:space="preserve">Gross Revenue </t>
  </si>
  <si>
    <t>Month</t>
  </si>
  <si>
    <t>Cars</t>
  </si>
  <si>
    <t>Motorcycles</t>
  </si>
  <si>
    <t xml:space="preserve">Bicycles </t>
  </si>
  <si>
    <t>Unit Price</t>
  </si>
  <si>
    <t>Car Price</t>
  </si>
  <si>
    <t>Class</t>
  </si>
  <si>
    <t>IF FUNCTION</t>
  </si>
  <si>
    <t>PRODUCT</t>
  </si>
  <si>
    <t>ITEM CODE</t>
  </si>
  <si>
    <t>CAPITAL</t>
  </si>
  <si>
    <t>PRICE</t>
  </si>
  <si>
    <t>STOCK</t>
  </si>
  <si>
    <t>PROFIT/LOSS</t>
  </si>
  <si>
    <t>STOCK STATUS</t>
  </si>
  <si>
    <t>Item 1</t>
  </si>
  <si>
    <t>C</t>
  </si>
  <si>
    <t>Item 2</t>
  </si>
  <si>
    <t>B</t>
  </si>
  <si>
    <t>Item 3</t>
  </si>
  <si>
    <t>A</t>
  </si>
  <si>
    <t>Item 4</t>
  </si>
  <si>
    <t>Item 5</t>
  </si>
  <si>
    <t>Item 6</t>
  </si>
  <si>
    <t>Item 7</t>
  </si>
  <si>
    <t>Item 8</t>
  </si>
  <si>
    <t>Item 9</t>
  </si>
  <si>
    <t>Item 10</t>
  </si>
  <si>
    <t>Instruction:</t>
  </si>
  <si>
    <t>If the selling price &gt; capital, then profit. If the selling price &lt;= capital, then loss.</t>
  </si>
  <si>
    <t>If the stock is below 60 pcs, should restock. If the stock is equal to or above 60, then the stock is safe.</t>
  </si>
  <si>
    <t>Nested IF</t>
  </si>
  <si>
    <t>Customer Name</t>
  </si>
  <si>
    <t xml:space="preserve">Total Spending </t>
  </si>
  <si>
    <t>Address</t>
  </si>
  <si>
    <t>Customer Status</t>
  </si>
  <si>
    <t>Duration Post</t>
  </si>
  <si>
    <t>Ahmad Faizal</t>
  </si>
  <si>
    <t>BDG</t>
  </si>
  <si>
    <t>JKT</t>
  </si>
  <si>
    <t>1 Day</t>
  </si>
  <si>
    <t>Nur Aisyah</t>
  </si>
  <si>
    <t>2 Day</t>
  </si>
  <si>
    <t>Muhammad Hafiz</t>
  </si>
  <si>
    <t>SBY</t>
  </si>
  <si>
    <t>3 Day</t>
  </si>
  <si>
    <t>Siti Nurhaliza</t>
  </si>
  <si>
    <t>Mohd Zulkifli</t>
  </si>
  <si>
    <t>Fatimah Zahra</t>
  </si>
  <si>
    <t>Syafiq Ikmal</t>
  </si>
  <si>
    <t>Aina Sofiya</t>
  </si>
  <si>
    <t>Amirul Hadi</t>
  </si>
  <si>
    <t>Farah Nadiah</t>
  </si>
  <si>
    <t>Indicator:</t>
  </si>
  <si>
    <t>If spending is below 2 million, then the customer status is Silver</t>
  </si>
  <si>
    <t>If spending is between 2-5 million, then the customer status is Gold</t>
  </si>
  <si>
    <t>If spending is above 5 million, then the customer status is Platinum</t>
  </si>
  <si>
    <t>IF LEFT MID RIGHT</t>
  </si>
  <si>
    <t>Left</t>
  </si>
  <si>
    <t>Mid</t>
  </si>
  <si>
    <t>Right</t>
  </si>
  <si>
    <t>Employee Name</t>
  </si>
  <si>
    <t>Employee ID</t>
  </si>
  <si>
    <t>Division</t>
  </si>
  <si>
    <t>Benefit</t>
  </si>
  <si>
    <t>Gender</t>
  </si>
  <si>
    <t>Division Code</t>
  </si>
  <si>
    <t>Department</t>
  </si>
  <si>
    <t>SA2018L</t>
  </si>
  <si>
    <t>SA</t>
  </si>
  <si>
    <t>Sales</t>
  </si>
  <si>
    <t>SA2019P</t>
  </si>
  <si>
    <t>MK</t>
  </si>
  <si>
    <t>Marketing</t>
  </si>
  <si>
    <t>MK2020L</t>
  </si>
  <si>
    <t>AD</t>
  </si>
  <si>
    <t>Admin</t>
  </si>
  <si>
    <t>AD2019L</t>
  </si>
  <si>
    <t>Gender Code</t>
  </si>
  <si>
    <t>MK2017P</t>
  </si>
  <si>
    <t>L</t>
  </si>
  <si>
    <t>Male</t>
  </si>
  <si>
    <t>SA2020P</t>
  </si>
  <si>
    <t>P</t>
  </si>
  <si>
    <t>Female</t>
  </si>
  <si>
    <t>MK2019P</t>
  </si>
  <si>
    <t>AD2019P</t>
  </si>
  <si>
    <t>Information:</t>
  </si>
  <si>
    <t>Division refers to the first 2 letters in the Employee ID</t>
  </si>
  <si>
    <t>The entry year refers to the 4 characters in the middle, starting from the third character.</t>
  </si>
  <si>
    <t>If you enter in or before 2019, then the benefits are complete. Otherwise, Incomplete</t>
  </si>
  <si>
    <t>Gender refers to the last character in the Employee ID.</t>
  </si>
  <si>
    <t>AND function. If your logical test contains the AND function, Microsoft Excel returns TRUE if all the conditions are met; otherwise it returns FALSE.</t>
  </si>
  <si>
    <t>OR function. In case you use the OR function in the logical test, Excel returns TRUE if any of the conditions is met; FALSE otherwise.</t>
  </si>
  <si>
    <t>AND &amp; OR</t>
  </si>
  <si>
    <t>NAME</t>
  </si>
  <si>
    <t>Exam</t>
  </si>
  <si>
    <t>Assignment</t>
  </si>
  <si>
    <t>PASS/FAIL</t>
  </si>
  <si>
    <t>Abdul</t>
  </si>
  <si>
    <t>Ahmad</t>
  </si>
  <si>
    <t>Ah chong</t>
  </si>
  <si>
    <t>Siti</t>
  </si>
  <si>
    <t>Raymond</t>
  </si>
  <si>
    <t>IF AND OR</t>
  </si>
  <si>
    <t>Raj</t>
  </si>
  <si>
    <t>Years of Service</t>
  </si>
  <si>
    <t>Performance Rating</t>
  </si>
  <si>
    <t>Bonus (Yes/No)</t>
  </si>
  <si>
    <t>John</t>
  </si>
  <si>
    <t>Sarah</t>
  </si>
  <si>
    <t>Mark</t>
  </si>
  <si>
    <t>Price</t>
  </si>
  <si>
    <t>ID</t>
  </si>
  <si>
    <t>First Name</t>
  </si>
  <si>
    <t>Last Name</t>
  </si>
  <si>
    <t>Salary</t>
  </si>
  <si>
    <t>Mia</t>
  </si>
  <si>
    <t>Emily</t>
  </si>
  <si>
    <t>Smith</t>
  </si>
  <si>
    <t>Row Num</t>
  </si>
  <si>
    <t>James</t>
  </si>
  <si>
    <t>Anderson</t>
  </si>
  <si>
    <t>Clark</t>
  </si>
  <si>
    <t>Lewis</t>
  </si>
  <si>
    <t>Jessica</t>
  </si>
  <si>
    <t>Walker</t>
  </si>
  <si>
    <t>MATCH</t>
  </si>
  <si>
    <t>Reed</t>
  </si>
  <si>
    <t>1) Lookup Value</t>
  </si>
  <si>
    <t>Richard</t>
  </si>
  <si>
    <t>Lopez</t>
  </si>
  <si>
    <t>2) Lookup Array</t>
  </si>
  <si>
    <t>3) Match Type</t>
  </si>
  <si>
    <t>Name</t>
  </si>
  <si>
    <t>Output Table</t>
  </si>
  <si>
    <t>Compare Document</t>
  </si>
  <si>
    <t xml:space="preserve">Input Table </t>
  </si>
  <si>
    <t>Attendance</t>
  </si>
  <si>
    <t>Email</t>
  </si>
  <si>
    <t>Carolyn Torres</t>
  </si>
  <si>
    <t>Anna White</t>
  </si>
  <si>
    <t>annawhite@gmail.com</t>
  </si>
  <si>
    <t>Attend</t>
  </si>
  <si>
    <t>1. You need a lookup value</t>
  </si>
  <si>
    <t>Christine Walker</t>
  </si>
  <si>
    <t>Brenda Harris</t>
  </si>
  <si>
    <t>brenda5@yahoo.com</t>
  </si>
  <si>
    <t>2. Vertical data only</t>
  </si>
  <si>
    <t>Evelyn Mitchell</t>
  </si>
  <si>
    <t>Christina Rivera</t>
  </si>
  <si>
    <t>christinarivera@gmail.com</t>
  </si>
  <si>
    <t>3. Lookup array must be on the left from data that you want to retrieve</t>
  </si>
  <si>
    <t>Katherine Lewis</t>
  </si>
  <si>
    <t>Diane Green</t>
  </si>
  <si>
    <t>dgreen@cross.co.ca</t>
  </si>
  <si>
    <t>Lauren Carter</t>
  </si>
  <si>
    <t>Janet Nguyen</t>
  </si>
  <si>
    <t>jnguyen@gmail.com</t>
  </si>
  <si>
    <t>Joan Campbell</t>
  </si>
  <si>
    <t>joaniecampbell@gmail.com</t>
  </si>
  <si>
    <t>Joyce Nelson</t>
  </si>
  <si>
    <t>joyce12@gmail.com</t>
  </si>
  <si>
    <t>Julie Adams</t>
  </si>
  <si>
    <t>jadams@bookworm.co.br</t>
  </si>
  <si>
    <t>Debra King</t>
  </si>
  <si>
    <t>dking@abc.com</t>
  </si>
  <si>
    <t>Emma Young</t>
  </si>
  <si>
    <t>eyoung@abc.co.uk</t>
  </si>
  <si>
    <t>Heather Flores</t>
  </si>
  <si>
    <t>hflores123@yahoo.com</t>
  </si>
  <si>
    <t>Kelly Hall</t>
  </si>
  <si>
    <t>khall@nextlevel.co.hk</t>
  </si>
  <si>
    <t>Rachel Scott</t>
  </si>
  <si>
    <t>rscott@systems.co.au</t>
  </si>
  <si>
    <t>Maria Hill</t>
  </si>
  <si>
    <t>Virginia Wright</t>
  </si>
  <si>
    <t>vwright@amazing.co.us</t>
  </si>
  <si>
    <t>Ruth Ramirez</t>
  </si>
  <si>
    <t>Samantha Robinson</t>
  </si>
  <si>
    <t>Victoria Baker</t>
  </si>
  <si>
    <t>Angela Thompson</t>
  </si>
  <si>
    <t>Catherine Allen</t>
  </si>
  <si>
    <t>Nicole Clark</t>
  </si>
  <si>
    <t>Pamela Sanchez</t>
  </si>
  <si>
    <t>Enquiry System</t>
  </si>
  <si>
    <t>CODE</t>
  </si>
  <si>
    <t>ITEM</t>
  </si>
  <si>
    <t>NO. STOCK</t>
  </si>
  <si>
    <t>A12</t>
  </si>
  <si>
    <t>Laptop</t>
  </si>
  <si>
    <t>A45</t>
  </si>
  <si>
    <t>Pen</t>
  </si>
  <si>
    <t>Code</t>
  </si>
  <si>
    <t>A34</t>
  </si>
  <si>
    <t>Notebook</t>
  </si>
  <si>
    <t>Item</t>
  </si>
  <si>
    <t>A19</t>
  </si>
  <si>
    <t>Phone charger</t>
  </si>
  <si>
    <t>A18</t>
  </si>
  <si>
    <t>Water bottle</t>
  </si>
  <si>
    <t>No. Stock</t>
  </si>
  <si>
    <t>A24</t>
  </si>
  <si>
    <t>Backpack</t>
  </si>
  <si>
    <t>Jan</t>
  </si>
  <si>
    <t>Feb</t>
  </si>
  <si>
    <t>March</t>
  </si>
  <si>
    <t>Product A</t>
  </si>
  <si>
    <t>Product B</t>
  </si>
  <si>
    <t>Product C</t>
  </si>
  <si>
    <t>Product D</t>
  </si>
  <si>
    <t>Student</t>
  </si>
  <si>
    <t>Score</t>
  </si>
  <si>
    <t>Grade</t>
  </si>
  <si>
    <t>Fakhrul</t>
  </si>
  <si>
    <t>F</t>
  </si>
  <si>
    <t>Anton</t>
  </si>
  <si>
    <t>E</t>
  </si>
  <si>
    <t>Angelino</t>
  </si>
  <si>
    <t>D</t>
  </si>
  <si>
    <t>Joses</t>
  </si>
  <si>
    <t>Haaland</t>
  </si>
  <si>
    <t>Latest Department</t>
  </si>
  <si>
    <t>Reward</t>
  </si>
  <si>
    <t>Report Year</t>
  </si>
  <si>
    <t>Alex</t>
  </si>
  <si>
    <t>Jelena</t>
  </si>
  <si>
    <t>Bruce</t>
  </si>
  <si>
    <t>HR</t>
  </si>
  <si>
    <t>50 Points</t>
  </si>
  <si>
    <t>100 Points</t>
  </si>
  <si>
    <t>150 Points</t>
  </si>
  <si>
    <t>200 Points</t>
  </si>
  <si>
    <t>OrderDate</t>
  </si>
  <si>
    <t>Region</t>
  </si>
  <si>
    <t>Rep</t>
  </si>
  <si>
    <t>Units</t>
  </si>
  <si>
    <t>Unit Cost</t>
  </si>
  <si>
    <t>Total</t>
  </si>
  <si>
    <t>Payment</t>
  </si>
  <si>
    <t>East</t>
  </si>
  <si>
    <t>Jones</t>
  </si>
  <si>
    <t>Pencil</t>
  </si>
  <si>
    <t>Full</t>
  </si>
  <si>
    <t>Central</t>
  </si>
  <si>
    <t>Kivell</t>
  </si>
  <si>
    <t>Binder</t>
  </si>
  <si>
    <t>Jardine</t>
  </si>
  <si>
    <t>Gill</t>
  </si>
  <si>
    <t>West</t>
  </si>
  <si>
    <t>Sorvino</t>
  </si>
  <si>
    <t>Billed</t>
  </si>
  <si>
    <t>Andrews</t>
  </si>
  <si>
    <t>Overdue</t>
  </si>
  <si>
    <t>Thompson</t>
  </si>
  <si>
    <t>Morgan</t>
  </si>
  <si>
    <t>Howard</t>
  </si>
  <si>
    <t>Parent</t>
  </si>
  <si>
    <t>Desk</t>
  </si>
  <si>
    <t>Pen Set</t>
  </si>
  <si>
    <t>Country</t>
  </si>
  <si>
    <t>Product</t>
  </si>
  <si>
    <t>Revenue</t>
  </si>
  <si>
    <t>Profit</t>
  </si>
  <si>
    <t>Date</t>
  </si>
  <si>
    <t>India</t>
  </si>
  <si>
    <t>United Kingdom</t>
  </si>
  <si>
    <t>Malaysia</t>
  </si>
  <si>
    <t>United States</t>
  </si>
  <si>
    <t>Philippines</t>
  </si>
  <si>
    <t>Korean Ramen Restaurant</t>
  </si>
  <si>
    <t>1. How many bowls should be sold to get a net profit of 50000?</t>
  </si>
  <si>
    <t>Bowl Sell</t>
  </si>
  <si>
    <t>2. How many mugs should be sold to make a profit of 100000?</t>
  </si>
  <si>
    <t>Price per bowl</t>
  </si>
  <si>
    <t>Capital per bowl</t>
  </si>
  <si>
    <t>Total Capital</t>
  </si>
  <si>
    <t>Net Profit</t>
  </si>
  <si>
    <t>Monthly Saving</t>
  </si>
  <si>
    <t xml:space="preserve"> %Divident</t>
  </si>
  <si>
    <t>Year</t>
  </si>
  <si>
    <t>Deposit</t>
  </si>
  <si>
    <t>Loan</t>
  </si>
  <si>
    <t>Rates</t>
  </si>
  <si>
    <t>Monthly Installment</t>
  </si>
  <si>
    <t>Period</t>
  </si>
  <si>
    <t>Whole Number</t>
  </si>
  <si>
    <t>List</t>
  </si>
  <si>
    <t>Text Length</t>
  </si>
  <si>
    <t>Custom</t>
  </si>
  <si>
    <t>Indonesia</t>
  </si>
  <si>
    <t>England</t>
  </si>
  <si>
    <t>China</t>
  </si>
  <si>
    <t>Australia</t>
  </si>
  <si>
    <t>ABC Company</t>
  </si>
  <si>
    <t>No</t>
  </si>
  <si>
    <t>Designation</t>
  </si>
  <si>
    <t>Azlan</t>
  </si>
  <si>
    <t>Manager</t>
  </si>
  <si>
    <t>Bazli</t>
  </si>
  <si>
    <t>Rahman</t>
  </si>
  <si>
    <t>Zaili</t>
  </si>
  <si>
    <t>Working out Mortgage payments with PMT and IPMT</t>
  </si>
  <si>
    <t>Mortgage details/Calculator</t>
  </si>
  <si>
    <t>Interest Rate</t>
  </si>
  <si>
    <t>Monthly Payment</t>
  </si>
  <si>
    <t>Interest P/M</t>
  </si>
  <si>
    <t>Principle Paid</t>
  </si>
  <si>
    <t>Loan Amount</t>
  </si>
  <si>
    <t>Loan amount:</t>
  </si>
  <si>
    <t>Fixed Rate:</t>
  </si>
  <si>
    <t>Period years:</t>
  </si>
  <si>
    <t>Period Months:</t>
  </si>
  <si>
    <t>Monthly</t>
  </si>
  <si>
    <t>PMT</t>
  </si>
  <si>
    <t>Payment P/M:</t>
  </si>
  <si>
    <t>IPMT</t>
  </si>
  <si>
    <t>Interest Only P/M:</t>
  </si>
  <si>
    <t>Yearly</t>
  </si>
  <si>
    <t>Payment P/A:</t>
  </si>
  <si>
    <t>Interest Only P/A:</t>
  </si>
  <si>
    <t>Total Payable:</t>
  </si>
  <si>
    <t>Total Interest:</t>
  </si>
  <si>
    <t>Average Interest P/A:</t>
  </si>
  <si>
    <t>Average interest P/M:</t>
  </si>
  <si>
    <t xml:space="preserve">Yearly Payment: </t>
  </si>
  <si>
    <t>Deposit Excluded:</t>
  </si>
  <si>
    <t>Bills to pay P/M</t>
  </si>
  <si>
    <t>Gas:</t>
  </si>
  <si>
    <t>Electricity:</t>
  </si>
  <si>
    <t>Property tax:</t>
  </si>
  <si>
    <t>Water:</t>
  </si>
  <si>
    <t>Miscellaneous:</t>
  </si>
  <si>
    <t>Total bills (Average)</t>
  </si>
  <si>
    <t xml:space="preserve">Total P/M bills plus mortgage </t>
  </si>
  <si>
    <t>Total (PMT):</t>
  </si>
  <si>
    <t>Total (IPMT):</t>
  </si>
  <si>
    <t>No.</t>
  </si>
  <si>
    <t>Passenger Name</t>
  </si>
  <si>
    <t>Ticket Code</t>
  </si>
  <si>
    <t>Type of Ticket</t>
  </si>
  <si>
    <t>Birth Year</t>
  </si>
  <si>
    <t>Discount</t>
  </si>
  <si>
    <t>Price after Discount</t>
  </si>
  <si>
    <t>Charlie</t>
  </si>
  <si>
    <t>BIS1991A</t>
  </si>
  <si>
    <t>Ariel</t>
  </si>
  <si>
    <t>ECO1998D</t>
  </si>
  <si>
    <t>Baim</t>
  </si>
  <si>
    <t>EXC2001A</t>
  </si>
  <si>
    <t>Dorothy</t>
  </si>
  <si>
    <t>EXC1987D</t>
  </si>
  <si>
    <t>Elsa</t>
  </si>
  <si>
    <t>ECO1995L</t>
  </si>
  <si>
    <t>Fiona</t>
  </si>
  <si>
    <t>BIS1992D</t>
  </si>
  <si>
    <t>Gerry</t>
  </si>
  <si>
    <t>ECO1994A</t>
  </si>
  <si>
    <t>Henny</t>
  </si>
  <si>
    <t>EXC1970L</t>
  </si>
  <si>
    <t>Class Table</t>
  </si>
  <si>
    <t>ECO</t>
  </si>
  <si>
    <t>BIS</t>
  </si>
  <si>
    <t>EXC</t>
  </si>
  <si>
    <t>Economy</t>
  </si>
  <si>
    <t>Business</t>
  </si>
  <si>
    <t>Executive</t>
  </si>
  <si>
    <t>Child</t>
  </si>
  <si>
    <t>Adult</t>
  </si>
  <si>
    <t>Senior Citizen</t>
  </si>
  <si>
    <t>1.Class refers to the first 3 letters in the ticket code, year of birth refers to digits 4-7</t>
  </si>
  <si>
    <t>2. Ticket type refers to the last 1 letter in the ticket code</t>
  </si>
  <si>
    <t>3.The initial price depends on the type of ticket and the class of each passenger</t>
  </si>
  <si>
    <t>4. 10% discount on all tickets</t>
  </si>
  <si>
    <t>5. The price after the discount is the initial price minus the 10% discount</t>
  </si>
  <si>
    <t>6. Sort by passenger name alphabetically</t>
  </si>
  <si>
    <t>ID Number</t>
  </si>
  <si>
    <t>Sales Method</t>
  </si>
  <si>
    <t>Price per unit</t>
  </si>
  <si>
    <t>Cost per unit</t>
  </si>
  <si>
    <t>Quantity</t>
  </si>
  <si>
    <t>Revenues</t>
  </si>
  <si>
    <t>Expenses</t>
  </si>
  <si>
    <t>Iphone</t>
  </si>
  <si>
    <t>EMEA</t>
  </si>
  <si>
    <t>In-store</t>
  </si>
  <si>
    <t>North America</t>
  </si>
  <si>
    <t>Third Party</t>
  </si>
  <si>
    <t>Macbook</t>
  </si>
  <si>
    <t>Asia</t>
  </si>
  <si>
    <t>Online Store</t>
  </si>
  <si>
    <t>Ipad</t>
  </si>
  <si>
    <t>South America</t>
  </si>
  <si>
    <t>Referral</t>
  </si>
  <si>
    <t>Iwatch</t>
  </si>
  <si>
    <t>Airpod</t>
  </si>
  <si>
    <t>13/1/2022</t>
  </si>
  <si>
    <t>16/1/2022</t>
  </si>
  <si>
    <t>19/1/2022</t>
  </si>
  <si>
    <t>22/1/2022</t>
  </si>
  <si>
    <t>25/1/2022</t>
  </si>
  <si>
    <t>15/3/2022</t>
  </si>
  <si>
    <t>17/3/2022</t>
  </si>
  <si>
    <t>19/3/2022</t>
  </si>
  <si>
    <t>21/3/2022</t>
  </si>
  <si>
    <t>23/3/2022</t>
  </si>
  <si>
    <t>25/3/2022</t>
  </si>
  <si>
    <t>27/3/2022</t>
  </si>
  <si>
    <t>29/3/2022</t>
  </si>
  <si>
    <t>31/3/2022</t>
  </si>
  <si>
    <t>14/4/2022</t>
  </si>
  <si>
    <t>16/4/2022</t>
  </si>
  <si>
    <t>18/4/2022</t>
  </si>
  <si>
    <t>20/4/2022</t>
  </si>
  <si>
    <t>22/4/2022</t>
  </si>
  <si>
    <t>24/4/2022</t>
  </si>
  <si>
    <t>26/4/2022</t>
  </si>
  <si>
    <t>28/4/2022</t>
  </si>
  <si>
    <t>30/4/2022</t>
  </si>
  <si>
    <t>14/5/2022</t>
  </si>
  <si>
    <t>16/5/2022</t>
  </si>
  <si>
    <t>18/5/2022</t>
  </si>
  <si>
    <t>20/5/2022</t>
  </si>
  <si>
    <t>22/5/2022</t>
  </si>
  <si>
    <t>24/5/2022</t>
  </si>
  <si>
    <t>26/5/2022</t>
  </si>
  <si>
    <t>28/5/2022</t>
  </si>
  <si>
    <t>30/5/2022</t>
  </si>
  <si>
    <t>13/6/2022</t>
  </si>
  <si>
    <t>15/6/2022</t>
  </si>
  <si>
    <t>17/6/2022</t>
  </si>
  <si>
    <t>19/6/2022</t>
  </si>
  <si>
    <t>21/6/2022</t>
  </si>
  <si>
    <t>23/6/2022</t>
  </si>
  <si>
    <t>25/6/2022</t>
  </si>
  <si>
    <t>27/6/2022</t>
  </si>
  <si>
    <t>29/6/2022</t>
  </si>
  <si>
    <t>13/7/2022</t>
  </si>
  <si>
    <t>15/7/2022</t>
  </si>
  <si>
    <t>17/7/2022</t>
  </si>
  <si>
    <t>19/7/2022</t>
  </si>
  <si>
    <t>21/7/2022</t>
  </si>
  <si>
    <t>23/7/2022</t>
  </si>
  <si>
    <t>25/7/2022</t>
  </si>
  <si>
    <t>27/7/2022</t>
  </si>
  <si>
    <t>29/7/2022</t>
  </si>
  <si>
    <t>31/7/2022</t>
  </si>
  <si>
    <t>14/8/2022</t>
  </si>
  <si>
    <t>16/8/2022</t>
  </si>
  <si>
    <t>18/8/2022</t>
  </si>
  <si>
    <t>20/8/2022</t>
  </si>
  <si>
    <t>22/8/2022</t>
  </si>
  <si>
    <t>24/8/2022</t>
  </si>
  <si>
    <t>26/8/2022</t>
  </si>
  <si>
    <t>28/8/2022</t>
  </si>
  <si>
    <t>30/8/2022</t>
  </si>
  <si>
    <t>13/9/2022</t>
  </si>
  <si>
    <t>15/9/2022</t>
  </si>
  <si>
    <t>17/9/2022</t>
  </si>
  <si>
    <t>19/9/2022</t>
  </si>
  <si>
    <t>21/9/2022</t>
  </si>
  <si>
    <t>23/9/2022</t>
  </si>
  <si>
    <t>25/9/2022</t>
  </si>
  <si>
    <t>27/9/2022</t>
  </si>
  <si>
    <t>29/9/2022</t>
  </si>
  <si>
    <t>13/10/2022</t>
  </si>
  <si>
    <t>15/10/2022</t>
  </si>
  <si>
    <t>17/10/2022</t>
  </si>
  <si>
    <t>19/10/2022</t>
  </si>
  <si>
    <t>21/10/2022</t>
  </si>
  <si>
    <t>23/10/2022</t>
  </si>
  <si>
    <t>25/10/2022</t>
  </si>
  <si>
    <t>27/10/2022</t>
  </si>
  <si>
    <t>29/10/2022</t>
  </si>
  <si>
    <t>31/10/2022</t>
  </si>
  <si>
    <t>14/11/2022</t>
  </si>
  <si>
    <t>16/11/2022</t>
  </si>
  <si>
    <t>18/11/2022</t>
  </si>
  <si>
    <t>20/11/2022</t>
  </si>
  <si>
    <t>22/11/2022</t>
  </si>
  <si>
    <t>24/11/2022</t>
  </si>
  <si>
    <t>14/12/2022</t>
  </si>
  <si>
    <t>16/12/2022</t>
  </si>
  <si>
    <t>18/12/2022</t>
  </si>
  <si>
    <t>20/12/2022</t>
  </si>
  <si>
    <t>22/12/2022</t>
  </si>
  <si>
    <t>24/12/2022</t>
  </si>
  <si>
    <t>26/12/2022</t>
  </si>
  <si>
    <t>28/12/2022</t>
  </si>
  <si>
    <t>30/12/2022</t>
  </si>
  <si>
    <t>Event Name</t>
  </si>
  <si>
    <t>New Year's Day</t>
  </si>
  <si>
    <t>14/01/2022</t>
  </si>
  <si>
    <t>Prophet Muhammad's Birthday</t>
  </si>
  <si>
    <t>31/01/2022</t>
  </si>
  <si>
    <t>Chinese New Year (Day 1)</t>
  </si>
  <si>
    <t>Chinese New Year (Day 2)</t>
  </si>
  <si>
    <t>Labour Day</t>
  </si>
  <si>
    <t>13/05/2022</t>
  </si>
  <si>
    <t>Wesak Day</t>
  </si>
  <si>
    <t>Agong's Birthday</t>
  </si>
  <si>
    <t>28/07/2022</t>
  </si>
  <si>
    <t>Hari Raya Aidilfitri (Day 1)</t>
  </si>
  <si>
    <t>29/07/2022</t>
  </si>
  <si>
    <t>Hari Raya Aidilfitri (Day 2)</t>
  </si>
  <si>
    <t>31/08/2022</t>
  </si>
  <si>
    <t>National Day</t>
  </si>
  <si>
    <t>16/09/2022</t>
  </si>
  <si>
    <t>Malaysia Day</t>
  </si>
  <si>
    <t>Hari Raya Haji (Day 1)</t>
  </si>
  <si>
    <t>Deepavali</t>
  </si>
  <si>
    <t>25/12/2022</t>
  </si>
  <si>
    <t>Christmas</t>
  </si>
  <si>
    <t>InvoiceID</t>
  </si>
  <si>
    <t>Category</t>
  </si>
  <si>
    <t>UnitPrice</t>
  </si>
  <si>
    <t xml:space="preserve">Agent </t>
  </si>
  <si>
    <t>Electronics</t>
  </si>
  <si>
    <t>Smartphone</t>
  </si>
  <si>
    <t>SA6</t>
  </si>
  <si>
    <t>Clothing</t>
  </si>
  <si>
    <t>Shoes</t>
  </si>
  <si>
    <t>SA1</t>
  </si>
  <si>
    <t>North</t>
  </si>
  <si>
    <t>Furniture</t>
  </si>
  <si>
    <t>Shelf</t>
  </si>
  <si>
    <t>SA4</t>
  </si>
  <si>
    <t>South</t>
  </si>
  <si>
    <t>Jacket</t>
  </si>
  <si>
    <t>SA7</t>
  </si>
  <si>
    <t>SA3</t>
  </si>
  <si>
    <t>SA5</t>
  </si>
  <si>
    <t>Food</t>
  </si>
  <si>
    <t>Cereal</t>
  </si>
  <si>
    <t>Tablet</t>
  </si>
  <si>
    <t>Bread</t>
  </si>
  <si>
    <t>Chair</t>
  </si>
  <si>
    <t>Eggs</t>
  </si>
  <si>
    <t>Milk</t>
  </si>
  <si>
    <t>Pants</t>
  </si>
  <si>
    <t>SA2</t>
  </si>
  <si>
    <t>Cabinet</t>
  </si>
  <si>
    <t>Shirt</t>
  </si>
  <si>
    <t>Headphones</t>
  </si>
  <si>
    <t>SA2020L</t>
  </si>
  <si>
    <t>Deborah Evans</t>
  </si>
  <si>
    <t>Isabella Barrett</t>
  </si>
  <si>
    <t>Joe Jimenez</t>
  </si>
  <si>
    <t>Scarlett Murphy</t>
  </si>
  <si>
    <t>Adam Bryant</t>
  </si>
  <si>
    <t>Samantha Carroll</t>
  </si>
  <si>
    <t>Patrick Alexander</t>
  </si>
  <si>
    <t>Jacob Graham</t>
  </si>
  <si>
    <t>Christopher Graham</t>
  </si>
  <si>
    <t>Diana Campbell</t>
  </si>
  <si>
    <t>Olivia Clark</t>
  </si>
  <si>
    <t>Michael Chavez</t>
  </si>
  <si>
    <t>Paul Patterson</t>
  </si>
  <si>
    <t>Lisa Lopez</t>
  </si>
  <si>
    <t>Barbara Ford</t>
  </si>
  <si>
    <t>Natalie Perry</t>
  </si>
  <si>
    <t>Christian Wright</t>
  </si>
  <si>
    <t>Lillian Coleman</t>
  </si>
  <si>
    <t>Stephanie Reynolds</t>
  </si>
  <si>
    <t>Xavier Martinez</t>
  </si>
  <si>
    <t>Louis Perez</t>
  </si>
  <si>
    <t>Deborah Perez</t>
  </si>
  <si>
    <t>Edward Jackson</t>
  </si>
  <si>
    <t>Victoria Flores</t>
  </si>
  <si>
    <t>Ronald Lopez</t>
  </si>
  <si>
    <t>Benjamin Alvarez</t>
  </si>
  <si>
    <t>Dorothy Medina</t>
  </si>
  <si>
    <t>Dennis Wilson</t>
  </si>
  <si>
    <t>Alexander Collins</t>
  </si>
  <si>
    <t>Addison Harrison</t>
  </si>
  <si>
    <t>Charlotte Coleman</t>
  </si>
  <si>
    <t>Mila Richardson</t>
  </si>
  <si>
    <t>Natalia Fernandez</t>
  </si>
  <si>
    <t>Gregory Morales</t>
  </si>
  <si>
    <t>Brittany Smith</t>
  </si>
  <si>
    <t>Sandra Martinez</t>
  </si>
  <si>
    <t>Philip Lee</t>
  </si>
  <si>
    <t>Paul Hernandez</t>
  </si>
  <si>
    <t>Audrey Murphy</t>
  </si>
  <si>
    <t>Eleanor Taylor</t>
  </si>
  <si>
    <t>Nicole Sanders</t>
  </si>
  <si>
    <t>Cheryl Powell</t>
  </si>
  <si>
    <t>Christopher Jacobs</t>
  </si>
  <si>
    <t>Kayla Alvarez</t>
  </si>
  <si>
    <t>Joyce Diaz</t>
  </si>
  <si>
    <t>Sarah Miller</t>
  </si>
  <si>
    <t>Gary Evans</t>
  </si>
  <si>
    <t>Helen Butler</t>
  </si>
  <si>
    <t>Joe Thompson</t>
  </si>
  <si>
    <t>Joyce Brown</t>
  </si>
  <si>
    <t>Johnny Fisher</t>
  </si>
  <si>
    <t>Judith Tran</t>
  </si>
  <si>
    <t>Bruce Mcdaniel</t>
  </si>
  <si>
    <t>Brittany Walker</t>
  </si>
  <si>
    <t>Natalia Gonzalez</t>
  </si>
  <si>
    <t>Johnny Medina</t>
  </si>
  <si>
    <t>Ralph Patterson</t>
  </si>
  <si>
    <t>Angela Davis</t>
  </si>
  <si>
    <t>Tyler Lopez</t>
  </si>
  <si>
    <t>Connor Thomas</t>
  </si>
  <si>
    <t>Hailey Ford</t>
  </si>
  <si>
    <t>Carl Carroll</t>
  </si>
  <si>
    <t>Anthony Lopez</t>
  </si>
  <si>
    <t>Jean Cruz</t>
  </si>
  <si>
    <t>Nora Flores</t>
  </si>
  <si>
    <t>Ashley McDonald</t>
  </si>
  <si>
    <t>Thomas Ramos</t>
  </si>
  <si>
    <t>Dennis Herrera</t>
  </si>
  <si>
    <t>Samuel Ortiz</t>
  </si>
  <si>
    <t>Ian Davis</t>
  </si>
  <si>
    <t>Nicholas Reed</t>
  </si>
  <si>
    <t>Kenneth Wright</t>
  </si>
  <si>
    <t>Timothy Jimenez</t>
  </si>
  <si>
    <t>Martha Butler</t>
  </si>
  <si>
    <t>Ruby Rogers</t>
  </si>
  <si>
    <t>Jonathan Stevens</t>
  </si>
  <si>
    <t>Lisa Vasquez</t>
  </si>
  <si>
    <t>Terry Patel</t>
  </si>
  <si>
    <t>Steven Hernandes</t>
  </si>
  <si>
    <t>Eric Hall</t>
  </si>
  <si>
    <t>Aubrey Ward</t>
  </si>
  <si>
    <t>Jose Romero</t>
  </si>
  <si>
    <t>Samantha Morgan</t>
  </si>
  <si>
    <t>Liam Evans</t>
  </si>
  <si>
    <t>Trevor Sanders</t>
  </si>
  <si>
    <t>Barbara Myers</t>
  </si>
  <si>
    <t>Jerry Wells</t>
  </si>
  <si>
    <t>Frank Aguilar</t>
  </si>
  <si>
    <t>Kelly Henry</t>
  </si>
  <si>
    <t>Kathleen Johnson</t>
  </si>
  <si>
    <t>Cody Moreno</t>
  </si>
  <si>
    <t>Penelope Hughes</t>
  </si>
  <si>
    <t>Ethan Jenkins</t>
  </si>
  <si>
    <t>Keith Fisher</t>
  </si>
  <si>
    <t>Amanda Castro</t>
  </si>
  <si>
    <t>Stephanie Perry</t>
  </si>
  <si>
    <t>Amber Coleman</t>
  </si>
  <si>
    <t>Paul Roberts</t>
  </si>
  <si>
    <t>Keith McDonald</t>
  </si>
  <si>
    <t>William Hamilton</t>
  </si>
  <si>
    <t>Rachel Watson</t>
  </si>
  <si>
    <t>Joshua Robinson</t>
  </si>
  <si>
    <t>Jeffrey Kennedy</t>
  </si>
  <si>
    <t>Zachary Price</t>
  </si>
  <si>
    <t>Roger Moore</t>
  </si>
  <si>
    <t>Henry Cruz</t>
  </si>
  <si>
    <t>Brittany Mendoza</t>
  </si>
  <si>
    <t>Daniel Williams</t>
  </si>
  <si>
    <t>Joseph Harrison</t>
  </si>
  <si>
    <t>Douglas Castro</t>
  </si>
  <si>
    <t>Jacqueline Adams</t>
  </si>
  <si>
    <t>Penelope Myers</t>
  </si>
  <si>
    <t>Henry Taylor</t>
  </si>
  <si>
    <t>Kayla Mitchell</t>
  </si>
  <si>
    <t>Ashley Miller</t>
  </si>
  <si>
    <t>Katherine Simmons</t>
  </si>
  <si>
    <t>Richard Morgan</t>
  </si>
  <si>
    <t>Edward Lucas</t>
  </si>
  <si>
    <t>Nathan Hernandes</t>
  </si>
  <si>
    <t>Joshua Hayes</t>
  </si>
  <si>
    <t>Hazel Clark</t>
  </si>
  <si>
    <t>Kimberly Nguyen</t>
  </si>
  <si>
    <t>Janet Hughes</t>
  </si>
  <si>
    <t>Samuel Anderson</t>
  </si>
  <si>
    <t>Steven Garcia</t>
  </si>
  <si>
    <t>Dennis Hamilton</t>
  </si>
  <si>
    <t>Trevor West</t>
  </si>
  <si>
    <t>John Castro</t>
  </si>
  <si>
    <t>Ashley James</t>
  </si>
  <si>
    <t>Aria Alvarez</t>
  </si>
  <si>
    <t>Grace Foster</t>
  </si>
  <si>
    <t>David Lucas</t>
  </si>
  <si>
    <t>Frank Wilson</t>
  </si>
  <si>
    <t>Emma Reed</t>
  </si>
  <si>
    <t>Brian Flores</t>
  </si>
  <si>
    <t>Martha Long</t>
  </si>
  <si>
    <t>Justin Wood</t>
  </si>
  <si>
    <t>Ryan Taylor</t>
  </si>
  <si>
    <t>Nancy Powell</t>
  </si>
  <si>
    <t>Alice Fisher</t>
  </si>
  <si>
    <t>Ronald Jones</t>
  </si>
  <si>
    <t>Megan Bennett</t>
  </si>
  <si>
    <t>William Campbell</t>
  </si>
  <si>
    <t>Alexis Ford</t>
  </si>
  <si>
    <t>Jason Romero</t>
  </si>
  <si>
    <t>Diana Jackson</t>
  </si>
  <si>
    <t>Alexis Carroll</t>
  </si>
  <si>
    <t>Vincent Patterson</t>
  </si>
  <si>
    <t>Kyle Edwards</t>
  </si>
  <si>
    <t>Brenda Stewart</t>
  </si>
  <si>
    <t>Robert Simmons</t>
  </si>
  <si>
    <t>Logan Nelson</t>
  </si>
  <si>
    <t>Mary White</t>
  </si>
  <si>
    <t>Ann Cruz</t>
  </si>
  <si>
    <t>Scott Ramirez</t>
  </si>
  <si>
    <t>Danielle Vasquez</t>
  </si>
  <si>
    <t>Deborah Perry</t>
  </si>
  <si>
    <t>Ruth Washington</t>
  </si>
  <si>
    <t>Michael Castillo</t>
  </si>
  <si>
    <t>Rose Bryant</t>
  </si>
  <si>
    <t>Margaret Wright</t>
  </si>
  <si>
    <t>Lisa Barrett</t>
  </si>
  <si>
    <t>Kyle Wells</t>
  </si>
  <si>
    <t>Austin Reyes</t>
  </si>
  <si>
    <t>James Ramirez</t>
  </si>
  <si>
    <t>Scarlett Fisher</t>
  </si>
  <si>
    <t>Allison Adams</t>
  </si>
  <si>
    <t>Julie Turner</t>
  </si>
  <si>
    <t>Brittany Woods</t>
  </si>
  <si>
    <t>Susan Barnes</t>
  </si>
  <si>
    <t>Robert Carter</t>
  </si>
  <si>
    <t>Scott Bryant</t>
  </si>
  <si>
    <t>Jeffrey Jacobs</t>
  </si>
  <si>
    <t>Diana Sanchez</t>
  </si>
  <si>
    <t>Addison Coleman</t>
  </si>
  <si>
    <t>Roy Howard</t>
  </si>
  <si>
    <t>Donna Stevens</t>
  </si>
  <si>
    <t>Addison Chavez</t>
  </si>
  <si>
    <t>Donald Ortiz</t>
  </si>
  <si>
    <t>Xavier Roberts</t>
  </si>
  <si>
    <t>Nora Bell</t>
  </si>
  <si>
    <t>Jeffrey Alexander</t>
  </si>
  <si>
    <t>Benjamin Romero</t>
  </si>
  <si>
    <t>Timothy Morgan</t>
  </si>
  <si>
    <t>Alexis Price</t>
  </si>
  <si>
    <t>Joyce Moreno</t>
  </si>
  <si>
    <t>Janet Ramos</t>
  </si>
  <si>
    <t>Alexis Torres</t>
  </si>
  <si>
    <t>Russell King</t>
  </si>
  <si>
    <t>Jerry Campbell</t>
  </si>
  <si>
    <t>Noah Wallace</t>
  </si>
  <si>
    <t>Andrea Mcdaniel</t>
  </si>
  <si>
    <t>Ann Gray</t>
  </si>
  <si>
    <t>Roger Butler</t>
  </si>
  <si>
    <t>Dorothy Romero</t>
  </si>
  <si>
    <t>Rachel Evans</t>
  </si>
  <si>
    <t>Dorothy McDonald</t>
  </si>
  <si>
    <t>Vincent Perez</t>
  </si>
  <si>
    <t>Rose Ortiz</t>
  </si>
  <si>
    <t>Heather Brooks</t>
  </si>
  <si>
    <t>Addison Richardson</t>
  </si>
  <si>
    <t>Randy Torres</t>
  </si>
  <si>
    <t>Kenneth Thompson</t>
  </si>
  <si>
    <t>David Murphy</t>
  </si>
  <si>
    <t>George Cox</t>
  </si>
  <si>
    <t>Russell Foster</t>
  </si>
  <si>
    <t>Carl Jacobs</t>
  </si>
  <si>
    <t>Susan Chen</t>
  </si>
  <si>
    <t>Sarah Bennett</t>
  </si>
  <si>
    <t>Christian Simmons</t>
  </si>
  <si>
    <t>Natalia Ellis</t>
  </si>
  <si>
    <t>Joseph Anderson</t>
  </si>
  <si>
    <t>Bruce Kelly</t>
  </si>
  <si>
    <t>Heather Morgan</t>
  </si>
  <si>
    <t>Margaret Cole</t>
  </si>
  <si>
    <t>Gabriel Chavez</t>
  </si>
  <si>
    <t>Olivia Powell</t>
  </si>
  <si>
    <t>Joyce Reynolds</t>
  </si>
  <si>
    <t>Gabriel Howard</t>
  </si>
  <si>
    <t>Rebecca Martinez</t>
  </si>
  <si>
    <t>Harold Ford</t>
  </si>
  <si>
    <t>Debra Moreno</t>
  </si>
  <si>
    <t>Ian Jacobs</t>
  </si>
  <si>
    <t>Donald Garcia</t>
  </si>
  <si>
    <t>Brooke Roberts</t>
  </si>
  <si>
    <t>Jeremy Mendoza</t>
  </si>
  <si>
    <t>Frank Chen</t>
  </si>
  <si>
    <t>Judy Torres</t>
  </si>
  <si>
    <t>Elizabeth Mitchell</t>
  </si>
  <si>
    <t>Justin Graham</t>
  </si>
  <si>
    <t>Daniel Torres</t>
  </si>
  <si>
    <t>Victoria Coleman</t>
  </si>
  <si>
    <t>Arthur Bennett</t>
  </si>
  <si>
    <t>David Williams</t>
  </si>
  <si>
    <t>Zoey Parker</t>
  </si>
  <si>
    <t>Jack Ellis</t>
  </si>
  <si>
    <t>Joel Flores</t>
  </si>
  <si>
    <t>Scott Barnes</t>
  </si>
  <si>
    <t>Jason Morris</t>
  </si>
  <si>
    <t>Keith Harris</t>
  </si>
  <si>
    <t>Judy Howard</t>
  </si>
  <si>
    <t>Olivia Hernandes</t>
  </si>
  <si>
    <t>Anna Hughes</t>
  </si>
  <si>
    <t>Elizabeth Evans</t>
  </si>
  <si>
    <t>Savannah McDonald</t>
  </si>
  <si>
    <t>Kenneth Smith</t>
  </si>
  <si>
    <t>Bruce Johnson</t>
  </si>
  <si>
    <t>Jean Patel</t>
  </si>
  <si>
    <t>Austin Watson</t>
  </si>
  <si>
    <t>Timothy Garcia</t>
  </si>
  <si>
    <t>Carl Lee</t>
  </si>
  <si>
    <t>Austin Graham</t>
  </si>
  <si>
    <t>Natalia Smith</t>
  </si>
  <si>
    <t>Kevin Bennett</t>
  </si>
  <si>
    <t>Douglas Butler</t>
  </si>
  <si>
    <t>Shirley Bell</t>
  </si>
  <si>
    <t>Sarah Carter</t>
  </si>
  <si>
    <t>Alan Russell</t>
  </si>
  <si>
    <t>Joe Wood</t>
  </si>
  <si>
    <t>Dennis Patel</t>
  </si>
  <si>
    <t>Juan Wood</t>
  </si>
  <si>
    <t>Jack Allen</t>
  </si>
  <si>
    <t>Alice Hernandes</t>
  </si>
  <si>
    <t>Ashley Kennedy</t>
  </si>
  <si>
    <t>Joyce Taylor</t>
  </si>
  <si>
    <t>Russell Ramirez</t>
  </si>
  <si>
    <t>Carolyn Anderson</t>
  </si>
  <si>
    <t>Frank Fernandez</t>
  </si>
  <si>
    <t>Terry Russell</t>
  </si>
  <si>
    <t>Melissa Hughes</t>
  </si>
  <si>
    <t>Janet Hernandez</t>
  </si>
  <si>
    <t>Jason Tran</t>
  </si>
  <si>
    <t>Mark Thomas</t>
  </si>
  <si>
    <t>Bradley Tran</t>
  </si>
  <si>
    <t>Gregory Rodriguez</t>
  </si>
  <si>
    <t>John Bell</t>
  </si>
  <si>
    <t>Spencer Woods</t>
  </si>
  <si>
    <t>Jacqueline Richardson</t>
  </si>
  <si>
    <t>Margaret Hernandes</t>
  </si>
  <si>
    <t>Rebecca James</t>
  </si>
  <si>
    <t>Joyce Romero</t>
  </si>
  <si>
    <t>Violet Stevens</t>
  </si>
  <si>
    <t>Rachel Allen</t>
  </si>
  <si>
    <t>Raymond Vasquez</t>
  </si>
  <si>
    <t>Alexander Jordan</t>
  </si>
  <si>
    <t>Victoria Ramos</t>
  </si>
  <si>
    <t>Dennis Jackson</t>
  </si>
  <si>
    <t>Victoria Walker</t>
  </si>
  <si>
    <t>Sharon Moore</t>
  </si>
  <si>
    <t>Brooke Morris</t>
  </si>
  <si>
    <t>John Jenkins</t>
  </si>
  <si>
    <t>Judy Reynolds</t>
  </si>
  <si>
    <t>Lauren Cooper</t>
  </si>
  <si>
    <t>Margaret Gonzalez</t>
  </si>
  <si>
    <t>Daniel Sullivan</t>
  </si>
  <si>
    <t>David Reynolds</t>
  </si>
  <si>
    <t>Sean Hansen</t>
  </si>
  <si>
    <t>Joan Romero</t>
  </si>
  <si>
    <t>Charlotte Harrison</t>
  </si>
  <si>
    <t>Lillian Nelson</t>
  </si>
  <si>
    <t>Benjamin Perez</t>
  </si>
  <si>
    <t>Frances King</t>
  </si>
  <si>
    <t>Savannah West</t>
  </si>
  <si>
    <t>Jonathan Ramirez</t>
  </si>
  <si>
    <t>Margaret Patterson</t>
  </si>
  <si>
    <t>Mila Rodriguez</t>
  </si>
  <si>
    <t>William Morales</t>
  </si>
  <si>
    <t>Larry Murray</t>
  </si>
  <si>
    <t>Alice Wilson</t>
  </si>
  <si>
    <t>Patrick Butler</t>
  </si>
  <si>
    <t>Cynthia James</t>
  </si>
  <si>
    <t>Bruce Powell</t>
  </si>
  <si>
    <t>Sophie Cole</t>
  </si>
  <si>
    <t>Tyler Woods</t>
  </si>
  <si>
    <t>Julie Perry</t>
  </si>
  <si>
    <t>Nancy Long</t>
  </si>
  <si>
    <t>Hailey Rivera</t>
  </si>
  <si>
    <t>Jason Jimenez</t>
  </si>
  <si>
    <t>Jonathan Gibson</t>
  </si>
  <si>
    <t>Karen Alvarez</t>
  </si>
  <si>
    <t>Maria Smith</t>
  </si>
  <si>
    <t>Tyler Edwards</t>
  </si>
  <si>
    <t>Joseph Wright</t>
  </si>
  <si>
    <t>Brenda Bell</t>
  </si>
  <si>
    <t>Roger Alvarez</t>
  </si>
  <si>
    <t>Janet Hall</t>
  </si>
  <si>
    <t>Carolyn Martin</t>
  </si>
  <si>
    <t>Stephen Roberts</t>
  </si>
  <si>
    <t>Patricia Jacobs</t>
  </si>
  <si>
    <t>Carol Jimenez</t>
  </si>
  <si>
    <t>Samantha Chen</t>
  </si>
  <si>
    <t>Joan Freeman</t>
  </si>
  <si>
    <t>Ryan Russell</t>
  </si>
  <si>
    <t>Angela Butler</t>
  </si>
  <si>
    <t>Maria Miller</t>
  </si>
  <si>
    <t>Hannah Murray</t>
  </si>
  <si>
    <t>Donald Wilson</t>
  </si>
  <si>
    <t>Kevin Murray</t>
  </si>
  <si>
    <t>Amber Fernandez</t>
  </si>
  <si>
    <t>Albert Taylor</t>
  </si>
  <si>
    <t>Terry McDonald</t>
  </si>
  <si>
    <t>Cynthia Anderson</t>
  </si>
  <si>
    <t>Douglas Phillips</t>
  </si>
  <si>
    <t>Connor Morris</t>
  </si>
  <si>
    <t>Nicholas Price</t>
  </si>
  <si>
    <t>Christine Campbell</t>
  </si>
  <si>
    <t>Walter Scott</t>
  </si>
  <si>
    <t>Betty Wilson</t>
  </si>
  <si>
    <t>Charlotte Thompson</t>
  </si>
  <si>
    <t>Eugene Henry</t>
  </si>
  <si>
    <t>Frank Roberts</t>
  </si>
  <si>
    <t>Gregory Coleman</t>
  </si>
  <si>
    <t>Bryan Long</t>
  </si>
  <si>
    <t>Evelyn Davis</t>
  </si>
  <si>
    <t>Lauren Brown</t>
  </si>
  <si>
    <t>Vincent Thomas</t>
  </si>
  <si>
    <t>Julie Wilson</t>
  </si>
  <si>
    <t>Cheryl Smith</t>
  </si>
  <si>
    <t>Paul Griffin</t>
  </si>
  <si>
    <t>Laura Hill</t>
  </si>
  <si>
    <t>Amanda Stewart</t>
  </si>
  <si>
    <t>Terry Torres</t>
  </si>
  <si>
    <t>Henry Allen</t>
  </si>
  <si>
    <t>Louis Jordan</t>
  </si>
  <si>
    <t>Jeremy Ortiz</t>
  </si>
  <si>
    <t>Diana Gibson</t>
  </si>
  <si>
    <t>Isabella Rivera</t>
  </si>
  <si>
    <t>Sarah Lewis</t>
  </si>
  <si>
    <t>Russell Fisher</t>
  </si>
  <si>
    <t>John Price</t>
  </si>
  <si>
    <t>Penelope Reynolds</t>
  </si>
  <si>
    <t>Emma Mcdaniel</t>
  </si>
  <si>
    <t>Dennis Castro</t>
  </si>
  <si>
    <t>Judy Mitchell</t>
  </si>
  <si>
    <t>Frank White</t>
  </si>
  <si>
    <t>Denise Sanchez</t>
  </si>
  <si>
    <t>Jack Stewart</t>
  </si>
  <si>
    <t>Colton Davis</t>
  </si>
  <si>
    <t>Owen Campbell</t>
  </si>
  <si>
    <t>Gary Romero</t>
  </si>
  <si>
    <t>Danielle Jackson</t>
  </si>
  <si>
    <t>Billy Hayes</t>
  </si>
  <si>
    <t>Donna Brooks</t>
  </si>
  <si>
    <t>Tyler Jackson</t>
  </si>
  <si>
    <t>Marilyn Russell</t>
  </si>
  <si>
    <t>Cheryl Johnson</t>
  </si>
  <si>
    <t>Violet Vasquez</t>
  </si>
  <si>
    <t>Lillian Graham</t>
  </si>
  <si>
    <t>Dorothy Perez</t>
  </si>
  <si>
    <t>Grace Wood</t>
  </si>
  <si>
    <t>Kimberly Gibson</t>
  </si>
  <si>
    <t>Sean Davis</t>
  </si>
  <si>
    <t>Mila Phillips</t>
  </si>
  <si>
    <t>Gabriella Butler</t>
  </si>
  <si>
    <t>Zoey Castro</t>
  </si>
  <si>
    <t>Joyce Clark</t>
  </si>
  <si>
    <t>Mila Stevens</t>
  </si>
  <si>
    <t>Frank Woods</t>
  </si>
  <si>
    <t>Evelyn James</t>
  </si>
  <si>
    <t>Jerry Graham</t>
  </si>
  <si>
    <t>Aria King</t>
  </si>
  <si>
    <t>Austin Wells</t>
  </si>
  <si>
    <t>Helen Alvarez</t>
  </si>
  <si>
    <t>Wayne Cooper</t>
  </si>
  <si>
    <t>Clara Henry</t>
  </si>
  <si>
    <t>Frank Torres</t>
  </si>
  <si>
    <t>Kathleen Griffin</t>
  </si>
  <si>
    <t>Christian Gray</t>
  </si>
  <si>
    <t>Janet King</t>
  </si>
  <si>
    <t>Mila Murphy</t>
  </si>
  <si>
    <t>Carl Clark</t>
  </si>
  <si>
    <t>Madison Foster</t>
  </si>
  <si>
    <t>Charlotte Davis</t>
  </si>
  <si>
    <t>Margaret Cooper</t>
  </si>
  <si>
    <t>Carol Gonzalez</t>
  </si>
  <si>
    <t>Bruce Adams</t>
  </si>
  <si>
    <t>Juan Perry</t>
  </si>
  <si>
    <t>Steven Young</t>
  </si>
  <si>
    <t>Karen Reyes</t>
  </si>
  <si>
    <t>Margaret Kim</t>
  </si>
  <si>
    <t>Lisa Smith</t>
  </si>
  <si>
    <t>Jonathan Vasquez</t>
  </si>
  <si>
    <t>Liam Ford</t>
  </si>
  <si>
    <t>Victoria Taylor</t>
  </si>
  <si>
    <t>Alexander Miller</t>
  </si>
  <si>
    <t>Brenda Fernandez</t>
  </si>
  <si>
    <t>Kelly Hernandez</t>
  </si>
  <si>
    <t>Angela Medina</t>
  </si>
  <si>
    <t>Isabella Wright</t>
  </si>
  <si>
    <t>Joan Flores</t>
  </si>
  <si>
    <t>Charles Bryant</t>
  </si>
  <si>
    <t>Richard Campbell</t>
  </si>
  <si>
    <t>Kyle White</t>
  </si>
  <si>
    <t>Samantha Kelly</t>
  </si>
  <si>
    <t>Douglas Thompson</t>
  </si>
  <si>
    <t>Aaron Miller</t>
  </si>
  <si>
    <t>Victoria Graham</t>
  </si>
  <si>
    <t>Daniel Clark</t>
  </si>
  <si>
    <t>Michelle Coleman</t>
  </si>
  <si>
    <t>Audrey Adams</t>
  </si>
  <si>
    <t>Janet Reed</t>
  </si>
  <si>
    <t>Larry Castillo</t>
  </si>
  <si>
    <t>Roger Walker</t>
  </si>
  <si>
    <t>Carl Vargas</t>
  </si>
  <si>
    <t>Megan Lopez</t>
  </si>
  <si>
    <t>Theresa Reyes</t>
  </si>
  <si>
    <t>Hannah Rodriguez</t>
  </si>
  <si>
    <t>Grace Reynolds</t>
  </si>
  <si>
    <t>Terry Moreno</t>
  </si>
  <si>
    <t>Danielle Owens</t>
  </si>
  <si>
    <t>Nicholas Vargas</t>
  </si>
  <si>
    <t>Alexis Carter</t>
  </si>
  <si>
    <t>Theresa Ford</t>
  </si>
  <si>
    <t>Ruth Bennett</t>
  </si>
  <si>
    <t>Eleanor Owens</t>
  </si>
  <si>
    <t>Alyssa Mcdaniel</t>
  </si>
  <si>
    <t>Christian Herrera</t>
  </si>
  <si>
    <t>Dylan Nelson</t>
  </si>
  <si>
    <t>David Kelly</t>
  </si>
  <si>
    <t>Colton Evans</t>
  </si>
  <si>
    <t>Cody Freeman</t>
  </si>
  <si>
    <t>Colton Gray</t>
  </si>
  <si>
    <t>Ronald Gibson</t>
  </si>
  <si>
    <t>Raymond Henderson</t>
  </si>
  <si>
    <t>Bradley Ward</t>
  </si>
  <si>
    <t>Xavier Herrera</t>
  </si>
  <si>
    <t>Ethan Reyes</t>
  </si>
  <si>
    <t>Eric Reynolds</t>
  </si>
  <si>
    <t>Samuel Patel</t>
  </si>
  <si>
    <t>Carolyn Edwards</t>
  </si>
  <si>
    <t>Gabriella Reyes</t>
  </si>
  <si>
    <t>Jennifer Nguyen</t>
  </si>
  <si>
    <t>Nora Jimenez</t>
  </si>
  <si>
    <t>Colton Kelly</t>
  </si>
  <si>
    <t>Stephanie Baker</t>
  </si>
  <si>
    <t>Jerry Castro</t>
  </si>
  <si>
    <t>Zachary Garcia</t>
  </si>
  <si>
    <t>Thomas Johnson</t>
  </si>
  <si>
    <t>Roger Price</t>
  </si>
  <si>
    <t>Brenda Ward</t>
  </si>
  <si>
    <t>Samuel Medina</t>
  </si>
  <si>
    <t>Allison Washington</t>
  </si>
  <si>
    <t>Sandra Jenkins</t>
  </si>
  <si>
    <t>Betty Gomez</t>
  </si>
  <si>
    <t>Stephen Gray</t>
  </si>
  <si>
    <t>Carolyn Chavez</t>
  </si>
  <si>
    <t>Isabella Jacobs</t>
  </si>
  <si>
    <t>Bruce Stevens</t>
  </si>
  <si>
    <t>Carolyn King</t>
  </si>
  <si>
    <t>Stephanie Hamilton</t>
  </si>
  <si>
    <t>Kenneth Aguilar</t>
  </si>
  <si>
    <t>Johnny Wood</t>
  </si>
  <si>
    <t>Paul Mendoza</t>
  </si>
  <si>
    <t>Brittany Medina</t>
  </si>
  <si>
    <t>Olivia Stewart</t>
  </si>
  <si>
    <t>Paul Moreno</t>
  </si>
  <si>
    <t>Nora Lewis</t>
  </si>
  <si>
    <t>Dennis Thomas</t>
  </si>
  <si>
    <t>Richard Ramirez</t>
  </si>
  <si>
    <t>Brandon Nguyen</t>
  </si>
  <si>
    <t>Owen Anderson</t>
  </si>
  <si>
    <t>Mark Reed</t>
  </si>
  <si>
    <t>Alexander Murphy</t>
  </si>
  <si>
    <t>Allison West</t>
  </si>
  <si>
    <t>Penelope Kelly</t>
  </si>
  <si>
    <t>Cheryl Chavez</t>
  </si>
  <si>
    <t>William Woods</t>
  </si>
  <si>
    <t>Eugene Thompson</t>
  </si>
  <si>
    <t>Ashley Jackson</t>
  </si>
  <si>
    <t>Scarlett Richardson</t>
  </si>
  <si>
    <t>Kevin Coleman</t>
  </si>
  <si>
    <t>John Chavez</t>
  </si>
  <si>
    <t>Xavier Coleman</t>
  </si>
  <si>
    <t>Shirley Thompson</t>
  </si>
  <si>
    <t>Addison Mitchell</t>
  </si>
  <si>
    <t>Keith Price</t>
  </si>
  <si>
    <t>Abigail Gray</t>
  </si>
  <si>
    <t>Colton Jimenez</t>
  </si>
  <si>
    <t>Martha Campbell</t>
  </si>
  <si>
    <t>Matthew Nguyen</t>
  </si>
  <si>
    <t>John Bryant</t>
  </si>
  <si>
    <t>Carolyn Mitchell</t>
  </si>
  <si>
    <t>Gavin Johnson</t>
  </si>
  <si>
    <t>Marilyn Ramos</t>
  </si>
  <si>
    <t>Branch</t>
  </si>
  <si>
    <t>Join Date</t>
  </si>
  <si>
    <t>Unit Sold</t>
  </si>
  <si>
    <t>Gross Rev</t>
  </si>
  <si>
    <t>Bicycle Price</t>
  </si>
  <si>
    <t>Motorcycle Price</t>
  </si>
  <si>
    <t>AA</t>
  </si>
  <si>
    <t>CC</t>
  </si>
  <si>
    <t>DD</t>
  </si>
  <si>
    <t>CountIF: Count dataset whenever you have 1 specific criteria</t>
  </si>
  <si>
    <t>CountIFS: Count dataset whenever you have more than 1 specific criteria</t>
  </si>
  <si>
    <t>SUMIF : Calculate your data when you have 1 specific criteria</t>
  </si>
  <si>
    <t>SUMIFS : Calculate your data when you have more than 1 specific criteria</t>
  </si>
  <si>
    <t>GROUPBY : Summarixze data by category</t>
  </si>
  <si>
    <t>DSUM : Database summarization'</t>
  </si>
  <si>
    <t>Total 'Quantity' by 'Agent '</t>
  </si>
  <si>
    <t>Sum of Quantity</t>
  </si>
  <si>
    <t>Grand Total</t>
  </si>
  <si>
    <t>Sport</t>
  </si>
  <si>
    <t>NA</t>
  </si>
  <si>
    <t>Day</t>
  </si>
  <si>
    <t>Year of Service</t>
  </si>
  <si>
    <t>Y.O.S with Y/M/D</t>
  </si>
  <si>
    <t>EndDate</t>
  </si>
  <si>
    <t>Valid Date</t>
  </si>
  <si>
    <t>PH List</t>
  </si>
  <si>
    <t>Workday</t>
  </si>
  <si>
    <t>WeekNumber</t>
  </si>
  <si>
    <t>Weekday</t>
  </si>
  <si>
    <t>alex97@gmail,com</t>
  </si>
  <si>
    <t>ahmad67@gmail.com</t>
  </si>
  <si>
    <t>Mei Mei</t>
  </si>
  <si>
    <t>meimei@yahoo.com</t>
  </si>
  <si>
    <t>Domain</t>
  </si>
  <si>
    <t>Username</t>
  </si>
  <si>
    <t>alex97</t>
  </si>
  <si>
    <t>gmail,com</t>
  </si>
  <si>
    <t>ahmad67</t>
  </si>
  <si>
    <t>gmail.com</t>
  </si>
  <si>
    <t>meimei</t>
  </si>
  <si>
    <t>yahoo.com</t>
  </si>
  <si>
    <t>TextSplit</t>
  </si>
  <si>
    <t>text before</t>
  </si>
  <si>
    <t>text after</t>
  </si>
  <si>
    <t>Siti Fatimah</t>
  </si>
  <si>
    <t>Abu Bakar</t>
  </si>
  <si>
    <t>Weekly Attendance</t>
  </si>
  <si>
    <t>Progress Bar</t>
  </si>
  <si>
    <t>Kajang,Selangor</t>
  </si>
  <si>
    <t>Bangi,Selangor</t>
  </si>
  <si>
    <t>Segamat,Johor</t>
  </si>
  <si>
    <t>Selangor,Klang</t>
  </si>
  <si>
    <t>Register</t>
  </si>
  <si>
    <t>carolyn@cmail.com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</si>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</sst>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£&quot;#,##0.00;[Red]\-&quot;£&quot;#,##0.00"/>
    <numFmt numFmtId="164" formatCode="_-&quot;RM&quot;* #,##0.00_-;\-&quot;RM&quot;* #,##0.00_-;_-&quot;RM&quot;* &quot;-&quot;??_-;_-@_-"/>
    <numFmt numFmtId="165" formatCode="[$£-809]#,##0.00"/>
    <numFmt numFmtId="166" formatCode="&quot;£&quot;#,##0.00"/>
    <numFmt numFmtId="167" formatCode="_(* #,##0_);_(* \(#,##0\);_(* &quot;-&quot;??_);_(@_)"/>
    <numFmt numFmtId="168" formatCode="&quot;$&quot;#,##0"/>
    <numFmt numFmtId="169" formatCode="[$-14409]dd/mm/yyyy"/>
    <numFmt numFmtId="170" formatCode="&quot;RM&quot;#,##0.00"/>
    <numFmt numFmtId="171" formatCode="_-[$$-409]* #,##0.00_ ;_-[$$-409]* \-#,##0.00\ ;_-[$$-409]* &quot;-&quot;??_ ;_-@_ "/>
    <numFmt numFmtId="172" formatCode="0.0%"/>
    <numFmt numFmtId="173" formatCode="&quot;Total&quot;"/>
    <numFmt numFmtId="174" formatCode="yyyy\-mm\-dd\ hh:mm:ss"/>
    <numFmt numFmtId="175" formatCode="_-[$RM-4409]* #,##0.00_-;\-[$RM-4409]* #,##0.00_-;_-[$RM-4409]* &quot;-&quot;??_-;_-@_-"/>
  </numFmts>
  <fonts count="35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4"/>
      <color rgb="FF0E2841"/>
      <name val="Aptos Narrow"/>
      <family val="2"/>
    </font>
    <font>
      <sz val="11"/>
      <name val="Aptos Narrow"/>
      <family val="2"/>
    </font>
    <font>
      <sz val="11"/>
      <color theme="4"/>
      <name val="Aptos Narrow"/>
      <family val="2"/>
    </font>
    <font>
      <b/>
      <sz val="20"/>
      <color theme="1"/>
      <name val="Aptos Narrow"/>
      <family val="2"/>
    </font>
    <font>
      <b/>
      <sz val="12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u/>
      <sz val="11"/>
      <color theme="1"/>
      <name val="Aptos Narrow"/>
      <family val="2"/>
    </font>
    <font>
      <sz val="11"/>
      <color rgb="FF9C0006"/>
      <name val="Aptos Narrow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FF0000"/>
      <name val="Aptos Narrow"/>
      <family val="2"/>
    </font>
    <font>
      <b/>
      <sz val="10"/>
      <color rgb="FF374151"/>
      <name val="Quattrocento Sans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&quot;Aptos Narrow&quot;"/>
    </font>
    <font>
      <sz val="11"/>
      <color rgb="FF000000"/>
      <name val="&quot;Aptos Narrow&quot;"/>
    </font>
    <font>
      <b/>
      <sz val="22"/>
      <color theme="0"/>
      <name val="Aptos Narrow"/>
      <family val="2"/>
    </font>
    <font>
      <b/>
      <sz val="11"/>
      <color theme="1"/>
      <name val="Arial"/>
      <family val="2"/>
    </font>
    <font>
      <i/>
      <sz val="11"/>
      <color theme="1"/>
      <name val="Aptos Narrow"/>
      <family val="2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2"/>
      <color theme="1"/>
      <name val="Aptos Narrow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i/>
      <sz val="11"/>
      <color rgb="FF000000"/>
      <name val="Calibri"/>
      <family val="2"/>
    </font>
    <font>
      <sz val="11"/>
      <color theme="1"/>
      <name val="Playbill"/>
      <family val="5"/>
    </font>
  </fonts>
  <fills count="23">
    <fill>
      <patternFill patternType="none"/>
    </fill>
    <fill>
      <patternFill patternType="gray125"/>
    </fill>
    <fill>
      <patternFill patternType="solid">
        <fgColor rgb="FFE49EDD"/>
        <bgColor rgb="FFE49EDD"/>
      </patternFill>
    </fill>
    <fill>
      <patternFill patternType="solid">
        <fgColor rgb="FF95DCF7"/>
        <bgColor rgb="FF95DCF7"/>
      </patternFill>
    </fill>
    <fill>
      <patternFill patternType="solid">
        <fgColor rgb="FF45B0E1"/>
        <bgColor rgb="FF45B0E1"/>
      </patternFill>
    </fill>
    <fill>
      <patternFill patternType="solid">
        <fgColor rgb="FF83CAEB"/>
        <bgColor rgb="FF83CAEB"/>
      </patternFill>
    </fill>
    <fill>
      <patternFill patternType="solid">
        <fgColor rgb="FF60CBF3"/>
        <bgColor rgb="FF60CBF3"/>
      </patternFill>
    </fill>
    <fill>
      <patternFill patternType="solid">
        <fgColor rgb="FFFFC7CE"/>
        <bgColor rgb="FFFFC7CE"/>
      </patternFill>
    </fill>
    <fill>
      <patternFill patternType="solid">
        <fgColor rgb="FF71A9E0"/>
        <bgColor rgb="FF71A9E0"/>
      </patternFill>
    </fill>
    <fill>
      <patternFill patternType="solid">
        <fgColor rgb="FFF6C6AC"/>
        <bgColor rgb="FFF6C6AC"/>
      </patternFill>
    </fill>
    <fill>
      <patternFill patternType="solid">
        <fgColor rgb="FFC1E4F5"/>
        <bgColor rgb="FFC1E4F5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83CCEB"/>
        <bgColor rgb="FF83CCEB"/>
      </patternFill>
    </fill>
    <fill>
      <patternFill patternType="solid">
        <fgColor rgb="FF8ED873"/>
        <bgColor rgb="FF8ED873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2A3E68"/>
        <bgColor rgb="FF2A3E68"/>
      </patternFill>
    </fill>
    <fill>
      <patternFill patternType="solid">
        <fgColor rgb="FFD9D9D9"/>
        <bgColor rgb="FFD9D9D9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5">
    <xf numFmtId="0" fontId="0" fillId="0" borderId="0"/>
    <xf numFmtId="164" fontId="28" fillId="0" borderId="0" applyFont="0" applyFill="0" applyBorder="0" applyAlignment="0" applyProtection="0"/>
    <xf numFmtId="0" fontId="5" fillId="0" borderId="10"/>
    <xf numFmtId="9" fontId="31" fillId="0" borderId="0" applyFont="0" applyFill="0" applyBorder="0" applyAlignment="0" applyProtection="0"/>
    <xf numFmtId="0" fontId="32" fillId="0" borderId="0" applyNumberFormat="0" applyFill="0" applyBorder="0" applyAlignment="0" applyProtection="0"/>
  </cellStyleXfs>
  <cellXfs count="185">
    <xf numFmtId="0" fontId="0" fillId="0" borderId="0" xfId="0"/>
    <xf numFmtId="0" fontId="10" fillId="0" borderId="3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165" fontId="12" fillId="0" borderId="3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0" fillId="0" borderId="0" xfId="0" applyFont="1"/>
    <xf numFmtId="166" fontId="12" fillId="0" borderId="0" xfId="0" applyNumberFormat="1" applyFont="1" applyAlignment="1">
      <alignment horizontal="center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65" fontId="12" fillId="0" borderId="0" xfId="0" applyNumberFormat="1" applyFont="1" applyAlignment="1">
      <alignment horizontal="center"/>
    </xf>
    <xf numFmtId="165" fontId="12" fillId="0" borderId="0" xfId="0" applyNumberFormat="1" applyFont="1"/>
    <xf numFmtId="0" fontId="11" fillId="5" borderId="3" xfId="0" applyFont="1" applyFill="1" applyBorder="1" applyAlignment="1">
      <alignment horizontal="center"/>
    </xf>
    <xf numFmtId="0" fontId="12" fillId="0" borderId="3" xfId="0" applyFont="1" applyBorder="1"/>
    <xf numFmtId="167" fontId="12" fillId="0" borderId="3" xfId="0" applyNumberFormat="1" applyFont="1" applyBorder="1"/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/>
    <xf numFmtId="0" fontId="11" fillId="5" borderId="3" xfId="0" applyFont="1" applyFill="1" applyBorder="1" applyAlignment="1">
      <alignment horizontal="center" vertical="center" wrapText="1"/>
    </xf>
    <xf numFmtId="11" fontId="12" fillId="0" borderId="0" xfId="0" applyNumberFormat="1" applyFont="1"/>
    <xf numFmtId="1" fontId="12" fillId="0" borderId="0" xfId="0" applyNumberFormat="1" applyFont="1" applyAlignment="1">
      <alignment horizontal="center"/>
    </xf>
    <xf numFmtId="0" fontId="15" fillId="0" borderId="3" xfId="0" applyFont="1" applyBorder="1" applyAlignment="1">
      <alignment horizontal="center"/>
    </xf>
    <xf numFmtId="0" fontId="11" fillId="10" borderId="3" xfId="0" applyFont="1" applyFill="1" applyBorder="1"/>
    <xf numFmtId="0" fontId="11" fillId="0" borderId="0" xfId="0" applyFont="1"/>
    <xf numFmtId="168" fontId="12" fillId="0" borderId="0" xfId="0" applyNumberFormat="1" applyFont="1"/>
    <xf numFmtId="168" fontId="17" fillId="0" borderId="0" xfId="0" applyNumberFormat="1" applyFont="1"/>
    <xf numFmtId="169" fontId="11" fillId="5" borderId="3" xfId="0" applyNumberFormat="1" applyFont="1" applyFill="1" applyBorder="1" applyAlignment="1">
      <alignment horizontal="center"/>
    </xf>
    <xf numFmtId="169" fontId="12" fillId="0" borderId="3" xfId="0" applyNumberFormat="1" applyFont="1" applyBorder="1"/>
    <xf numFmtId="170" fontId="11" fillId="5" borderId="3" xfId="0" applyNumberFormat="1" applyFont="1" applyFill="1" applyBorder="1" applyAlignment="1">
      <alignment horizontal="center"/>
    </xf>
    <xf numFmtId="170" fontId="16" fillId="0" borderId="3" xfId="0" applyNumberFormat="1" applyFont="1" applyBorder="1"/>
    <xf numFmtId="170" fontId="12" fillId="0" borderId="3" xfId="0" applyNumberFormat="1" applyFont="1" applyBorder="1"/>
    <xf numFmtId="0" fontId="11" fillId="6" borderId="3" xfId="0" applyFont="1" applyFill="1" applyBorder="1"/>
    <xf numFmtId="170" fontId="12" fillId="0" borderId="0" xfId="0" applyNumberFormat="1" applyFont="1"/>
    <xf numFmtId="0" fontId="11" fillId="4" borderId="3" xfId="0" applyFont="1" applyFill="1" applyBorder="1"/>
    <xf numFmtId="0" fontId="11" fillId="4" borderId="3" xfId="0" applyFont="1" applyFill="1" applyBorder="1" applyAlignment="1">
      <alignment horizontal="center" vertical="center"/>
    </xf>
    <xf numFmtId="0" fontId="18" fillId="5" borderId="3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14" fontId="20" fillId="0" borderId="0" xfId="0" applyNumberFormat="1" applyFont="1" applyAlignment="1">
      <alignment horizontal="right"/>
    </xf>
    <xf numFmtId="0" fontId="20" fillId="0" borderId="0" xfId="0" applyFont="1"/>
    <xf numFmtId="0" fontId="20" fillId="0" borderId="0" xfId="0" applyFont="1" applyAlignment="1">
      <alignment horizontal="right"/>
    </xf>
    <xf numFmtId="14" fontId="12" fillId="0" borderId="0" xfId="0" applyNumberFormat="1" applyFont="1"/>
    <xf numFmtId="0" fontId="21" fillId="0" borderId="0" xfId="0" applyFont="1"/>
    <xf numFmtId="0" fontId="22" fillId="0" borderId="0" xfId="0" applyFont="1"/>
    <xf numFmtId="3" fontId="22" fillId="12" borderId="0" xfId="0" applyNumberFormat="1" applyFont="1" applyFill="1"/>
    <xf numFmtId="3" fontId="22" fillId="0" borderId="0" xfId="0" applyNumberFormat="1" applyFont="1"/>
    <xf numFmtId="3" fontId="22" fillId="13" borderId="0" xfId="0" applyNumberFormat="1" applyFont="1" applyFill="1"/>
    <xf numFmtId="0" fontId="12" fillId="14" borderId="3" xfId="0" applyFont="1" applyFill="1" applyBorder="1" applyAlignment="1">
      <alignment horizontal="center"/>
    </xf>
    <xf numFmtId="0" fontId="10" fillId="9" borderId="3" xfId="0" applyFont="1" applyFill="1" applyBorder="1" applyAlignment="1">
      <alignment horizontal="center"/>
    </xf>
    <xf numFmtId="10" fontId="12" fillId="0" borderId="0" xfId="0" applyNumberFormat="1" applyFont="1" applyAlignment="1">
      <alignment horizontal="center"/>
    </xf>
    <xf numFmtId="165" fontId="12" fillId="0" borderId="8" xfId="0" applyNumberFormat="1" applyFont="1" applyBorder="1" applyAlignment="1">
      <alignment horizontal="center"/>
    </xf>
    <xf numFmtId="8" fontId="12" fillId="0" borderId="8" xfId="0" applyNumberFormat="1" applyFont="1" applyBorder="1" applyAlignment="1">
      <alignment horizontal="center"/>
    </xf>
    <xf numFmtId="0" fontId="11" fillId="10" borderId="3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 wrapText="1"/>
    </xf>
    <xf numFmtId="0" fontId="12" fillId="16" borderId="3" xfId="0" applyFont="1" applyFill="1" applyBorder="1" applyAlignment="1">
      <alignment horizontal="center"/>
    </xf>
    <xf numFmtId="0" fontId="12" fillId="16" borderId="3" xfId="0" applyFont="1" applyFill="1" applyBorder="1"/>
    <xf numFmtId="0" fontId="12" fillId="16" borderId="3" xfId="0" applyFont="1" applyFill="1" applyBorder="1" applyAlignment="1">
      <alignment wrapText="1"/>
    </xf>
    <xf numFmtId="167" fontId="12" fillId="16" borderId="3" xfId="0" applyNumberFormat="1" applyFont="1" applyFill="1" applyBorder="1"/>
    <xf numFmtId="167" fontId="12" fillId="16" borderId="3" xfId="0" applyNumberFormat="1" applyFont="1" applyFill="1" applyBorder="1" applyAlignment="1">
      <alignment wrapText="1"/>
    </xf>
    <xf numFmtId="0" fontId="24" fillId="10" borderId="3" xfId="0" applyFont="1" applyFill="1" applyBorder="1" applyAlignment="1">
      <alignment horizontal="center"/>
    </xf>
    <xf numFmtId="0" fontId="11" fillId="10" borderId="3" xfId="0" applyFont="1" applyFill="1" applyBorder="1" applyAlignment="1">
      <alignment horizontal="center"/>
    </xf>
    <xf numFmtId="0" fontId="11" fillId="10" borderId="3" xfId="0" applyFont="1" applyFill="1" applyBorder="1" applyAlignment="1">
      <alignment horizontal="center" wrapText="1"/>
    </xf>
    <xf numFmtId="0" fontId="26" fillId="17" borderId="5" xfId="0" applyFont="1" applyFill="1" applyBorder="1" applyAlignment="1">
      <alignment horizontal="center"/>
    </xf>
    <xf numFmtId="0" fontId="27" fillId="18" borderId="5" xfId="0" applyFont="1" applyFill="1" applyBorder="1" applyAlignment="1">
      <alignment horizontal="center"/>
    </xf>
    <xf numFmtId="0" fontId="27" fillId="18" borderId="5" xfId="0" applyFont="1" applyFill="1" applyBorder="1"/>
    <xf numFmtId="3" fontId="20" fillId="18" borderId="5" xfId="0" applyNumberFormat="1" applyFont="1" applyFill="1" applyBorder="1" applyAlignment="1">
      <alignment horizontal="left"/>
    </xf>
    <xf numFmtId="0" fontId="20" fillId="18" borderId="5" xfId="0" applyFont="1" applyFill="1" applyBorder="1" applyAlignment="1">
      <alignment horizontal="left"/>
    </xf>
    <xf numFmtId="0" fontId="27" fillId="18" borderId="5" xfId="0" applyFont="1" applyFill="1" applyBorder="1" applyAlignment="1">
      <alignment horizontal="left"/>
    </xf>
    <xf numFmtId="3" fontId="27" fillId="18" borderId="5" xfId="0" applyNumberFormat="1" applyFont="1" applyFill="1" applyBorder="1" applyAlignment="1">
      <alignment horizontal="left"/>
    </xf>
    <xf numFmtId="0" fontId="27" fillId="0" borderId="0" xfId="0" applyFont="1" applyAlignment="1">
      <alignment horizontal="center"/>
    </xf>
    <xf numFmtId="0" fontId="27" fillId="0" borderId="0" xfId="0" applyFont="1"/>
    <xf numFmtId="1" fontId="27" fillId="0" borderId="0" xfId="0" applyNumberFormat="1" applyFont="1"/>
    <xf numFmtId="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3" fontId="27" fillId="0" borderId="0" xfId="0" applyNumberFormat="1" applyFont="1" applyAlignment="1">
      <alignment horizontal="left"/>
    </xf>
    <xf numFmtId="0" fontId="27" fillId="18" borderId="0" xfId="0" applyFont="1" applyFill="1" applyAlignment="1">
      <alignment horizontal="center"/>
    </xf>
    <xf numFmtId="0" fontId="27" fillId="18" borderId="0" xfId="0" applyFont="1" applyFill="1"/>
    <xf numFmtId="1" fontId="27" fillId="18" borderId="0" xfId="0" applyNumberFormat="1" applyFont="1" applyFill="1"/>
    <xf numFmtId="1" fontId="20" fillId="18" borderId="0" xfId="0" applyNumberFormat="1" applyFont="1" applyFill="1" applyAlignment="1">
      <alignment horizontal="left"/>
    </xf>
    <xf numFmtId="0" fontId="20" fillId="18" borderId="0" xfId="0" applyFont="1" applyFill="1" applyAlignment="1">
      <alignment horizontal="left"/>
    </xf>
    <xf numFmtId="0" fontId="27" fillId="18" borderId="0" xfId="0" applyFont="1" applyFill="1" applyAlignment="1">
      <alignment horizontal="left"/>
    </xf>
    <xf numFmtId="3" fontId="27" fillId="18" borderId="0" xfId="0" applyNumberFormat="1" applyFont="1" applyFill="1" applyAlignment="1">
      <alignment horizontal="left"/>
    </xf>
    <xf numFmtId="1" fontId="27" fillId="18" borderId="0" xfId="0" applyNumberFormat="1" applyFont="1" applyFill="1" applyAlignment="1">
      <alignment horizontal="left"/>
    </xf>
    <xf numFmtId="1" fontId="27" fillId="0" borderId="0" xfId="0" applyNumberFormat="1" applyFont="1" applyAlignment="1">
      <alignment horizontal="left"/>
    </xf>
    <xf numFmtId="0" fontId="27" fillId="18" borderId="6" xfId="0" applyFont="1" applyFill="1" applyBorder="1" applyAlignment="1">
      <alignment horizontal="center"/>
    </xf>
    <xf numFmtId="0" fontId="27" fillId="18" borderId="6" xfId="0" applyFont="1" applyFill="1" applyBorder="1" applyAlignment="1">
      <alignment horizontal="left"/>
    </xf>
    <xf numFmtId="0" fontId="27" fillId="18" borderId="6" xfId="0" applyFont="1" applyFill="1" applyBorder="1"/>
    <xf numFmtId="1" fontId="27" fillId="18" borderId="6" xfId="0" applyNumberFormat="1" applyFont="1" applyFill="1" applyBorder="1"/>
    <xf numFmtId="1" fontId="20" fillId="18" borderId="6" xfId="0" applyNumberFormat="1" applyFont="1" applyFill="1" applyBorder="1" applyAlignment="1">
      <alignment horizontal="left"/>
    </xf>
    <xf numFmtId="0" fontId="20" fillId="18" borderId="6" xfId="0" applyFont="1" applyFill="1" applyBorder="1" applyAlignment="1">
      <alignment horizontal="left"/>
    </xf>
    <xf numFmtId="3" fontId="27" fillId="18" borderId="6" xfId="0" applyNumberFormat="1" applyFont="1" applyFill="1" applyBorder="1" applyAlignment="1">
      <alignment horizontal="left"/>
    </xf>
    <xf numFmtId="0" fontId="15" fillId="0" borderId="0" xfId="0" applyFont="1" applyAlignment="1">
      <alignment horizontal="center"/>
    </xf>
    <xf numFmtId="0" fontId="0" fillId="19" borderId="0" xfId="0" applyFill="1"/>
    <xf numFmtId="9" fontId="0" fillId="0" borderId="0" xfId="0" applyNumberFormat="1"/>
    <xf numFmtId="0" fontId="12" fillId="3" borderId="10" xfId="0" applyFont="1" applyFill="1" applyBorder="1" applyAlignment="1">
      <alignment horizontal="center"/>
    </xf>
    <xf numFmtId="15" fontId="0" fillId="0" borderId="0" xfId="0" applyNumberFormat="1"/>
    <xf numFmtId="0" fontId="15" fillId="20" borderId="0" xfId="0" applyFont="1" applyFill="1" applyAlignment="1">
      <alignment horizontal="center"/>
    </xf>
    <xf numFmtId="171" fontId="0" fillId="0" borderId="0" xfId="0" applyNumberFormat="1"/>
    <xf numFmtId="14" fontId="27" fillId="18" borderId="5" xfId="0" applyNumberFormat="1" applyFont="1" applyFill="1" applyBorder="1" applyAlignment="1">
      <alignment horizontal="left"/>
    </xf>
    <xf numFmtId="14" fontId="27" fillId="0" borderId="0" xfId="0" applyNumberFormat="1" applyFont="1" applyAlignment="1">
      <alignment horizontal="left"/>
    </xf>
    <xf numFmtId="14" fontId="27" fillId="18" borderId="0" xfId="0" applyNumberFormat="1" applyFont="1" applyFill="1" applyAlignment="1">
      <alignment horizontal="left"/>
    </xf>
    <xf numFmtId="14" fontId="27" fillId="18" borderId="6" xfId="0" applyNumberFormat="1" applyFont="1" applyFill="1" applyBorder="1" applyAlignment="1">
      <alignment horizontal="left"/>
    </xf>
    <xf numFmtId="14" fontId="26" fillId="17" borderId="5" xfId="0" applyNumberFormat="1" applyFont="1" applyFill="1" applyBorder="1" applyAlignment="1">
      <alignment horizontal="center"/>
    </xf>
    <xf numFmtId="0" fontId="0" fillId="0" borderId="13" xfId="0" applyBorder="1"/>
    <xf numFmtId="0" fontId="11" fillId="6" borderId="9" xfId="0" applyFont="1" applyFill="1" applyBorder="1"/>
    <xf numFmtId="0" fontId="12" fillId="0" borderId="12" xfId="0" applyFont="1" applyBorder="1"/>
    <xf numFmtId="0" fontId="12" fillId="14" borderId="11" xfId="0" applyFont="1" applyFill="1" applyBorder="1" applyAlignment="1">
      <alignment horizontal="center"/>
    </xf>
    <xf numFmtId="172" fontId="0" fillId="0" borderId="0" xfId="0" applyNumberFormat="1"/>
    <xf numFmtId="164" fontId="0" fillId="0" borderId="0" xfId="1" applyFont="1"/>
    <xf numFmtId="173" fontId="0" fillId="0" borderId="0" xfId="1" applyNumberFormat="1" applyFont="1" applyAlignment="1">
      <alignment horizontal="center" vertical="center"/>
    </xf>
    <xf numFmtId="0" fontId="11" fillId="5" borderId="11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center"/>
    </xf>
    <xf numFmtId="0" fontId="4" fillId="0" borderId="13" xfId="0" applyFont="1" applyBorder="1"/>
    <xf numFmtId="0" fontId="4" fillId="0" borderId="0" xfId="0" applyFont="1"/>
    <xf numFmtId="0" fontId="8" fillId="2" borderId="10" xfId="0" applyFont="1" applyFill="1" applyBorder="1"/>
    <xf numFmtId="4" fontId="8" fillId="2" borderId="10" xfId="0" applyNumberFormat="1" applyFont="1" applyFill="1" applyBorder="1"/>
    <xf numFmtId="0" fontId="11" fillId="4" borderId="10" xfId="0" applyFont="1" applyFill="1" applyBorder="1"/>
    <xf numFmtId="0" fontId="12" fillId="6" borderId="10" xfId="0" applyFont="1" applyFill="1" applyBorder="1"/>
    <xf numFmtId="0" fontId="11" fillId="5" borderId="10" xfId="0" applyFont="1" applyFill="1" applyBorder="1"/>
    <xf numFmtId="0" fontId="4" fillId="0" borderId="3" xfId="0" applyFont="1" applyBorder="1"/>
    <xf numFmtId="0" fontId="13" fillId="0" borderId="0" xfId="0" applyFont="1" applyAlignment="1">
      <alignment horizontal="left" vertical="center"/>
    </xf>
    <xf numFmtId="167" fontId="4" fillId="0" borderId="0" xfId="0" applyNumberFormat="1" applyFont="1"/>
    <xf numFmtId="0" fontId="14" fillId="7" borderId="10" xfId="0" applyFont="1" applyFill="1" applyBorder="1"/>
    <xf numFmtId="0" fontId="12" fillId="8" borderId="10" xfId="0" applyFont="1" applyFill="1" applyBorder="1" applyAlignment="1">
      <alignment horizontal="center"/>
    </xf>
    <xf numFmtId="0" fontId="12" fillId="11" borderId="10" xfId="0" applyFont="1" applyFill="1" applyBorder="1"/>
    <xf numFmtId="0" fontId="11" fillId="5" borderId="10" xfId="0" applyFont="1" applyFill="1" applyBorder="1" applyAlignment="1">
      <alignment horizontal="left" vertical="center"/>
    </xf>
    <xf numFmtId="0" fontId="11" fillId="0" borderId="9" xfId="0" applyFont="1" applyBorder="1" applyAlignment="1">
      <alignment horizontal="center"/>
    </xf>
    <xf numFmtId="0" fontId="12" fillId="16" borderId="10" xfId="0" applyFont="1" applyFill="1" applyBorder="1"/>
    <xf numFmtId="0" fontId="12" fillId="16" borderId="10" xfId="0" applyFont="1" applyFill="1" applyBorder="1" applyAlignment="1">
      <alignment wrapText="1"/>
    </xf>
    <xf numFmtId="0" fontId="11" fillId="16" borderId="10" xfId="0" applyFont="1" applyFill="1" applyBorder="1"/>
    <xf numFmtId="0" fontId="25" fillId="16" borderId="10" xfId="0" applyFont="1" applyFill="1" applyBorder="1"/>
    <xf numFmtId="14" fontId="4" fillId="0" borderId="0" xfId="0" applyNumberFormat="1" applyFont="1"/>
    <xf numFmtId="0" fontId="29" fillId="0" borderId="13" xfId="0" applyFont="1" applyBorder="1" applyAlignment="1">
      <alignment horizontal="center" vertical="top"/>
    </xf>
    <xf numFmtId="174" fontId="0" fillId="0" borderId="13" xfId="0" applyNumberFormat="1" applyBorder="1"/>
    <xf numFmtId="0" fontId="15" fillId="0" borderId="0" xfId="0" applyFont="1" applyAlignment="1">
      <alignment horizontal="center" vertical="center"/>
    </xf>
    <xf numFmtId="175" fontId="4" fillId="0" borderId="0" xfId="0" applyNumberFormat="1" applyFont="1"/>
    <xf numFmtId="0" fontId="3" fillId="0" borderId="0" xfId="0" applyFont="1"/>
    <xf numFmtId="0" fontId="30" fillId="0" borderId="10" xfId="0" applyFont="1" applyBorder="1" applyAlignment="1">
      <alignment horizontal="center"/>
    </xf>
    <xf numFmtId="166" fontId="12" fillId="0" borderId="3" xfId="0" applyNumberFormat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0" xfId="0" applyFont="1"/>
    <xf numFmtId="0" fontId="2" fillId="0" borderId="13" xfId="0" applyFont="1" applyBorder="1"/>
    <xf numFmtId="0" fontId="2" fillId="21" borderId="13" xfId="0" applyFont="1" applyFill="1" applyBorder="1"/>
    <xf numFmtId="0" fontId="33" fillId="0" borderId="0" xfId="0" applyFont="1" applyAlignment="1">
      <alignment horizontal="left" vertical="center"/>
    </xf>
    <xf numFmtId="0" fontId="0" fillId="0" borderId="0" xfId="0" pivotButton="1"/>
    <xf numFmtId="14" fontId="0" fillId="0" borderId="0" xfId="0" applyNumberFormat="1"/>
    <xf numFmtId="1" fontId="0" fillId="0" borderId="0" xfId="0" applyNumberFormat="1"/>
    <xf numFmtId="0" fontId="2" fillId="0" borderId="10" xfId="0" applyFont="1" applyBorder="1"/>
    <xf numFmtId="0" fontId="2" fillId="0" borderId="0" xfId="4" applyFont="1" applyAlignment="1">
      <alignment horizontal="center" vertical="center"/>
    </xf>
    <xf numFmtId="0" fontId="2" fillId="0" borderId="10" xfId="4" applyFont="1" applyFill="1" applyBorder="1" applyAlignment="1">
      <alignment horizontal="center" vertical="center"/>
    </xf>
    <xf numFmtId="14" fontId="2" fillId="0" borderId="0" xfId="0" applyNumberFormat="1" applyFont="1"/>
    <xf numFmtId="0" fontId="12" fillId="0" borderId="9" xfId="0" applyFont="1" applyBorder="1"/>
    <xf numFmtId="14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9" fontId="0" fillId="0" borderId="0" xfId="3" applyFont="1" applyAlignment="1">
      <alignment horizontal="center" vertical="center"/>
    </xf>
    <xf numFmtId="0" fontId="34" fillId="0" borderId="0" xfId="0" applyFont="1"/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0" fontId="9" fillId="0" borderId="2" xfId="0" applyFont="1" applyBorder="1" applyAlignment="1">
      <alignment horizontal="center"/>
    </xf>
    <xf numFmtId="0" fontId="7" fillId="0" borderId="2" xfId="0" applyFont="1" applyBorder="1"/>
    <xf numFmtId="0" fontId="10" fillId="0" borderId="2" xfId="0" applyFont="1" applyBorder="1" applyAlignment="1">
      <alignment horizontal="center" vertical="center"/>
    </xf>
    <xf numFmtId="0" fontId="22" fillId="0" borderId="0" xfId="0" applyFont="1"/>
    <xf numFmtId="0" fontId="0" fillId="0" borderId="0" xfId="0"/>
    <xf numFmtId="0" fontId="11" fillId="4" borderId="9" xfId="0" applyFont="1" applyFill="1" applyBorder="1" applyAlignment="1">
      <alignment horizontal="center"/>
    </xf>
    <xf numFmtId="0" fontId="7" fillId="0" borderId="7" xfId="0" applyFont="1" applyBorder="1"/>
    <xf numFmtId="0" fontId="2" fillId="0" borderId="14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0" fillId="9" borderId="9" xfId="0" applyFont="1" applyFill="1" applyBorder="1" applyAlignment="1">
      <alignment horizontal="center"/>
    </xf>
    <xf numFmtId="0" fontId="7" fillId="0" borderId="8" xfId="0" applyFont="1" applyBorder="1"/>
    <xf numFmtId="0" fontId="23" fillId="15" borderId="10" xfId="0" applyFont="1" applyFill="1" applyBorder="1" applyAlignment="1">
      <alignment horizontal="center" vertical="center"/>
    </xf>
    <xf numFmtId="0" fontId="7" fillId="0" borderId="10" xfId="0" applyFont="1" applyBorder="1"/>
    <xf numFmtId="0" fontId="11" fillId="0" borderId="11" xfId="0" applyFont="1" applyBorder="1" applyAlignment="1">
      <alignment horizontal="center" vertical="center"/>
    </xf>
    <xf numFmtId="0" fontId="7" fillId="0" borderId="12" xfId="0" applyFont="1" applyBorder="1"/>
    <xf numFmtId="0" fontId="1" fillId="0" borderId="0" xfId="0" applyFont="1"/>
    <xf numFmtId="0" fontId="12" fillId="0" borderId="15" xfId="0" applyFont="1" applyFill="1" applyBorder="1"/>
    <xf numFmtId="0" fontId="32" fillId="0" borderId="15" xfId="4" applyFill="1" applyBorder="1"/>
    <xf numFmtId="169" fontId="12" fillId="0" borderId="15" xfId="0" applyNumberFormat="1" applyFont="1" applyFill="1" applyBorder="1"/>
    <xf numFmtId="0" fontId="11" fillId="5" borderId="16" xfId="0" applyFont="1" applyFill="1" applyBorder="1" applyAlignment="1">
      <alignment horizontal="center"/>
    </xf>
    <xf numFmtId="0" fontId="1" fillId="0" borderId="10" xfId="0" applyFont="1" applyFill="1" applyBorder="1"/>
    <xf numFmtId="0" fontId="0" fillId="22" borderId="0" xfId="0" applyFill="1"/>
  </cellXfs>
  <cellStyles count="5">
    <cellStyle name="Currency" xfId="1" builtinId="4"/>
    <cellStyle name="Hyperlink" xfId="4" builtinId="8"/>
    <cellStyle name="Normal" xfId="0" builtinId="0"/>
    <cellStyle name="Normal 2" xfId="2" xr:uid="{8C1EBA0E-32CF-45AD-A87C-DCD6BED5FF58}"/>
    <cellStyle name="Percent" xfId="3" builtinId="5"/>
  </cellStyles>
  <dxfs count="3">
    <dxf>
      <fill>
        <patternFill>
          <bgColor rgb="FFFFC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32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customschemas.google.com/relationships/workbookmetadata" Target="metadata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72512836689273E-2"/>
          <c:y val="0.17143816942586559"/>
          <c:w val="0.87745474300334714"/>
          <c:h val="0.721704092703551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VLookUp!$H$55</c:f>
              <c:strCache>
                <c:ptCount val="1"/>
                <c:pt idx="0">
                  <c:v>Product 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VLookUp!$G$56:$G$58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</c:strCache>
            </c:strRef>
          </c:cat>
          <c:val>
            <c:numRef>
              <c:f>VLookUp!$H$56:$H$58</c:f>
              <c:numCache>
                <c:formatCode>General</c:formatCode>
                <c:ptCount val="3"/>
                <c:pt idx="0">
                  <c:v>5000</c:v>
                </c:pt>
                <c:pt idx="1">
                  <c:v>4500</c:v>
                </c:pt>
                <c:pt idx="2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5D-41C8-9D76-61CE20EDA2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3109024"/>
        <c:axId val="833109504"/>
      </c:barChart>
      <c:catAx>
        <c:axId val="83310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109504"/>
        <c:crosses val="autoZero"/>
        <c:auto val="1"/>
        <c:lblAlgn val="ctr"/>
        <c:lblOffset val="100"/>
        <c:noMultiLvlLbl val="0"/>
      </c:catAx>
      <c:valAx>
        <c:axId val="8331095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3310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'VlookUp Dashboard'!$N$15</c:f>
              <c:strCache>
                <c:ptCount val="1"/>
                <c:pt idx="0">
                  <c:v>South America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'VlookUp Dashboard'!$O$14</c:f>
              <c:strCache>
                <c:ptCount val="1"/>
                <c:pt idx="0">
                  <c:v>Quantity</c:v>
                </c:pt>
              </c:strCache>
            </c:strRef>
          </c:cat>
          <c:val>
            <c:numRef>
              <c:f>'VlookUp Dashboard'!$O$15</c:f>
              <c:numCache>
                <c:formatCode>General</c:formatCode>
                <c:ptCount val="1"/>
                <c:pt idx="0">
                  <c:v>14562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28-4515-A23F-81E7CDDE4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4746319"/>
        <c:axId val="534738159"/>
      </c:barChart>
      <c:catAx>
        <c:axId val="53474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738159"/>
        <c:crosses val="autoZero"/>
        <c:auto val="1"/>
        <c:lblAlgn val="ctr"/>
        <c:lblOffset val="100"/>
        <c:noMultiLvlLbl val="0"/>
      </c:catAx>
      <c:valAx>
        <c:axId val="53473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746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'VlookUp Dashboard'!$O$17</c:f>
              <c:strCache>
                <c:ptCount val="1"/>
                <c:pt idx="0">
                  <c:v>Revenues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'VlookUp Dashboard'!$N$18</c:f>
              <c:strCache>
                <c:ptCount val="1"/>
                <c:pt idx="0">
                  <c:v>South America</c:v>
                </c:pt>
              </c:strCache>
            </c:strRef>
          </c:cat>
          <c:val>
            <c:numRef>
              <c:f>'VlookUp Dashboard'!$O$18</c:f>
              <c:numCache>
                <c:formatCode>General</c:formatCode>
                <c:ptCount val="1"/>
                <c:pt idx="0">
                  <c:v>8263598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68-49B2-AEE6-7D8B5DAC3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7932463"/>
        <c:axId val="957931023"/>
      </c:barChart>
      <c:catAx>
        <c:axId val="957932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931023"/>
        <c:crosses val="autoZero"/>
        <c:auto val="1"/>
        <c:lblAlgn val="ctr"/>
        <c:lblOffset val="100"/>
        <c:noMultiLvlLbl val="0"/>
      </c:catAx>
      <c:valAx>
        <c:axId val="957931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932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615114034556739E-2"/>
          <c:y val="0"/>
          <c:w val="0.92812476880342742"/>
          <c:h val="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0FE-4A72-959E-2A18AC4114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FE-4A72-959E-2A18AC411455}"/>
              </c:ext>
            </c:extLst>
          </c:dPt>
          <c:val>
            <c:numRef>
              <c:f>(Progress!$K$9,Progress!$L$9)</c:f>
              <c:numCache>
                <c:formatCode>0%</c:formatCode>
                <c:ptCount val="2"/>
                <c:pt idx="0">
                  <c:v>0.65</c:v>
                </c:pt>
                <c:pt idx="1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5-47DD-BF90-E5B474F64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 Excel Training 2025.xlsx]Sheet1!PivotTable1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'Quantity' by 'Agent 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Sheet1!$C$5:$C$12</c:f>
              <c:strCache>
                <c:ptCount val="7"/>
                <c:pt idx="0">
                  <c:v>SA5</c:v>
                </c:pt>
                <c:pt idx="1">
                  <c:v>SA6</c:v>
                </c:pt>
                <c:pt idx="2">
                  <c:v>SA7</c:v>
                </c:pt>
                <c:pt idx="3">
                  <c:v>SA3</c:v>
                </c:pt>
                <c:pt idx="4">
                  <c:v>SA1</c:v>
                </c:pt>
                <c:pt idx="5">
                  <c:v>SA2</c:v>
                </c:pt>
                <c:pt idx="6">
                  <c:v>SA4</c:v>
                </c:pt>
              </c:strCache>
            </c:strRef>
          </c:cat>
          <c:val>
            <c:numRef>
              <c:f>Sheet1!$D$5:$D$12</c:f>
              <c:numCache>
                <c:formatCode>General</c:formatCode>
                <c:ptCount val="7"/>
                <c:pt idx="0">
                  <c:v>445</c:v>
                </c:pt>
                <c:pt idx="1">
                  <c:v>395</c:v>
                </c:pt>
                <c:pt idx="2">
                  <c:v>335</c:v>
                </c:pt>
                <c:pt idx="3">
                  <c:v>334</c:v>
                </c:pt>
                <c:pt idx="4">
                  <c:v>333</c:v>
                </c:pt>
                <c:pt idx="5">
                  <c:v>316</c:v>
                </c:pt>
                <c:pt idx="6">
                  <c:v>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43-42CA-9A31-0F79E9457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595101792"/>
        <c:axId val="595102272"/>
      </c:barChart>
      <c:catAx>
        <c:axId val="595101792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102272"/>
        <c:crosses val="autoZero"/>
        <c:auto val="1"/>
        <c:lblAlgn val="ctr"/>
        <c:lblOffset val="100"/>
        <c:noMultiLvlLbl val="0"/>
      </c:catAx>
      <c:valAx>
        <c:axId val="59510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101792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Conditional Formatting'!A1"/><Relationship Id="rId13" Type="http://schemas.openxmlformats.org/officeDocument/2006/relationships/hyperlink" Target="#'Financial Fx'!A1"/><Relationship Id="rId3" Type="http://schemas.openxmlformats.org/officeDocument/2006/relationships/hyperlink" Target="#'Mathematical Funtion'!A1"/><Relationship Id="rId7" Type="http://schemas.openxmlformats.org/officeDocument/2006/relationships/hyperlink" Target="#XLookUp!A1"/><Relationship Id="rId12" Type="http://schemas.openxmlformats.org/officeDocument/2006/relationships/hyperlink" Target="#Progress!A1"/><Relationship Id="rId17" Type="http://schemas.openxmlformats.org/officeDocument/2006/relationships/hyperlink" Target="#'Table Function'!A1"/><Relationship Id="rId2" Type="http://schemas.openxmlformats.org/officeDocument/2006/relationships/hyperlink" Target="#Reference!A1"/><Relationship Id="rId16" Type="http://schemas.openxmlformats.org/officeDocument/2006/relationships/hyperlink" Target="#Exercise!A1"/><Relationship Id="rId1" Type="http://schemas.openxmlformats.org/officeDocument/2006/relationships/hyperlink" Target="https://www.linkedin.com/in/fakhrul-syahmi-799730136/" TargetMode="External"/><Relationship Id="rId6" Type="http://schemas.openxmlformats.org/officeDocument/2006/relationships/hyperlink" Target="#VLookUp!A1"/><Relationship Id="rId11" Type="http://schemas.openxmlformats.org/officeDocument/2006/relationships/hyperlink" Target="#'Data Validation'!A1"/><Relationship Id="rId5" Type="http://schemas.openxmlformats.org/officeDocument/2006/relationships/hyperlink" Target="#Match!A1"/><Relationship Id="rId15" Type="http://schemas.openxmlformats.org/officeDocument/2006/relationships/hyperlink" Target="#'Holiday List'!A1"/><Relationship Id="rId10" Type="http://schemas.openxmlformats.org/officeDocument/2006/relationships/hyperlink" Target="#'FV Data Table'!A1"/><Relationship Id="rId4" Type="http://schemas.openxmlformats.org/officeDocument/2006/relationships/hyperlink" Target="#'Logical Funtion'!A1"/><Relationship Id="rId9" Type="http://schemas.openxmlformats.org/officeDocument/2006/relationships/hyperlink" Target="#'Goal Seek'!A1"/><Relationship Id="rId14" Type="http://schemas.openxmlformats.org/officeDocument/2006/relationships/hyperlink" Target="#'Pivot Table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Main Page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Main Page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Main Page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Main Page'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hyperlink" Target="#'Main Page'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'Main Page'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Main Page'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'Main Page'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'Main Page'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'Main Page'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'Main Page'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hyperlink" Target="#'Main Page'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'Main Page'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'Main Page'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hyperlink" Target="#'Main Page'!A1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'Main Page'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</xdr:colOff>
      <xdr:row>0</xdr:row>
      <xdr:rowOff>129540</xdr:rowOff>
    </xdr:from>
    <xdr:to>
      <xdr:col>17</xdr:col>
      <xdr:colOff>388620</xdr:colOff>
      <xdr:row>5</xdr:row>
      <xdr:rowOff>167640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C24BD87-3F6A-15D4-65F0-BB1BF364098C}"/>
            </a:ext>
          </a:extLst>
        </xdr:cNvPr>
        <xdr:cNvSpPr/>
      </xdr:nvSpPr>
      <xdr:spPr>
        <a:xfrm>
          <a:off x="1272540" y="129540"/>
          <a:ext cx="9479280" cy="952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4000" b="1" kern="1200"/>
            <a:t>MICROSOFT</a:t>
          </a:r>
          <a:r>
            <a:rPr lang="en-MY" sz="4000" b="1" kern="1200" baseline="0"/>
            <a:t> EXCEL TRAINING</a:t>
          </a:r>
          <a:endParaRPr lang="en-MY" sz="4000" b="1" kern="1200"/>
        </a:p>
      </xdr:txBody>
    </xdr:sp>
    <xdr:clientData/>
  </xdr:twoCellAnchor>
  <xdr:twoCellAnchor>
    <xdr:from>
      <xdr:col>15</xdr:col>
      <xdr:colOff>144780</xdr:colOff>
      <xdr:row>6</xdr:row>
      <xdr:rowOff>76200</xdr:rowOff>
    </xdr:from>
    <xdr:to>
      <xdr:col>17</xdr:col>
      <xdr:colOff>419100</xdr:colOff>
      <xdr:row>7</xdr:row>
      <xdr:rowOff>175260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29E4E8-A290-8CBB-F24F-1F7977935E9D}"/>
            </a:ext>
          </a:extLst>
        </xdr:cNvPr>
        <xdr:cNvSpPr/>
      </xdr:nvSpPr>
      <xdr:spPr>
        <a:xfrm>
          <a:off x="9288780" y="1173480"/>
          <a:ext cx="1493520" cy="2819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100" kern="1200"/>
            <a:t>By:</a:t>
          </a:r>
          <a:r>
            <a:rPr lang="en-MY" sz="1100" kern="1200" baseline="0"/>
            <a:t> Fakhrul Syahmi</a:t>
          </a:r>
          <a:endParaRPr lang="en-MY" sz="1100" kern="1200"/>
        </a:p>
      </xdr:txBody>
    </xdr:sp>
    <xdr:clientData/>
  </xdr:twoCellAnchor>
  <xdr:twoCellAnchor>
    <xdr:from>
      <xdr:col>1</xdr:col>
      <xdr:colOff>563880</xdr:colOff>
      <xdr:row>8</xdr:row>
      <xdr:rowOff>30480</xdr:rowOff>
    </xdr:from>
    <xdr:to>
      <xdr:col>4</xdr:col>
      <xdr:colOff>449580</xdr:colOff>
      <xdr:row>11</xdr:row>
      <xdr:rowOff>129540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63044F3-C623-FC4F-CA80-000A06D6620D}"/>
            </a:ext>
          </a:extLst>
        </xdr:cNvPr>
        <xdr:cNvSpPr/>
      </xdr:nvSpPr>
      <xdr:spPr>
        <a:xfrm>
          <a:off x="1173480" y="1493520"/>
          <a:ext cx="1714500" cy="6477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2400" b="1" kern="1200"/>
            <a:t>Reference</a:t>
          </a:r>
        </a:p>
      </xdr:txBody>
    </xdr:sp>
    <xdr:clientData/>
  </xdr:twoCellAnchor>
  <xdr:twoCellAnchor>
    <xdr:from>
      <xdr:col>1</xdr:col>
      <xdr:colOff>571500</xdr:colOff>
      <xdr:row>12</xdr:row>
      <xdr:rowOff>114300</xdr:rowOff>
    </xdr:from>
    <xdr:to>
      <xdr:col>4</xdr:col>
      <xdr:colOff>457200</xdr:colOff>
      <xdr:row>16</xdr:row>
      <xdr:rowOff>30480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DAC264D-C5A3-ADDB-5A9F-F8777B9231B2}"/>
            </a:ext>
          </a:extLst>
        </xdr:cNvPr>
        <xdr:cNvSpPr/>
      </xdr:nvSpPr>
      <xdr:spPr>
        <a:xfrm>
          <a:off x="1181100" y="2308860"/>
          <a:ext cx="1714500" cy="6477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800" b="1" kern="1200"/>
            <a:t>Math</a:t>
          </a:r>
          <a:r>
            <a:rPr lang="en-MY" sz="1800" b="1" kern="1200" baseline="0"/>
            <a:t> Function</a:t>
          </a:r>
          <a:endParaRPr lang="en-MY" sz="1800" b="1" kern="1200"/>
        </a:p>
      </xdr:txBody>
    </xdr:sp>
    <xdr:clientData/>
  </xdr:twoCellAnchor>
  <xdr:twoCellAnchor>
    <xdr:from>
      <xdr:col>5</xdr:col>
      <xdr:colOff>15240</xdr:colOff>
      <xdr:row>8</xdr:row>
      <xdr:rowOff>22860</xdr:rowOff>
    </xdr:from>
    <xdr:to>
      <xdr:col>7</xdr:col>
      <xdr:colOff>510540</xdr:colOff>
      <xdr:row>11</xdr:row>
      <xdr:rowOff>121920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C4D2015-A7E3-97EE-241E-653C06D71AD0}"/>
            </a:ext>
          </a:extLst>
        </xdr:cNvPr>
        <xdr:cNvSpPr/>
      </xdr:nvSpPr>
      <xdr:spPr>
        <a:xfrm>
          <a:off x="3063240" y="1485900"/>
          <a:ext cx="1714500" cy="6477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600" b="1" kern="1200"/>
            <a:t>Logical Function</a:t>
          </a:r>
        </a:p>
      </xdr:txBody>
    </xdr:sp>
    <xdr:clientData/>
  </xdr:twoCellAnchor>
  <xdr:twoCellAnchor>
    <xdr:from>
      <xdr:col>8</xdr:col>
      <xdr:colOff>68580</xdr:colOff>
      <xdr:row>8</xdr:row>
      <xdr:rowOff>15240</xdr:rowOff>
    </xdr:from>
    <xdr:to>
      <xdr:col>10</xdr:col>
      <xdr:colOff>563880</xdr:colOff>
      <xdr:row>11</xdr:row>
      <xdr:rowOff>114300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27824A7-40E2-C822-E3D5-579A6E561262}"/>
            </a:ext>
          </a:extLst>
        </xdr:cNvPr>
        <xdr:cNvSpPr/>
      </xdr:nvSpPr>
      <xdr:spPr>
        <a:xfrm>
          <a:off x="4945380" y="1478280"/>
          <a:ext cx="1714500" cy="6477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2400" b="1" kern="1200"/>
            <a:t>Match</a:t>
          </a:r>
        </a:p>
      </xdr:txBody>
    </xdr:sp>
    <xdr:clientData/>
  </xdr:twoCellAnchor>
  <xdr:twoCellAnchor>
    <xdr:from>
      <xdr:col>11</xdr:col>
      <xdr:colOff>114300</xdr:colOff>
      <xdr:row>8</xdr:row>
      <xdr:rowOff>15240</xdr:rowOff>
    </xdr:from>
    <xdr:to>
      <xdr:col>14</xdr:col>
      <xdr:colOff>0</xdr:colOff>
      <xdr:row>11</xdr:row>
      <xdr:rowOff>114300</xdr:rowOff>
    </xdr:to>
    <xdr:sp macro="" textlink="">
      <xdr:nvSpPr>
        <xdr:cNvPr id="10" name="Rectangle: Rounded Corners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2088382-E407-7976-7526-149F9F0540CF}"/>
            </a:ext>
          </a:extLst>
        </xdr:cNvPr>
        <xdr:cNvSpPr/>
      </xdr:nvSpPr>
      <xdr:spPr>
        <a:xfrm>
          <a:off x="6819900" y="1478280"/>
          <a:ext cx="1714500" cy="6477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2400" b="1" kern="1200"/>
            <a:t>VlookUp</a:t>
          </a:r>
        </a:p>
      </xdr:txBody>
    </xdr:sp>
    <xdr:clientData/>
  </xdr:twoCellAnchor>
  <xdr:twoCellAnchor>
    <xdr:from>
      <xdr:col>4</xdr:col>
      <xdr:colOff>607359</xdr:colOff>
      <xdr:row>12</xdr:row>
      <xdr:rowOff>97268</xdr:rowOff>
    </xdr:from>
    <xdr:to>
      <xdr:col>7</xdr:col>
      <xdr:colOff>493059</xdr:colOff>
      <xdr:row>16</xdr:row>
      <xdr:rowOff>13447</xdr:rowOff>
    </xdr:to>
    <xdr:sp macro="" textlink="">
      <xdr:nvSpPr>
        <xdr:cNvPr id="12" name="Rectangle: Rounded Corners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092EFCC-51F3-9834-E1FD-FD772E6180E3}"/>
            </a:ext>
          </a:extLst>
        </xdr:cNvPr>
        <xdr:cNvSpPr/>
      </xdr:nvSpPr>
      <xdr:spPr>
        <a:xfrm>
          <a:off x="3045759" y="2248797"/>
          <a:ext cx="1714500" cy="63335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2400" b="1" kern="1200"/>
            <a:t>XlookUp</a:t>
          </a:r>
        </a:p>
      </xdr:txBody>
    </xdr:sp>
    <xdr:clientData/>
  </xdr:twoCellAnchor>
  <xdr:twoCellAnchor>
    <xdr:from>
      <xdr:col>0</xdr:col>
      <xdr:colOff>0</xdr:colOff>
      <xdr:row>21</xdr:row>
      <xdr:rowOff>91440</xdr:rowOff>
    </xdr:from>
    <xdr:to>
      <xdr:col>0</xdr:col>
      <xdr:colOff>0</xdr:colOff>
      <xdr:row>25</xdr:row>
      <xdr:rowOff>7620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FDDED529-3EC6-05E1-C105-9690496220CA}"/>
            </a:ext>
          </a:extLst>
        </xdr:cNvPr>
        <xdr:cNvSpPr/>
      </xdr:nvSpPr>
      <xdr:spPr>
        <a:xfrm>
          <a:off x="0" y="3931920"/>
          <a:ext cx="0" cy="6477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2400" b="1" kern="1200"/>
            <a:t>XlookUp</a:t>
          </a:r>
        </a:p>
      </xdr:txBody>
    </xdr:sp>
    <xdr:clientData/>
  </xdr:twoCellAnchor>
  <xdr:twoCellAnchor>
    <xdr:from>
      <xdr:col>5</xdr:col>
      <xdr:colOff>38100</xdr:colOff>
      <xdr:row>16</xdr:row>
      <xdr:rowOff>121920</xdr:rowOff>
    </xdr:from>
    <xdr:to>
      <xdr:col>7</xdr:col>
      <xdr:colOff>533400</xdr:colOff>
      <xdr:row>20</xdr:row>
      <xdr:rowOff>38100</xdr:rowOff>
    </xdr:to>
    <xdr:sp macro="" textlink="">
      <xdr:nvSpPr>
        <xdr:cNvPr id="14" name="Rectangle: Rounded Corners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31D077A-4FB1-A464-C8D9-04C2EED24C8B}"/>
            </a:ext>
          </a:extLst>
        </xdr:cNvPr>
        <xdr:cNvSpPr/>
      </xdr:nvSpPr>
      <xdr:spPr>
        <a:xfrm>
          <a:off x="3086100" y="3048000"/>
          <a:ext cx="1714500" cy="6477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400" b="1" kern="1200"/>
            <a:t>Conditional Formatting</a:t>
          </a:r>
        </a:p>
      </xdr:txBody>
    </xdr:sp>
    <xdr:clientData/>
  </xdr:twoCellAnchor>
  <xdr:twoCellAnchor>
    <xdr:from>
      <xdr:col>11</xdr:col>
      <xdr:colOff>123265</xdr:colOff>
      <xdr:row>12</xdr:row>
      <xdr:rowOff>119679</xdr:rowOff>
    </xdr:from>
    <xdr:to>
      <xdr:col>14</xdr:col>
      <xdr:colOff>8965</xdr:colOff>
      <xdr:row>16</xdr:row>
      <xdr:rowOff>35858</xdr:rowOff>
    </xdr:to>
    <xdr:sp macro="" textlink="">
      <xdr:nvSpPr>
        <xdr:cNvPr id="16" name="Rectangle: Rounded Corners 1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2131A12-DCE4-4CD6-A285-B4E7077D3FA1}"/>
            </a:ext>
          </a:extLst>
        </xdr:cNvPr>
        <xdr:cNvSpPr/>
      </xdr:nvSpPr>
      <xdr:spPr>
        <a:xfrm>
          <a:off x="6828865" y="2271208"/>
          <a:ext cx="1714500" cy="63335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800" b="1" kern="1200"/>
            <a:t>Goal Seek</a:t>
          </a:r>
        </a:p>
      </xdr:txBody>
    </xdr:sp>
    <xdr:clientData/>
  </xdr:twoCellAnchor>
  <xdr:twoCellAnchor>
    <xdr:from>
      <xdr:col>1</xdr:col>
      <xdr:colOff>598394</xdr:colOff>
      <xdr:row>16</xdr:row>
      <xdr:rowOff>139401</xdr:rowOff>
    </xdr:from>
    <xdr:to>
      <xdr:col>4</xdr:col>
      <xdr:colOff>484094</xdr:colOff>
      <xdr:row>20</xdr:row>
      <xdr:rowOff>59168</xdr:rowOff>
    </xdr:to>
    <xdr:sp macro="" textlink="">
      <xdr:nvSpPr>
        <xdr:cNvPr id="17" name="Rectangle: Rounded Corners 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6D4E908-A451-64DB-8BB5-ED467348E519}"/>
            </a:ext>
          </a:extLst>
        </xdr:cNvPr>
        <xdr:cNvSpPr/>
      </xdr:nvSpPr>
      <xdr:spPr>
        <a:xfrm>
          <a:off x="1207994" y="3008107"/>
          <a:ext cx="1714500" cy="63694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800" b="1" kern="1200"/>
            <a:t>FV Data Table</a:t>
          </a:r>
        </a:p>
      </xdr:txBody>
    </xdr:sp>
    <xdr:clientData/>
  </xdr:twoCellAnchor>
  <xdr:twoCellAnchor>
    <xdr:from>
      <xdr:col>8</xdr:col>
      <xdr:colOff>75303</xdr:colOff>
      <xdr:row>16</xdr:row>
      <xdr:rowOff>106232</xdr:rowOff>
    </xdr:from>
    <xdr:to>
      <xdr:col>10</xdr:col>
      <xdr:colOff>570603</xdr:colOff>
      <xdr:row>20</xdr:row>
      <xdr:rowOff>22413</xdr:rowOff>
    </xdr:to>
    <xdr:sp macro="" textlink="">
      <xdr:nvSpPr>
        <xdr:cNvPr id="18" name="Rectangle: Rounded Corners 1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632A387-BF1B-C1C5-FCC7-FAFBBE26186F}"/>
            </a:ext>
          </a:extLst>
        </xdr:cNvPr>
        <xdr:cNvSpPr/>
      </xdr:nvSpPr>
      <xdr:spPr>
        <a:xfrm>
          <a:off x="4952103" y="2974938"/>
          <a:ext cx="1714500" cy="63335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800" b="1" kern="1200"/>
            <a:t>Data</a:t>
          </a:r>
          <a:r>
            <a:rPr lang="en-MY" sz="1800" b="1" kern="1200" baseline="0"/>
            <a:t> Validation</a:t>
          </a:r>
          <a:endParaRPr lang="en-MY" sz="1800" b="1" kern="1200"/>
        </a:p>
      </xdr:txBody>
    </xdr:sp>
    <xdr:clientData/>
  </xdr:twoCellAnchor>
  <xdr:twoCellAnchor>
    <xdr:from>
      <xdr:col>8</xdr:col>
      <xdr:colOff>76200</xdr:colOff>
      <xdr:row>20</xdr:row>
      <xdr:rowOff>159125</xdr:rowOff>
    </xdr:from>
    <xdr:to>
      <xdr:col>10</xdr:col>
      <xdr:colOff>571500</xdr:colOff>
      <xdr:row>24</xdr:row>
      <xdr:rowOff>75305</xdr:rowOff>
    </xdr:to>
    <xdr:sp macro="" textlink="">
      <xdr:nvSpPr>
        <xdr:cNvPr id="20" name="Rectangle: Rounded Corners 1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86DD3D4-6274-4E26-595E-BAB0B1A62B77}"/>
            </a:ext>
          </a:extLst>
        </xdr:cNvPr>
        <xdr:cNvSpPr/>
      </xdr:nvSpPr>
      <xdr:spPr>
        <a:xfrm>
          <a:off x="4953000" y="3745007"/>
          <a:ext cx="1714500" cy="63335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800" b="1" kern="1200"/>
            <a:t>Progress</a:t>
          </a:r>
        </a:p>
      </xdr:txBody>
    </xdr:sp>
    <xdr:clientData/>
  </xdr:twoCellAnchor>
  <xdr:twoCellAnchor>
    <xdr:from>
      <xdr:col>11</xdr:col>
      <xdr:colOff>105003</xdr:colOff>
      <xdr:row>16</xdr:row>
      <xdr:rowOff>126363</xdr:rowOff>
    </xdr:from>
    <xdr:to>
      <xdr:col>13</xdr:col>
      <xdr:colOff>600303</xdr:colOff>
      <xdr:row>20</xdr:row>
      <xdr:rowOff>46129</xdr:rowOff>
    </xdr:to>
    <xdr:sp macro="" textlink="">
      <xdr:nvSpPr>
        <xdr:cNvPr id="21" name="Rectangle: Rounded Corners 20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BFCA149A-F971-197F-24A9-0F5CA0915205}"/>
            </a:ext>
          </a:extLst>
        </xdr:cNvPr>
        <xdr:cNvSpPr/>
      </xdr:nvSpPr>
      <xdr:spPr>
        <a:xfrm>
          <a:off x="6810603" y="2995069"/>
          <a:ext cx="1714500" cy="63694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800" b="1" kern="1200"/>
            <a:t>Financial Fx</a:t>
          </a:r>
        </a:p>
      </xdr:txBody>
    </xdr:sp>
    <xdr:clientData/>
  </xdr:twoCellAnchor>
  <xdr:twoCellAnchor>
    <xdr:from>
      <xdr:col>11</xdr:col>
      <xdr:colOff>83820</xdr:colOff>
      <xdr:row>20</xdr:row>
      <xdr:rowOff>137160</xdr:rowOff>
    </xdr:from>
    <xdr:to>
      <xdr:col>13</xdr:col>
      <xdr:colOff>579120</xdr:colOff>
      <xdr:row>24</xdr:row>
      <xdr:rowOff>53340</xdr:rowOff>
    </xdr:to>
    <xdr:sp macro="" textlink="">
      <xdr:nvSpPr>
        <xdr:cNvPr id="22" name="Rectangle: Rounded Corners 2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A4AC39B0-981B-447C-2A9A-69227327EFA4}"/>
            </a:ext>
          </a:extLst>
        </xdr:cNvPr>
        <xdr:cNvSpPr/>
      </xdr:nvSpPr>
      <xdr:spPr>
        <a:xfrm>
          <a:off x="6789420" y="3794760"/>
          <a:ext cx="1714500" cy="6477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800" b="1" kern="1200"/>
            <a:t>Pivot Table</a:t>
          </a:r>
        </a:p>
      </xdr:txBody>
    </xdr:sp>
    <xdr:clientData/>
  </xdr:twoCellAnchor>
  <xdr:twoCellAnchor>
    <xdr:from>
      <xdr:col>1</xdr:col>
      <xdr:colOff>583836</xdr:colOff>
      <xdr:row>21</xdr:row>
      <xdr:rowOff>10174</xdr:rowOff>
    </xdr:from>
    <xdr:to>
      <xdr:col>4</xdr:col>
      <xdr:colOff>469536</xdr:colOff>
      <xdr:row>24</xdr:row>
      <xdr:rowOff>109233</xdr:rowOff>
    </xdr:to>
    <xdr:sp macro="" textlink="">
      <xdr:nvSpPr>
        <xdr:cNvPr id="23" name="Rectangle: Rounded Corners 22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6D91A0E5-1150-ECFC-68D9-65288D527C6A}"/>
            </a:ext>
          </a:extLst>
        </xdr:cNvPr>
        <xdr:cNvSpPr/>
      </xdr:nvSpPr>
      <xdr:spPr>
        <a:xfrm>
          <a:off x="1193436" y="3775350"/>
          <a:ext cx="1714500" cy="63694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800" b="1" kern="1200"/>
            <a:t>Holiday</a:t>
          </a:r>
          <a:r>
            <a:rPr lang="en-MY" sz="1800" b="1" kern="1200" baseline="0"/>
            <a:t> List</a:t>
          </a:r>
          <a:endParaRPr lang="en-MY" sz="1800" b="1" kern="1200"/>
        </a:p>
      </xdr:txBody>
    </xdr:sp>
    <xdr:clientData/>
  </xdr:twoCellAnchor>
  <xdr:twoCellAnchor>
    <xdr:from>
      <xdr:col>5</xdr:col>
      <xdr:colOff>29973</xdr:colOff>
      <xdr:row>20</xdr:row>
      <xdr:rowOff>148932</xdr:rowOff>
    </xdr:from>
    <xdr:to>
      <xdr:col>7</xdr:col>
      <xdr:colOff>525273</xdr:colOff>
      <xdr:row>24</xdr:row>
      <xdr:rowOff>68697</xdr:rowOff>
    </xdr:to>
    <xdr:sp macro="" textlink="">
      <xdr:nvSpPr>
        <xdr:cNvPr id="19" name="Rectangle: Rounded Corners 18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F90AD639-F59A-2AA2-33FE-2985743EDFCF}"/>
            </a:ext>
          </a:extLst>
        </xdr:cNvPr>
        <xdr:cNvSpPr/>
      </xdr:nvSpPr>
      <xdr:spPr>
        <a:xfrm>
          <a:off x="3077973" y="3734814"/>
          <a:ext cx="1714500" cy="63694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800" b="1" kern="1200"/>
            <a:t>Exercise</a:t>
          </a:r>
        </a:p>
      </xdr:txBody>
    </xdr:sp>
    <xdr:clientData/>
  </xdr:twoCellAnchor>
  <xdr:twoCellAnchor>
    <xdr:from>
      <xdr:col>8</xdr:col>
      <xdr:colOff>47961</xdr:colOff>
      <xdr:row>12</xdr:row>
      <xdr:rowOff>108025</xdr:rowOff>
    </xdr:from>
    <xdr:to>
      <xdr:col>10</xdr:col>
      <xdr:colOff>543261</xdr:colOff>
      <xdr:row>16</xdr:row>
      <xdr:rowOff>24204</xdr:rowOff>
    </xdr:to>
    <xdr:sp macro="" textlink="">
      <xdr:nvSpPr>
        <xdr:cNvPr id="15" name="Rectangle: Rounded Corners 14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4380D527-5D6C-2165-C5A8-50BB129A88D4}"/>
            </a:ext>
          </a:extLst>
        </xdr:cNvPr>
        <xdr:cNvSpPr/>
      </xdr:nvSpPr>
      <xdr:spPr>
        <a:xfrm>
          <a:off x="4924761" y="2259554"/>
          <a:ext cx="1714500" cy="63335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800" b="1" kern="1200"/>
            <a:t>Date</a:t>
          </a:r>
          <a:r>
            <a:rPr lang="en-MY" sz="1800" b="1" kern="1200" baseline="0"/>
            <a:t> Fucntion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466726</xdr:colOff>
      <xdr:row>3</xdr:row>
      <xdr:rowOff>171450</xdr:rowOff>
    </xdr:from>
    <xdr:ext cx="2070286" cy="24669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1027150" y="736226"/>
          <a:ext cx="2070286" cy="246697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Reference</a:t>
          </a:r>
          <a:b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</a:br>
          <a:b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</a:b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1. Relative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2. Absolute</a:t>
          </a:r>
          <a:b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</a:b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3. Mixed</a:t>
          </a:r>
          <a:b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</a:b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4. Name </a:t>
          </a:r>
          <a:endParaRPr sz="1100"/>
        </a:p>
      </xdr:txBody>
    </xdr:sp>
    <xdr:clientData fLocksWithSheet="0"/>
  </xdr:oneCellAnchor>
  <xdr:twoCellAnchor>
    <xdr:from>
      <xdr:col>13</xdr:col>
      <xdr:colOff>480060</xdr:colOff>
      <xdr:row>0</xdr:row>
      <xdr:rowOff>144780</xdr:rowOff>
    </xdr:from>
    <xdr:to>
      <xdr:col>15</xdr:col>
      <xdr:colOff>518160</xdr:colOff>
      <xdr:row>3</xdr:row>
      <xdr:rowOff>68580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437F07-442E-3272-D2F3-CD3B966DC794}"/>
            </a:ext>
          </a:extLst>
        </xdr:cNvPr>
        <xdr:cNvSpPr/>
      </xdr:nvSpPr>
      <xdr:spPr>
        <a:xfrm>
          <a:off x="9494520" y="144780"/>
          <a:ext cx="1226820" cy="4953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800" b="1" kern="1200"/>
            <a:t>Main Page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65313</xdr:colOff>
      <xdr:row>1</xdr:row>
      <xdr:rowOff>76744</xdr:rowOff>
    </xdr:from>
    <xdr:ext cx="3286125" cy="18669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1251473" y="267244"/>
          <a:ext cx="3286125" cy="186690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Math Fx</a:t>
          </a:r>
          <a:b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</a:b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1. Count</a:t>
          </a:r>
          <a:b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</a:b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2. CountA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3.CountBlank</a:t>
          </a:r>
          <a:b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</a:b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4. CountIF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5. CountIFS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6. SumIF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7.SumIFS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8. DSUM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9. Dcount/DcountA</a:t>
          </a:r>
          <a:endParaRPr sz="1100"/>
        </a:p>
      </xdr:txBody>
    </xdr:sp>
    <xdr:clientData fLocksWithSheet="0"/>
  </xdr:oneCellAnchor>
  <xdr:twoCellAnchor>
    <xdr:from>
      <xdr:col>1</xdr:col>
      <xdr:colOff>0</xdr:colOff>
      <xdr:row>2</xdr:row>
      <xdr:rowOff>0</xdr:rowOff>
    </xdr:from>
    <xdr:to>
      <xdr:col>1</xdr:col>
      <xdr:colOff>1226820</xdr:colOff>
      <xdr:row>4</xdr:row>
      <xdr:rowOff>144780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A7B7AE-F68B-44A8-9997-7D50BEEC639E}"/>
            </a:ext>
          </a:extLst>
        </xdr:cNvPr>
        <xdr:cNvSpPr/>
      </xdr:nvSpPr>
      <xdr:spPr>
        <a:xfrm>
          <a:off x="594360" y="381000"/>
          <a:ext cx="1226820" cy="4953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800" b="1" kern="1200"/>
            <a:t>Main Page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818219</xdr:colOff>
      <xdr:row>32</xdr:row>
      <xdr:rowOff>77774</xdr:rowOff>
    </xdr:from>
    <xdr:ext cx="3135472" cy="618911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7136288" y="5929934"/>
          <a:ext cx="3135472" cy="618911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54850" tIns="50275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If address equal to JKT, duration post is 1 Day, if address equal to BDG, duration is 2 Days, if address</a:t>
          </a: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equal to SBY, duration post is</a:t>
          </a:r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3Days </a:t>
          </a:r>
          <a:endParaRPr sz="1400"/>
        </a:p>
      </xdr:txBody>
    </xdr:sp>
    <xdr:clientData fLocksWithSheet="0"/>
  </xdr:oneCellAnchor>
  <xdr:oneCellAnchor>
    <xdr:from>
      <xdr:col>7</xdr:col>
      <xdr:colOff>476250</xdr:colOff>
      <xdr:row>94</xdr:row>
      <xdr:rowOff>76200</xdr:rowOff>
    </xdr:from>
    <xdr:ext cx="4438650" cy="7810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3131438" y="3389475"/>
          <a:ext cx="4429125" cy="781050"/>
        </a:xfrm>
        <a:prstGeom prst="rect">
          <a:avLst/>
        </a:prstGeom>
        <a:solidFill>
          <a:srgbClr val="FFFF00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Exam : PASS --&gt; Must be above 60 Marks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Assignment : Pass --&gt; Must be above 50 Marks</a:t>
          </a:r>
          <a:endParaRPr sz="1100"/>
        </a:p>
      </xdr:txBody>
    </xdr:sp>
    <xdr:clientData fLocksWithSheet="0"/>
  </xdr:oneCellAnchor>
  <xdr:twoCellAnchor>
    <xdr:from>
      <xdr:col>11</xdr:col>
      <xdr:colOff>0</xdr:colOff>
      <xdr:row>2</xdr:row>
      <xdr:rowOff>0</xdr:rowOff>
    </xdr:from>
    <xdr:to>
      <xdr:col>13</xdr:col>
      <xdr:colOff>38100</xdr:colOff>
      <xdr:row>4</xdr:row>
      <xdr:rowOff>129540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FC4C6A-4826-4F20-99FC-A801419F251C}"/>
            </a:ext>
          </a:extLst>
        </xdr:cNvPr>
        <xdr:cNvSpPr/>
      </xdr:nvSpPr>
      <xdr:spPr>
        <a:xfrm>
          <a:off x="9639300" y="381000"/>
          <a:ext cx="1226820" cy="4953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800" b="1" kern="1200"/>
            <a:t>Main Page</a:t>
          </a:r>
        </a:p>
      </xdr:txBody>
    </xdr:sp>
    <xdr:clientData/>
  </xdr:twoCellAnchor>
  <xdr:twoCellAnchor>
    <xdr:from>
      <xdr:col>8</xdr:col>
      <xdr:colOff>202501</xdr:colOff>
      <xdr:row>104</xdr:row>
      <xdr:rowOff>31051</xdr:rowOff>
    </xdr:from>
    <xdr:to>
      <xdr:col>10</xdr:col>
      <xdr:colOff>424053</xdr:colOff>
      <xdr:row>109</xdr:row>
      <xdr:rowOff>2477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EBB1E9F-FF6A-312A-D6E0-45123B7D07E0}"/>
            </a:ext>
          </a:extLst>
        </xdr:cNvPr>
        <xdr:cNvSpPr txBox="1"/>
      </xdr:nvSpPr>
      <xdr:spPr>
        <a:xfrm>
          <a:off x="7347013" y="18803683"/>
          <a:ext cx="2303336" cy="8553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100" kern="1200"/>
            <a:t>Requirement</a:t>
          </a:r>
          <a:r>
            <a:rPr lang="en-MY" sz="1100" kern="1200" baseline="0"/>
            <a:t> for PASS:</a:t>
          </a:r>
        </a:p>
        <a:p>
          <a:r>
            <a:rPr lang="en-MY" sz="1100" kern="1200" baseline="0"/>
            <a:t>1. </a:t>
          </a:r>
          <a:r>
            <a:rPr lang="en-MY" sz="1100" b="1" kern="1200" baseline="0"/>
            <a:t>Active</a:t>
          </a:r>
          <a:r>
            <a:rPr lang="en-MY" sz="1100" kern="1200" baseline="0"/>
            <a:t> in curriculum activities</a:t>
          </a:r>
          <a:br>
            <a:rPr lang="en-MY" sz="1100" kern="1200" baseline="0"/>
          </a:br>
          <a:r>
            <a:rPr lang="en-MY" sz="1100" kern="1200" baseline="0"/>
            <a:t>2. Either score </a:t>
          </a:r>
          <a:r>
            <a:rPr lang="en-MY" sz="1100" b="1" kern="1200" baseline="0"/>
            <a:t>more than 60 in exam or </a:t>
          </a:r>
          <a:r>
            <a:rPr lang="en-MY" sz="1100" kern="1200" baseline="0"/>
            <a:t>score </a:t>
          </a:r>
          <a:r>
            <a:rPr lang="en-MY" sz="1100" b="1" kern="1200" baseline="0"/>
            <a:t>more than 50 in assignment</a:t>
          </a:r>
          <a:r>
            <a:rPr lang="en-MY" sz="1100" kern="1200" baseline="0"/>
            <a:t>.</a:t>
          </a:r>
          <a:endParaRPr lang="en-MY" sz="1100" kern="1200"/>
        </a:p>
      </xdr:txBody>
    </xdr:sp>
    <xdr:clientData/>
  </xdr:twoCellAnchor>
  <xdr:twoCellAnchor>
    <xdr:from>
      <xdr:col>6</xdr:col>
      <xdr:colOff>115764</xdr:colOff>
      <xdr:row>117</xdr:row>
      <xdr:rowOff>161</xdr:rowOff>
    </xdr:from>
    <xdr:to>
      <xdr:col>9</xdr:col>
      <xdr:colOff>601789</xdr:colOff>
      <xdr:row>127</xdr:row>
      <xdr:rowOff>14448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9718A09-4342-20BE-1691-41BBB0472384}"/>
            </a:ext>
            <a:ext uri="{147F2762-F138-4A5C-976F-8EAC2B608ADB}">
              <a16:predDERef xmlns:a16="http://schemas.microsoft.com/office/drawing/2014/main" pred="{AEBB1E9F-FF6A-312A-D6E0-45123B7D07E0}"/>
            </a:ext>
          </a:extLst>
        </xdr:cNvPr>
        <xdr:cNvSpPr txBox="1"/>
      </xdr:nvSpPr>
      <xdr:spPr>
        <a:xfrm>
          <a:off x="5833812" y="21070985"/>
          <a:ext cx="2836033" cy="187356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/>
          <a:r>
            <a:rPr lang="en-MY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company wants to calculate bonuses for employees. The criteria are as follows:</a:t>
          </a:r>
          <a:r>
            <a:rPr lang="en-MY"/>
            <a:t> </a:t>
          </a:r>
        </a:p>
        <a:p>
          <a:pPr algn="just"/>
          <a:endParaRPr lang="en-MY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indent="-171450" algn="just">
            <a:buFont typeface="Arial" panose="020B0604020202020204" pitchFamily="34" charset="0"/>
            <a:buChar char="•"/>
          </a:pPr>
          <a:r>
            <a:rPr lang="en-MY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Employees who have worked more than 5 years AND have a performance rating of 8 or higher will receive a bonus.</a:t>
          </a:r>
          <a:r>
            <a:rPr lang="en-MY"/>
            <a:t> </a:t>
          </a:r>
        </a:p>
        <a:p>
          <a:pPr marL="171450" indent="-171450" algn="just">
            <a:buFont typeface="Arial" panose="020B0604020202020204" pitchFamily="34" charset="0"/>
            <a:buChar char="•"/>
          </a:pPr>
          <a:endParaRPr lang="en-MY"/>
        </a:p>
        <a:p>
          <a:pPr marL="171450" indent="-171450" algn="just">
            <a:buFont typeface="Arial" panose="020B0604020202020204" pitchFamily="34" charset="0"/>
            <a:buChar char="•"/>
          </a:pPr>
          <a:r>
            <a:rPr lang="en-MY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Employees who have worked less than 5 years but have a performance rating of 9 or higher will also receive a bonus.</a:t>
          </a:r>
          <a:r>
            <a:rPr lang="en-MY"/>
            <a:t> </a:t>
          </a:r>
          <a:endParaRPr lang="en-MY" sz="1100" kern="12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</xdr:row>
      <xdr:rowOff>0</xdr:rowOff>
    </xdr:from>
    <xdr:to>
      <xdr:col>14</xdr:col>
      <xdr:colOff>38100</xdr:colOff>
      <xdr:row>5</xdr:row>
      <xdr:rowOff>144780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DE32CD-8268-475D-AE44-450C99DB2F0C}"/>
            </a:ext>
          </a:extLst>
        </xdr:cNvPr>
        <xdr:cNvSpPr/>
      </xdr:nvSpPr>
      <xdr:spPr>
        <a:xfrm>
          <a:off x="7307580" y="556260"/>
          <a:ext cx="1226820" cy="4953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800" b="1" kern="1200"/>
            <a:t>Main Page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7</xdr:col>
      <xdr:colOff>22860</xdr:colOff>
      <xdr:row>3</xdr:row>
      <xdr:rowOff>144780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CE58D-35B6-41F5-82F4-1970E339AE16}"/>
            </a:ext>
          </a:extLst>
        </xdr:cNvPr>
        <xdr:cNvSpPr/>
      </xdr:nvSpPr>
      <xdr:spPr>
        <a:xfrm>
          <a:off x="6096000" y="190500"/>
          <a:ext cx="1226820" cy="4953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800" b="1" kern="1200"/>
            <a:t>Main Page</a:t>
          </a:r>
        </a:p>
      </xdr:txBody>
    </xdr:sp>
    <xdr:clientData/>
  </xdr:twoCellAnchor>
  <xdr:twoCellAnchor>
    <xdr:from>
      <xdr:col>8</xdr:col>
      <xdr:colOff>547688</xdr:colOff>
      <xdr:row>44</xdr:row>
      <xdr:rowOff>137929</xdr:rowOff>
    </xdr:from>
    <xdr:to>
      <xdr:col>14</xdr:col>
      <xdr:colOff>60082</xdr:colOff>
      <xdr:row>60</xdr:row>
      <xdr:rowOff>1649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A83F84-CA9E-21F8-6061-72091617F0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259080</xdr:colOff>
      <xdr:row>12</xdr:row>
      <xdr:rowOff>102870</xdr:rowOff>
    </xdr:from>
    <xdr:to>
      <xdr:col>18</xdr:col>
      <xdr:colOff>137160</xdr:colOff>
      <xdr:row>27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0111DA-5334-7AAC-2422-7AA69FD1FD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137160</xdr:colOff>
      <xdr:row>12</xdr:row>
      <xdr:rowOff>102870</xdr:rowOff>
    </xdr:from>
    <xdr:to>
      <xdr:col>25</xdr:col>
      <xdr:colOff>441960</xdr:colOff>
      <xdr:row>20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919757-2362-5EBB-6CE5-B9C159B3CF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3</xdr:row>
      <xdr:rowOff>0</xdr:rowOff>
    </xdr:from>
    <xdr:to>
      <xdr:col>18</xdr:col>
      <xdr:colOff>38100</xdr:colOff>
      <xdr:row>5</xdr:row>
      <xdr:rowOff>144780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0B7BB8-822A-4D2D-A53F-9D65840D99DF}"/>
            </a:ext>
          </a:extLst>
        </xdr:cNvPr>
        <xdr:cNvSpPr/>
      </xdr:nvSpPr>
      <xdr:spPr>
        <a:xfrm>
          <a:off x="10820400" y="571500"/>
          <a:ext cx="1226820" cy="4953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800" b="1" kern="1200"/>
            <a:t>Main Page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11</xdr:col>
      <xdr:colOff>358140</xdr:colOff>
      <xdr:row>3</xdr:row>
      <xdr:rowOff>114300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E7A069-9E9B-4D5A-A58F-5EE8FE3C50ED}"/>
            </a:ext>
          </a:extLst>
        </xdr:cNvPr>
        <xdr:cNvSpPr/>
      </xdr:nvSpPr>
      <xdr:spPr>
        <a:xfrm>
          <a:off x="8686800" y="190500"/>
          <a:ext cx="1226820" cy="4953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800" b="1" kern="1200"/>
            <a:t>Main Page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327660</xdr:colOff>
      <xdr:row>0</xdr:row>
      <xdr:rowOff>83820</xdr:rowOff>
    </xdr:from>
    <xdr:to>
      <xdr:col>2</xdr:col>
      <xdr:colOff>38100</xdr:colOff>
      <xdr:row>3</xdr:row>
      <xdr:rowOff>7620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B005AA-54F2-47A0-9079-10DC72D462FD}"/>
            </a:ext>
          </a:extLst>
        </xdr:cNvPr>
        <xdr:cNvSpPr/>
      </xdr:nvSpPr>
      <xdr:spPr>
        <a:xfrm>
          <a:off x="327660" y="83820"/>
          <a:ext cx="1226820" cy="4953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800" b="1" kern="1200"/>
            <a:t>Main Page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10</xdr:col>
      <xdr:colOff>358140</xdr:colOff>
      <xdr:row>4</xdr:row>
      <xdr:rowOff>114300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6C4269-4AC4-48A0-88F1-E06E051ADEA4}"/>
            </a:ext>
          </a:extLst>
        </xdr:cNvPr>
        <xdr:cNvSpPr/>
      </xdr:nvSpPr>
      <xdr:spPr>
        <a:xfrm>
          <a:off x="7818120" y="381000"/>
          <a:ext cx="1226820" cy="4953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800" b="1" kern="1200"/>
            <a:t>Main Page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676508</xdr:colOff>
      <xdr:row>1</xdr:row>
      <xdr:rowOff>14868</xdr:rowOff>
    </xdr:from>
    <xdr:to>
      <xdr:col>9</xdr:col>
      <xdr:colOff>3717</xdr:colOff>
      <xdr:row>3</xdr:row>
      <xdr:rowOff>159648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028805-6969-42A6-803C-E24D27B2E255}"/>
            </a:ext>
          </a:extLst>
        </xdr:cNvPr>
        <xdr:cNvSpPr/>
      </xdr:nvSpPr>
      <xdr:spPr>
        <a:xfrm>
          <a:off x="6739054" y="204439"/>
          <a:ext cx="1226634" cy="49418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800" b="1" kern="1200"/>
            <a:t>Main Page</a:t>
          </a:r>
        </a:p>
      </xdr:txBody>
    </xdr:sp>
    <xdr:clientData/>
  </xdr:twoCellAnchor>
  <xdr:twoCellAnchor>
    <xdr:from>
      <xdr:col>3</xdr:col>
      <xdr:colOff>474231</xdr:colOff>
      <xdr:row>11</xdr:row>
      <xdr:rowOff>31883</xdr:rowOff>
    </xdr:from>
    <xdr:to>
      <xdr:col>6</xdr:col>
      <xdr:colOff>397591</xdr:colOff>
      <xdr:row>14</xdr:row>
      <xdr:rowOff>188676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8830662-845D-81EC-3B0A-FB52AD01C836}"/>
            </a:ext>
          </a:extLst>
        </xdr:cNvPr>
        <xdr:cNvSpPr txBox="1"/>
      </xdr:nvSpPr>
      <xdr:spPr>
        <a:xfrm>
          <a:off x="3522231" y="2081663"/>
          <a:ext cx="2940880" cy="72829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100" kern="1200"/>
            <a:t>1. Calculate monthly installment (PMT)</a:t>
          </a:r>
        </a:p>
        <a:p>
          <a:r>
            <a:rPr lang="en-MY" sz="1100" kern="1200"/>
            <a:t>2. Predict monthly</a:t>
          </a:r>
          <a:r>
            <a:rPr lang="en-MY" sz="1100" kern="1200" baseline="0"/>
            <a:t> installment</a:t>
          </a:r>
          <a:r>
            <a:rPr lang="en-MY" sz="1100" kern="1200"/>
            <a:t> if the period loan is 5</a:t>
          </a:r>
          <a:r>
            <a:rPr lang="en-MY" sz="1100" kern="1200" baseline="0"/>
            <a:t> years, 7 years, 9 years and 10 years.(Data Table)</a:t>
          </a:r>
          <a:endParaRPr lang="en-MY" sz="1100" kern="12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13</xdr:col>
      <xdr:colOff>38100</xdr:colOff>
      <xdr:row>3</xdr:row>
      <xdr:rowOff>114300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B86975-6728-4BAC-8C21-2CC674458CB8}"/>
            </a:ext>
          </a:extLst>
        </xdr:cNvPr>
        <xdr:cNvSpPr/>
      </xdr:nvSpPr>
      <xdr:spPr>
        <a:xfrm>
          <a:off x="7208520" y="190500"/>
          <a:ext cx="1226820" cy="4953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800" b="1" kern="1200"/>
            <a:t>Main Page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109538</xdr:colOff>
      <xdr:row>1</xdr:row>
      <xdr:rowOff>4762</xdr:rowOff>
    </xdr:from>
    <xdr:to>
      <xdr:col>14</xdr:col>
      <xdr:colOff>147638</xdr:colOff>
      <xdr:row>3</xdr:row>
      <xdr:rowOff>119062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458AC4-FC76-46FA-926F-A221929BEF62}"/>
            </a:ext>
          </a:extLst>
        </xdr:cNvPr>
        <xdr:cNvSpPr/>
      </xdr:nvSpPr>
      <xdr:spPr>
        <a:xfrm>
          <a:off x="7372351" y="195262"/>
          <a:ext cx="1228725" cy="4953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800" b="1" kern="1200"/>
            <a:t>Main Page</a:t>
          </a:r>
        </a:p>
      </xdr:txBody>
    </xdr:sp>
    <xdr:clientData/>
  </xdr:twoCellAnchor>
  <xdr:twoCellAnchor>
    <xdr:from>
      <xdr:col>10</xdr:col>
      <xdr:colOff>18584</xdr:colOff>
      <xdr:row>9</xdr:row>
      <xdr:rowOff>0</xdr:rowOff>
    </xdr:from>
    <xdr:to>
      <xdr:col>11</xdr:col>
      <xdr:colOff>550126</xdr:colOff>
      <xdr:row>14</xdr:row>
      <xdr:rowOff>107797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928023-37B6-B727-DBEA-6C10091B02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38100</xdr:colOff>
      <xdr:row>3</xdr:row>
      <xdr:rowOff>129540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CFE271-CF20-4E64-A4CA-2EA7461746B7}"/>
            </a:ext>
          </a:extLst>
        </xdr:cNvPr>
        <xdr:cNvSpPr/>
      </xdr:nvSpPr>
      <xdr:spPr>
        <a:xfrm>
          <a:off x="0" y="190500"/>
          <a:ext cx="1226820" cy="4953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800" b="1" kern="1200"/>
            <a:t>Main Page</a:t>
          </a:r>
        </a:p>
      </xdr:txBody>
    </xdr:sp>
    <xdr:clientData/>
  </xdr:twoCellAnchor>
  <xdr:twoCellAnchor>
    <xdr:from>
      <xdr:col>15</xdr:col>
      <xdr:colOff>38100</xdr:colOff>
      <xdr:row>1</xdr:row>
      <xdr:rowOff>137160</xdr:rowOff>
    </xdr:from>
    <xdr:to>
      <xdr:col>19</xdr:col>
      <xdr:colOff>342900</xdr:colOff>
      <xdr:row>5</xdr:row>
      <xdr:rowOff>167640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F609B4F-CAEE-D384-706A-445DBF3AC8C9}"/>
            </a:ext>
          </a:extLst>
        </xdr:cNvPr>
        <xdr:cNvSpPr txBox="1"/>
      </xdr:nvSpPr>
      <xdr:spPr>
        <a:xfrm>
          <a:off x="11277600" y="327660"/>
          <a:ext cx="2682240" cy="9372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100" kern="1200"/>
            <a:t>PMT= Calculate monthly installment</a:t>
          </a:r>
        </a:p>
        <a:p>
          <a:r>
            <a:rPr lang="en-MY" sz="1100" kern="1200"/>
            <a:t>PPMT = Calculate principal</a:t>
          </a:r>
          <a:r>
            <a:rPr lang="en-MY" sz="1100" kern="1200" baseline="0"/>
            <a:t> paid</a:t>
          </a:r>
          <a:endParaRPr lang="en-MY" sz="1100" kern="1200"/>
        </a:p>
        <a:p>
          <a:r>
            <a:rPr lang="en-MY" sz="1100" kern="1200"/>
            <a:t>IPMT = Calculate interest paid</a:t>
          </a:r>
        </a:p>
        <a:p>
          <a:r>
            <a:rPr lang="en-MY" sz="1100" kern="1200"/>
            <a:t>FV = predict future value</a:t>
          </a:r>
          <a:r>
            <a:rPr lang="en-MY" sz="1100" kern="1200" baseline="0"/>
            <a:t> (saving/investment)</a:t>
          </a:r>
          <a:endParaRPr lang="en-MY" sz="1100" kern="12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14</xdr:col>
      <xdr:colOff>38100</xdr:colOff>
      <xdr:row>4</xdr:row>
      <xdr:rowOff>129540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587E6-D35D-4127-949B-800210A39408}"/>
            </a:ext>
          </a:extLst>
        </xdr:cNvPr>
        <xdr:cNvSpPr/>
      </xdr:nvSpPr>
      <xdr:spPr>
        <a:xfrm>
          <a:off x="11094720" y="381000"/>
          <a:ext cx="1226820" cy="4953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800" b="1" kern="1200"/>
            <a:t>Main Page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238125</xdr:colOff>
      <xdr:row>1</xdr:row>
      <xdr:rowOff>19050</xdr:rowOff>
    </xdr:from>
    <xdr:ext cx="5543550" cy="68961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20</xdr:col>
      <xdr:colOff>45720</xdr:colOff>
      <xdr:row>2</xdr:row>
      <xdr:rowOff>15240</xdr:rowOff>
    </xdr:from>
    <xdr:to>
      <xdr:col>22</xdr:col>
      <xdr:colOff>83820</xdr:colOff>
      <xdr:row>4</xdr:row>
      <xdr:rowOff>160020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C8AB6B0-1181-4B8A-B9AD-138E999EC54C}"/>
            </a:ext>
          </a:extLst>
        </xdr:cNvPr>
        <xdr:cNvSpPr/>
      </xdr:nvSpPr>
      <xdr:spPr>
        <a:xfrm>
          <a:off x="12877800" y="381000"/>
          <a:ext cx="1226820" cy="4953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800" b="1" kern="1200"/>
            <a:t>Main Page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2</xdr:col>
      <xdr:colOff>518160</xdr:colOff>
      <xdr:row>4</xdr:row>
      <xdr:rowOff>144780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A379B4-1CEE-4745-BC12-E770FEBF0537}"/>
            </a:ext>
          </a:extLst>
        </xdr:cNvPr>
        <xdr:cNvSpPr/>
      </xdr:nvSpPr>
      <xdr:spPr>
        <a:xfrm>
          <a:off x="594360" y="381000"/>
          <a:ext cx="1226820" cy="4953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MY" sz="1800" b="1" kern="1200"/>
            <a:t>Main Page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12</xdr:col>
      <xdr:colOff>304800</xdr:colOff>
      <xdr:row>18</xdr:row>
      <xdr:rowOff>0</xdr:rowOff>
    </xdr:to>
    <xdr:graphicFrame macro="">
      <xdr:nvGraphicFramePr>
        <xdr:cNvPr id="2" name="Chart 1" descr="Chart type: Clustered Bar. 'Quantity' by 'Agent '&#10;&#10;Description automatically generated">
          <a:extLst>
            <a:ext uri="{FF2B5EF4-FFF2-40B4-BE49-F238E27FC236}">
              <a16:creationId xmlns:a16="http://schemas.microsoft.com/office/drawing/2014/main" id="{C7501816-A9B1-428A-2E99-D28038CA76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khrul Syahmi" refreshedDate="45981.484348379628" createdVersion="8" refreshedVersion="8" minRefreshableVersion="3" recordCount="500" xr:uid="{512EEA65-D7EF-4C4E-AC78-1F832A2AA151}">
  <cacheSource type="worksheet">
    <worksheetSource ref="B7:J507" sheet="Mathematical Funtion"/>
  </cacheSource>
  <cacheFields count="9">
    <cacheField name="InvoiceID" numFmtId="0">
      <sharedItems containsSemiMixedTypes="0" containsString="0" containsNumber="1" containsInteger="1" minValue="1" maxValue="500"/>
    </cacheField>
    <cacheField name="Date" numFmtId="174">
      <sharedItems containsSemiMixedTypes="0" containsNonDate="0" containsDate="1" containsString="0" minDate="2023-01-01T00:00:00" maxDate="2024-01-01T00:00:00"/>
    </cacheField>
    <cacheField name="Region" numFmtId="0">
      <sharedItems count="4">
        <s v="East"/>
        <s v="West"/>
        <s v="North"/>
        <s v="South"/>
      </sharedItems>
    </cacheField>
    <cacheField name="Category" numFmtId="0">
      <sharedItems count="4">
        <s v="Electronics"/>
        <s v="Clothing"/>
        <s v="Furniture"/>
        <s v="Food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1" maxValue="9"/>
    </cacheField>
    <cacheField name="UnitPrice" numFmtId="0">
      <sharedItems containsSemiMixedTypes="0" containsString="0" containsNumber="1" minValue="10.6" maxValue="499.68"/>
    </cacheField>
    <cacheField name="Total" numFmtId="0">
      <sharedItems containsSemiMixedTypes="0" containsString="0" containsNumber="1" minValue="15.69" maxValue="4336.83"/>
    </cacheField>
    <cacheField name="Agent " numFmtId="0">
      <sharedItems count="7">
        <s v="SA6"/>
        <s v="SA1"/>
        <s v="SA4"/>
        <s v="SA7"/>
        <s v="SA3"/>
        <s v="SA5"/>
        <s v="SA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d v="2023-09-28T00:00:00"/>
    <x v="0"/>
    <x v="0"/>
    <s v="Smartphone"/>
    <n v="7"/>
    <n v="400.31"/>
    <n v="2802.17"/>
    <x v="0"/>
  </r>
  <r>
    <n v="2"/>
    <d v="2023-04-13T00:00:00"/>
    <x v="1"/>
    <x v="1"/>
    <s v="Shoes"/>
    <n v="8"/>
    <n v="303.33999999999997"/>
    <n v="2426.7199999999998"/>
    <x v="1"/>
  </r>
  <r>
    <n v="3"/>
    <d v="2023-03-29T00:00:00"/>
    <x v="0"/>
    <x v="0"/>
    <s v="Smartphone"/>
    <n v="3"/>
    <n v="58.99"/>
    <n v="176.97"/>
    <x v="1"/>
  </r>
  <r>
    <n v="4"/>
    <d v="2023-06-01T00:00:00"/>
    <x v="2"/>
    <x v="2"/>
    <s v="Shelf"/>
    <n v="5"/>
    <n v="304.55"/>
    <n v="1522.75"/>
    <x v="2"/>
  </r>
  <r>
    <n v="5"/>
    <d v="2023-09-15T00:00:00"/>
    <x v="3"/>
    <x v="1"/>
    <s v="Jacket"/>
    <n v="3"/>
    <n v="20.09"/>
    <n v="60.27"/>
    <x v="3"/>
  </r>
  <r>
    <n v="6"/>
    <d v="2023-10-21T00:00:00"/>
    <x v="3"/>
    <x v="1"/>
    <s v="Jacket"/>
    <n v="8"/>
    <n v="417.9"/>
    <n v="3343.2"/>
    <x v="4"/>
  </r>
  <r>
    <n v="7"/>
    <d v="2023-10-04T00:00:00"/>
    <x v="2"/>
    <x v="0"/>
    <s v="Laptop"/>
    <n v="2"/>
    <n v="99.09"/>
    <n v="198.18"/>
    <x v="5"/>
  </r>
  <r>
    <n v="8"/>
    <d v="2023-01-22T00:00:00"/>
    <x v="1"/>
    <x v="3"/>
    <s v="Cereal"/>
    <n v="1"/>
    <n v="159.08000000000001"/>
    <n v="159.08000000000001"/>
    <x v="3"/>
  </r>
  <r>
    <n v="9"/>
    <d v="2023-02-28T00:00:00"/>
    <x v="1"/>
    <x v="2"/>
    <s v="Desk"/>
    <n v="9"/>
    <n v="152.69999999999999"/>
    <n v="1374.3"/>
    <x v="3"/>
  </r>
  <r>
    <n v="10"/>
    <d v="2023-09-01T00:00:00"/>
    <x v="2"/>
    <x v="0"/>
    <s v="Tablet"/>
    <n v="3"/>
    <n v="197.41"/>
    <n v="592.23"/>
    <x v="2"/>
  </r>
  <r>
    <n v="11"/>
    <d v="2023-11-03T00:00:00"/>
    <x v="2"/>
    <x v="3"/>
    <s v="Bread"/>
    <n v="9"/>
    <n v="32.76"/>
    <n v="294.83999999999997"/>
    <x v="1"/>
  </r>
  <r>
    <n v="12"/>
    <d v="2023-06-16T00:00:00"/>
    <x v="3"/>
    <x v="2"/>
    <s v="Chair"/>
    <n v="7"/>
    <n v="93.56"/>
    <n v="654.92000000000007"/>
    <x v="1"/>
  </r>
  <r>
    <n v="13"/>
    <d v="2023-11-12T00:00:00"/>
    <x v="0"/>
    <x v="3"/>
    <s v="Cereal"/>
    <n v="2"/>
    <n v="474.95"/>
    <n v="949.9"/>
    <x v="5"/>
  </r>
  <r>
    <n v="14"/>
    <d v="2023-12-12T00:00:00"/>
    <x v="1"/>
    <x v="3"/>
    <s v="Eggs"/>
    <n v="2"/>
    <n v="198.85"/>
    <n v="397.7"/>
    <x v="0"/>
  </r>
  <r>
    <n v="15"/>
    <d v="2023-04-02T00:00:00"/>
    <x v="3"/>
    <x v="3"/>
    <s v="Eggs"/>
    <n v="5"/>
    <n v="123.14"/>
    <n v="615.70000000000005"/>
    <x v="5"/>
  </r>
  <r>
    <n v="16"/>
    <d v="2023-09-21T00:00:00"/>
    <x v="0"/>
    <x v="2"/>
    <s v="Chair"/>
    <n v="7"/>
    <n v="308.89999999999998"/>
    <n v="2162.3000000000002"/>
    <x v="3"/>
  </r>
  <r>
    <n v="17"/>
    <d v="2023-02-19T00:00:00"/>
    <x v="3"/>
    <x v="0"/>
    <s v="Tablet"/>
    <n v="3"/>
    <n v="455.57"/>
    <n v="1366.71"/>
    <x v="4"/>
  </r>
  <r>
    <n v="18"/>
    <d v="2023-02-23T00:00:00"/>
    <x v="2"/>
    <x v="3"/>
    <s v="Milk"/>
    <n v="8"/>
    <n v="380.13"/>
    <n v="3041.04"/>
    <x v="5"/>
  </r>
  <r>
    <n v="19"/>
    <d v="2023-07-10T00:00:00"/>
    <x v="0"/>
    <x v="0"/>
    <s v="Laptop"/>
    <n v="4"/>
    <n v="100.58"/>
    <n v="402.32"/>
    <x v="1"/>
  </r>
  <r>
    <n v="20"/>
    <d v="2023-06-11T00:00:00"/>
    <x v="0"/>
    <x v="2"/>
    <s v="Desk"/>
    <n v="2"/>
    <n v="389.82"/>
    <n v="779.64"/>
    <x v="1"/>
  </r>
  <r>
    <n v="21"/>
    <d v="2023-10-31T00:00:00"/>
    <x v="0"/>
    <x v="0"/>
    <s v="Laptop"/>
    <n v="4"/>
    <n v="302.97000000000003"/>
    <n v="1211.8800000000001"/>
    <x v="0"/>
  </r>
  <r>
    <n v="22"/>
    <d v="2023-09-09T00:00:00"/>
    <x v="3"/>
    <x v="2"/>
    <s v="Chair"/>
    <n v="8"/>
    <n v="289.52"/>
    <n v="2316.16"/>
    <x v="3"/>
  </r>
  <r>
    <n v="23"/>
    <d v="2023-08-01T00:00:00"/>
    <x v="3"/>
    <x v="1"/>
    <s v="Pants"/>
    <n v="9"/>
    <n v="480.97"/>
    <n v="4328.7299999999996"/>
    <x v="6"/>
  </r>
  <r>
    <n v="24"/>
    <d v="2023-10-07T00:00:00"/>
    <x v="2"/>
    <x v="2"/>
    <s v="Cabinet"/>
    <n v="2"/>
    <n v="274.45"/>
    <n v="548.9"/>
    <x v="1"/>
  </r>
  <r>
    <n v="25"/>
    <d v="2023-02-10T00:00:00"/>
    <x v="2"/>
    <x v="1"/>
    <s v="Shirt"/>
    <n v="9"/>
    <n v="147.66"/>
    <n v="1328.94"/>
    <x v="5"/>
  </r>
  <r>
    <n v="26"/>
    <d v="2023-01-09T00:00:00"/>
    <x v="0"/>
    <x v="1"/>
    <s v="Pants"/>
    <n v="1"/>
    <n v="17.66"/>
    <n v="17.66"/>
    <x v="6"/>
  </r>
  <r>
    <n v="27"/>
    <d v="2023-05-16T00:00:00"/>
    <x v="2"/>
    <x v="2"/>
    <s v="Chair"/>
    <n v="8"/>
    <n v="203.49"/>
    <n v="1627.92"/>
    <x v="0"/>
  </r>
  <r>
    <n v="28"/>
    <d v="2023-03-22T00:00:00"/>
    <x v="0"/>
    <x v="0"/>
    <s v="Laptop"/>
    <n v="8"/>
    <n v="16.899999999999999"/>
    <n v="135.19999999999999"/>
    <x v="4"/>
  </r>
  <r>
    <n v="29"/>
    <d v="2023-10-16T00:00:00"/>
    <x v="2"/>
    <x v="0"/>
    <s v="Headphones"/>
    <n v="8"/>
    <n v="367.21"/>
    <n v="2937.68"/>
    <x v="0"/>
  </r>
  <r>
    <n v="30"/>
    <d v="2023-02-10T00:00:00"/>
    <x v="1"/>
    <x v="1"/>
    <s v="Shirt"/>
    <n v="5"/>
    <n v="463.89"/>
    <n v="2319.4499999999998"/>
    <x v="4"/>
  </r>
  <r>
    <n v="31"/>
    <d v="2023-09-25T00:00:00"/>
    <x v="3"/>
    <x v="3"/>
    <s v="Eggs"/>
    <n v="7"/>
    <n v="426.52"/>
    <n v="2985.64"/>
    <x v="3"/>
  </r>
  <r>
    <n v="32"/>
    <d v="2023-03-03T00:00:00"/>
    <x v="2"/>
    <x v="0"/>
    <s v="Tablet"/>
    <n v="2"/>
    <n v="56.75"/>
    <n v="113.5"/>
    <x v="0"/>
  </r>
  <r>
    <n v="33"/>
    <d v="2023-06-21T00:00:00"/>
    <x v="3"/>
    <x v="0"/>
    <s v="Tablet"/>
    <n v="8"/>
    <n v="336.3"/>
    <n v="2690.4"/>
    <x v="0"/>
  </r>
  <r>
    <n v="34"/>
    <d v="2023-02-04T00:00:00"/>
    <x v="1"/>
    <x v="1"/>
    <s v="Jacket"/>
    <n v="8"/>
    <n v="144.61000000000001"/>
    <n v="1156.8800000000001"/>
    <x v="0"/>
  </r>
  <r>
    <n v="35"/>
    <d v="2023-05-11T00:00:00"/>
    <x v="2"/>
    <x v="3"/>
    <s v="Eggs"/>
    <n v="1"/>
    <n v="197.63"/>
    <n v="197.63"/>
    <x v="0"/>
  </r>
  <r>
    <n v="36"/>
    <d v="2023-09-12T00:00:00"/>
    <x v="2"/>
    <x v="3"/>
    <s v="Bread"/>
    <n v="1"/>
    <n v="363.65"/>
    <n v="363.65"/>
    <x v="6"/>
  </r>
  <r>
    <n v="37"/>
    <d v="2023-07-26T00:00:00"/>
    <x v="1"/>
    <x v="2"/>
    <s v="Chair"/>
    <n v="7"/>
    <n v="29.81"/>
    <n v="208.67"/>
    <x v="2"/>
  </r>
  <r>
    <n v="38"/>
    <d v="2023-08-19T00:00:00"/>
    <x v="0"/>
    <x v="1"/>
    <s v="Pants"/>
    <n v="3"/>
    <n v="25.4"/>
    <n v="76.199999999999989"/>
    <x v="3"/>
  </r>
  <r>
    <n v="39"/>
    <d v="2023-04-06T00:00:00"/>
    <x v="2"/>
    <x v="2"/>
    <s v="Shelf"/>
    <n v="1"/>
    <n v="164.03"/>
    <n v="164.03"/>
    <x v="3"/>
  </r>
  <r>
    <n v="40"/>
    <d v="2023-08-19T00:00:00"/>
    <x v="0"/>
    <x v="2"/>
    <s v="Desk"/>
    <n v="4"/>
    <n v="454.71"/>
    <n v="1818.84"/>
    <x v="5"/>
  </r>
  <r>
    <n v="41"/>
    <d v="2023-11-23T00:00:00"/>
    <x v="1"/>
    <x v="3"/>
    <s v="Milk"/>
    <n v="4"/>
    <n v="472"/>
    <n v="1888"/>
    <x v="4"/>
  </r>
  <r>
    <n v="42"/>
    <d v="2023-03-07T00:00:00"/>
    <x v="1"/>
    <x v="2"/>
    <s v="Chair"/>
    <n v="3"/>
    <n v="89"/>
    <n v="267"/>
    <x v="3"/>
  </r>
  <r>
    <n v="43"/>
    <d v="2023-10-11T00:00:00"/>
    <x v="3"/>
    <x v="2"/>
    <s v="Shelf"/>
    <n v="9"/>
    <n v="61.69"/>
    <n v="555.21"/>
    <x v="0"/>
  </r>
  <r>
    <n v="44"/>
    <d v="2023-11-27T00:00:00"/>
    <x v="1"/>
    <x v="3"/>
    <s v="Milk"/>
    <n v="4"/>
    <n v="447.35"/>
    <n v="1789.4"/>
    <x v="6"/>
  </r>
  <r>
    <n v="45"/>
    <d v="2023-08-19T00:00:00"/>
    <x v="0"/>
    <x v="1"/>
    <s v="Shirt"/>
    <n v="7"/>
    <n v="449.08"/>
    <n v="3143.56"/>
    <x v="2"/>
  </r>
  <r>
    <n v="46"/>
    <d v="2023-10-10T00:00:00"/>
    <x v="0"/>
    <x v="0"/>
    <s v="Laptop"/>
    <n v="1"/>
    <n v="143.34"/>
    <n v="143.34"/>
    <x v="3"/>
  </r>
  <r>
    <n v="47"/>
    <d v="2023-08-21T00:00:00"/>
    <x v="0"/>
    <x v="0"/>
    <s v="Laptop"/>
    <n v="9"/>
    <n v="410.83"/>
    <n v="3697.47"/>
    <x v="6"/>
  </r>
  <r>
    <n v="48"/>
    <d v="2023-05-17T00:00:00"/>
    <x v="2"/>
    <x v="3"/>
    <s v="Bread"/>
    <n v="3"/>
    <n v="13.41"/>
    <n v="40.229999999999997"/>
    <x v="0"/>
  </r>
  <r>
    <n v="49"/>
    <d v="2023-08-22T00:00:00"/>
    <x v="3"/>
    <x v="3"/>
    <s v="Cereal"/>
    <n v="5"/>
    <n v="349.29"/>
    <n v="1746.45"/>
    <x v="5"/>
  </r>
  <r>
    <n v="50"/>
    <d v="2023-06-09T00:00:00"/>
    <x v="0"/>
    <x v="1"/>
    <s v="Shirt"/>
    <n v="8"/>
    <n v="472.03"/>
    <n v="3776.24"/>
    <x v="5"/>
  </r>
  <r>
    <n v="51"/>
    <d v="2023-04-23T00:00:00"/>
    <x v="3"/>
    <x v="2"/>
    <s v="Shelf"/>
    <n v="8"/>
    <n v="354.48"/>
    <n v="2835.84"/>
    <x v="1"/>
  </r>
  <r>
    <n v="52"/>
    <d v="2023-09-25T00:00:00"/>
    <x v="1"/>
    <x v="1"/>
    <s v="Pants"/>
    <n v="1"/>
    <n v="134.41999999999999"/>
    <n v="134.41999999999999"/>
    <x v="5"/>
  </r>
  <r>
    <n v="53"/>
    <d v="2023-04-23T00:00:00"/>
    <x v="0"/>
    <x v="3"/>
    <s v="Bread"/>
    <n v="7"/>
    <n v="253.65"/>
    <n v="1775.55"/>
    <x v="3"/>
  </r>
  <r>
    <n v="54"/>
    <d v="2023-03-22T00:00:00"/>
    <x v="2"/>
    <x v="2"/>
    <s v="Desk"/>
    <n v="5"/>
    <n v="149.57"/>
    <n v="747.84999999999991"/>
    <x v="5"/>
  </r>
  <r>
    <n v="55"/>
    <d v="2023-08-08T00:00:00"/>
    <x v="0"/>
    <x v="3"/>
    <s v="Milk"/>
    <n v="1"/>
    <n v="488.54"/>
    <n v="488.54"/>
    <x v="6"/>
  </r>
  <r>
    <n v="56"/>
    <d v="2023-08-12T00:00:00"/>
    <x v="2"/>
    <x v="2"/>
    <s v="Chair"/>
    <n v="6"/>
    <n v="26.19"/>
    <n v="157.13999999999999"/>
    <x v="5"/>
  </r>
  <r>
    <n v="57"/>
    <d v="2023-05-06T00:00:00"/>
    <x v="3"/>
    <x v="1"/>
    <s v="Jacket"/>
    <n v="1"/>
    <n v="320.83"/>
    <n v="320.83"/>
    <x v="4"/>
  </r>
  <r>
    <n v="58"/>
    <d v="2023-08-06T00:00:00"/>
    <x v="0"/>
    <x v="3"/>
    <s v="Eggs"/>
    <n v="2"/>
    <n v="270.16000000000003"/>
    <n v="540.32000000000005"/>
    <x v="1"/>
  </r>
  <r>
    <n v="59"/>
    <d v="2023-11-20T00:00:00"/>
    <x v="2"/>
    <x v="0"/>
    <s v="Headphones"/>
    <n v="6"/>
    <n v="128.61000000000001"/>
    <n v="771.66000000000008"/>
    <x v="6"/>
  </r>
  <r>
    <n v="60"/>
    <d v="2023-05-03T00:00:00"/>
    <x v="0"/>
    <x v="2"/>
    <s v="Cabinet"/>
    <n v="7"/>
    <n v="383.19"/>
    <n v="2682.33"/>
    <x v="4"/>
  </r>
  <r>
    <n v="61"/>
    <d v="2023-10-07T00:00:00"/>
    <x v="3"/>
    <x v="0"/>
    <s v="Laptop"/>
    <n v="1"/>
    <n v="366.83"/>
    <n v="366.83"/>
    <x v="1"/>
  </r>
  <r>
    <n v="62"/>
    <d v="2023-07-17T00:00:00"/>
    <x v="2"/>
    <x v="2"/>
    <s v="Chair"/>
    <n v="5"/>
    <n v="319.83"/>
    <n v="1599.15"/>
    <x v="2"/>
  </r>
  <r>
    <n v="63"/>
    <d v="2023-08-28T00:00:00"/>
    <x v="1"/>
    <x v="0"/>
    <s v="Tablet"/>
    <n v="6"/>
    <n v="272.52999999999997"/>
    <n v="1635.18"/>
    <x v="3"/>
  </r>
  <r>
    <n v="64"/>
    <d v="2023-07-06T00:00:00"/>
    <x v="1"/>
    <x v="3"/>
    <s v="Cereal"/>
    <n v="1"/>
    <n v="83.85"/>
    <n v="83.85"/>
    <x v="2"/>
  </r>
  <r>
    <n v="65"/>
    <d v="2023-09-16T00:00:00"/>
    <x v="1"/>
    <x v="3"/>
    <s v="Bread"/>
    <n v="6"/>
    <n v="350.95"/>
    <n v="2105.6999999999998"/>
    <x v="5"/>
  </r>
  <r>
    <n v="66"/>
    <d v="2023-12-12T00:00:00"/>
    <x v="1"/>
    <x v="3"/>
    <s v="Eggs"/>
    <n v="4"/>
    <n v="169.72"/>
    <n v="678.88"/>
    <x v="3"/>
  </r>
  <r>
    <n v="67"/>
    <d v="2023-05-28T00:00:00"/>
    <x v="3"/>
    <x v="3"/>
    <s v="Cereal"/>
    <n v="3"/>
    <n v="406.66"/>
    <n v="1219.98"/>
    <x v="6"/>
  </r>
  <r>
    <n v="68"/>
    <d v="2023-05-08T00:00:00"/>
    <x v="3"/>
    <x v="2"/>
    <s v="Chair"/>
    <n v="7"/>
    <n v="95.44"/>
    <n v="668.07999999999993"/>
    <x v="0"/>
  </r>
  <r>
    <n v="69"/>
    <d v="2023-05-09T00:00:00"/>
    <x v="2"/>
    <x v="3"/>
    <s v="Eggs"/>
    <n v="7"/>
    <n v="469"/>
    <n v="3283"/>
    <x v="4"/>
  </r>
  <r>
    <n v="70"/>
    <d v="2023-05-31T00:00:00"/>
    <x v="0"/>
    <x v="1"/>
    <s v="Shirt"/>
    <n v="9"/>
    <n v="65.599999999999994"/>
    <n v="590.4"/>
    <x v="1"/>
  </r>
  <r>
    <n v="71"/>
    <d v="2023-05-24T00:00:00"/>
    <x v="1"/>
    <x v="3"/>
    <s v="Cereal"/>
    <n v="3"/>
    <n v="121.99"/>
    <n v="365.97"/>
    <x v="6"/>
  </r>
  <r>
    <n v="72"/>
    <d v="2023-01-02T00:00:00"/>
    <x v="1"/>
    <x v="1"/>
    <s v="Shirt"/>
    <n v="9"/>
    <n v="263.14999999999998"/>
    <n v="2368.35"/>
    <x v="2"/>
  </r>
  <r>
    <n v="73"/>
    <d v="2023-05-20T00:00:00"/>
    <x v="3"/>
    <x v="0"/>
    <s v="Tablet"/>
    <n v="1"/>
    <n v="55.62"/>
    <n v="55.62"/>
    <x v="2"/>
  </r>
  <r>
    <n v="74"/>
    <d v="2023-01-09T00:00:00"/>
    <x v="3"/>
    <x v="1"/>
    <s v="Shoes"/>
    <n v="5"/>
    <n v="451.2"/>
    <n v="2256"/>
    <x v="0"/>
  </r>
  <r>
    <n v="75"/>
    <d v="2023-10-31T00:00:00"/>
    <x v="0"/>
    <x v="3"/>
    <s v="Bread"/>
    <n v="9"/>
    <n v="181.11"/>
    <n v="1629.99"/>
    <x v="3"/>
  </r>
  <r>
    <n v="76"/>
    <d v="2023-02-23T00:00:00"/>
    <x v="2"/>
    <x v="0"/>
    <s v="Headphones"/>
    <n v="3"/>
    <n v="429.6"/>
    <n v="1288.8"/>
    <x v="4"/>
  </r>
  <r>
    <n v="77"/>
    <d v="2023-04-26T00:00:00"/>
    <x v="2"/>
    <x v="3"/>
    <s v="Milk"/>
    <n v="8"/>
    <n v="445.01"/>
    <n v="3560.08"/>
    <x v="3"/>
  </r>
  <r>
    <n v="78"/>
    <d v="2023-04-14T00:00:00"/>
    <x v="0"/>
    <x v="2"/>
    <s v="Cabinet"/>
    <n v="1"/>
    <n v="89.2"/>
    <n v="89.2"/>
    <x v="4"/>
  </r>
  <r>
    <n v="79"/>
    <d v="2023-04-22T00:00:00"/>
    <x v="0"/>
    <x v="1"/>
    <s v="Shoes"/>
    <n v="4"/>
    <n v="294.54000000000002"/>
    <n v="1178.1600000000001"/>
    <x v="2"/>
  </r>
  <r>
    <n v="80"/>
    <d v="2023-12-15T00:00:00"/>
    <x v="2"/>
    <x v="3"/>
    <s v="Bread"/>
    <n v="9"/>
    <n v="335.12"/>
    <n v="3016.08"/>
    <x v="0"/>
  </r>
  <r>
    <n v="81"/>
    <d v="2023-12-04T00:00:00"/>
    <x v="0"/>
    <x v="3"/>
    <s v="Bread"/>
    <n v="2"/>
    <n v="88.8"/>
    <n v="177.6"/>
    <x v="3"/>
  </r>
  <r>
    <n v="82"/>
    <d v="2023-07-27T00:00:00"/>
    <x v="0"/>
    <x v="0"/>
    <s v="Smartphone"/>
    <n v="2"/>
    <n v="349.03"/>
    <n v="698.06"/>
    <x v="5"/>
  </r>
  <r>
    <n v="83"/>
    <d v="2023-03-09T00:00:00"/>
    <x v="3"/>
    <x v="2"/>
    <s v="Chair"/>
    <n v="9"/>
    <n v="96.2"/>
    <n v="865.80000000000007"/>
    <x v="5"/>
  </r>
  <r>
    <n v="84"/>
    <d v="2023-10-31T00:00:00"/>
    <x v="0"/>
    <x v="1"/>
    <s v="Shirt"/>
    <n v="1"/>
    <n v="252.01"/>
    <n v="252.01"/>
    <x v="6"/>
  </r>
  <r>
    <n v="85"/>
    <d v="2023-05-15T00:00:00"/>
    <x v="3"/>
    <x v="0"/>
    <s v="Laptop"/>
    <n v="4"/>
    <n v="189.57"/>
    <n v="758.28"/>
    <x v="2"/>
  </r>
  <r>
    <n v="86"/>
    <d v="2023-02-02T00:00:00"/>
    <x v="0"/>
    <x v="3"/>
    <s v="Cereal"/>
    <n v="3"/>
    <n v="332.23"/>
    <n v="996.69"/>
    <x v="4"/>
  </r>
  <r>
    <n v="87"/>
    <d v="2023-01-22T00:00:00"/>
    <x v="2"/>
    <x v="3"/>
    <s v="Bread"/>
    <n v="3"/>
    <n v="321.8"/>
    <n v="965.40000000000009"/>
    <x v="3"/>
  </r>
  <r>
    <n v="88"/>
    <d v="2023-02-20T00:00:00"/>
    <x v="2"/>
    <x v="2"/>
    <s v="Cabinet"/>
    <n v="6"/>
    <n v="489.66"/>
    <n v="2937.96"/>
    <x v="4"/>
  </r>
  <r>
    <n v="89"/>
    <d v="2023-01-27T00:00:00"/>
    <x v="2"/>
    <x v="3"/>
    <s v="Milk"/>
    <n v="6"/>
    <n v="453.99"/>
    <n v="2723.94"/>
    <x v="5"/>
  </r>
  <r>
    <n v="90"/>
    <d v="2023-04-07T00:00:00"/>
    <x v="2"/>
    <x v="2"/>
    <s v="Chair"/>
    <n v="2"/>
    <n v="181.54"/>
    <n v="363.08"/>
    <x v="5"/>
  </r>
  <r>
    <n v="91"/>
    <d v="2023-11-13T00:00:00"/>
    <x v="1"/>
    <x v="2"/>
    <s v="Cabinet"/>
    <n v="1"/>
    <n v="105.67"/>
    <n v="105.67"/>
    <x v="5"/>
  </r>
  <r>
    <n v="92"/>
    <d v="2023-07-11T00:00:00"/>
    <x v="1"/>
    <x v="3"/>
    <s v="Bread"/>
    <n v="3"/>
    <n v="290.27999999999997"/>
    <n v="870.83999999999992"/>
    <x v="2"/>
  </r>
  <r>
    <n v="93"/>
    <d v="2023-06-21T00:00:00"/>
    <x v="0"/>
    <x v="1"/>
    <s v="Shirt"/>
    <n v="1"/>
    <n v="31.37"/>
    <n v="31.37"/>
    <x v="6"/>
  </r>
  <r>
    <n v="94"/>
    <d v="2023-08-21T00:00:00"/>
    <x v="1"/>
    <x v="0"/>
    <s v="Smartphone"/>
    <n v="5"/>
    <n v="442.91"/>
    <n v="2214.5500000000002"/>
    <x v="1"/>
  </r>
  <r>
    <n v="95"/>
    <d v="2023-10-29T00:00:00"/>
    <x v="3"/>
    <x v="2"/>
    <s v="Desk"/>
    <n v="5"/>
    <n v="464.88"/>
    <n v="2324.4"/>
    <x v="2"/>
  </r>
  <r>
    <n v="96"/>
    <d v="2023-07-07T00:00:00"/>
    <x v="2"/>
    <x v="3"/>
    <s v="Eggs"/>
    <n v="5"/>
    <n v="290.42"/>
    <n v="1452.1"/>
    <x v="6"/>
  </r>
  <r>
    <n v="97"/>
    <d v="2023-09-10T00:00:00"/>
    <x v="0"/>
    <x v="3"/>
    <s v="Eggs"/>
    <n v="1"/>
    <n v="46.92"/>
    <n v="46.92"/>
    <x v="5"/>
  </r>
  <r>
    <n v="98"/>
    <d v="2023-06-10T00:00:00"/>
    <x v="1"/>
    <x v="0"/>
    <s v="Headphones"/>
    <n v="5"/>
    <n v="103.55"/>
    <n v="517.75"/>
    <x v="6"/>
  </r>
  <r>
    <n v="99"/>
    <d v="2023-10-08T00:00:00"/>
    <x v="1"/>
    <x v="0"/>
    <s v="Laptop"/>
    <n v="3"/>
    <n v="93.05"/>
    <n v="279.14999999999998"/>
    <x v="5"/>
  </r>
  <r>
    <n v="100"/>
    <d v="2023-12-26T00:00:00"/>
    <x v="1"/>
    <x v="0"/>
    <s v="Smartphone"/>
    <n v="6"/>
    <n v="351.05"/>
    <n v="2106.3000000000002"/>
    <x v="6"/>
  </r>
  <r>
    <n v="101"/>
    <d v="2023-12-08T00:00:00"/>
    <x v="1"/>
    <x v="1"/>
    <s v="Shoes"/>
    <n v="8"/>
    <n v="112.37"/>
    <n v="898.96"/>
    <x v="6"/>
  </r>
  <r>
    <n v="102"/>
    <d v="2023-06-04T00:00:00"/>
    <x v="0"/>
    <x v="2"/>
    <s v="Cabinet"/>
    <n v="7"/>
    <n v="78.64"/>
    <n v="550.48"/>
    <x v="2"/>
  </r>
  <r>
    <n v="103"/>
    <d v="2023-04-14T00:00:00"/>
    <x v="3"/>
    <x v="1"/>
    <s v="Pants"/>
    <n v="2"/>
    <n v="168.05"/>
    <n v="336.1"/>
    <x v="6"/>
  </r>
  <r>
    <n v="104"/>
    <d v="2023-09-03T00:00:00"/>
    <x v="0"/>
    <x v="0"/>
    <s v="Smartphone"/>
    <n v="1"/>
    <n v="76.94"/>
    <n v="76.94"/>
    <x v="1"/>
  </r>
  <r>
    <n v="105"/>
    <d v="2023-09-04T00:00:00"/>
    <x v="3"/>
    <x v="3"/>
    <s v="Cereal"/>
    <n v="7"/>
    <n v="153.86000000000001"/>
    <n v="1077.02"/>
    <x v="0"/>
  </r>
  <r>
    <n v="106"/>
    <d v="2023-01-13T00:00:00"/>
    <x v="0"/>
    <x v="2"/>
    <s v="Desk"/>
    <n v="3"/>
    <n v="135.54"/>
    <n v="406.62"/>
    <x v="3"/>
  </r>
  <r>
    <n v="107"/>
    <d v="2023-06-22T00:00:00"/>
    <x v="2"/>
    <x v="3"/>
    <s v="Eggs"/>
    <n v="7"/>
    <n v="255.74"/>
    <n v="1790.18"/>
    <x v="3"/>
  </r>
  <r>
    <n v="108"/>
    <d v="2023-05-22T00:00:00"/>
    <x v="1"/>
    <x v="1"/>
    <s v="Pants"/>
    <n v="4"/>
    <n v="328.48"/>
    <n v="1313.92"/>
    <x v="5"/>
  </r>
  <r>
    <n v="109"/>
    <d v="2023-04-02T00:00:00"/>
    <x v="0"/>
    <x v="3"/>
    <s v="Milk"/>
    <n v="3"/>
    <n v="175.62"/>
    <n v="526.86"/>
    <x v="0"/>
  </r>
  <r>
    <n v="110"/>
    <d v="2023-08-03T00:00:00"/>
    <x v="0"/>
    <x v="0"/>
    <s v="Tablet"/>
    <n v="2"/>
    <n v="56.05"/>
    <n v="112.1"/>
    <x v="3"/>
  </r>
  <r>
    <n v="111"/>
    <d v="2023-07-05T00:00:00"/>
    <x v="1"/>
    <x v="0"/>
    <s v="Laptop"/>
    <n v="6"/>
    <n v="170.79"/>
    <n v="1024.74"/>
    <x v="2"/>
  </r>
  <r>
    <n v="112"/>
    <d v="2023-12-08T00:00:00"/>
    <x v="0"/>
    <x v="1"/>
    <s v="Pants"/>
    <n v="6"/>
    <n v="299.51"/>
    <n v="1797.06"/>
    <x v="2"/>
  </r>
  <r>
    <n v="113"/>
    <d v="2023-11-22T00:00:00"/>
    <x v="3"/>
    <x v="1"/>
    <s v="Jacket"/>
    <n v="1"/>
    <n v="28.3"/>
    <n v="28.3"/>
    <x v="0"/>
  </r>
  <r>
    <n v="114"/>
    <d v="2023-04-11T00:00:00"/>
    <x v="2"/>
    <x v="3"/>
    <s v="Milk"/>
    <n v="6"/>
    <n v="273.17"/>
    <n v="1639.02"/>
    <x v="0"/>
  </r>
  <r>
    <n v="115"/>
    <d v="2023-03-01T00:00:00"/>
    <x v="0"/>
    <x v="1"/>
    <s v="Jacket"/>
    <n v="1"/>
    <n v="415.66"/>
    <n v="415.66"/>
    <x v="0"/>
  </r>
  <r>
    <n v="116"/>
    <d v="2023-09-19T00:00:00"/>
    <x v="0"/>
    <x v="1"/>
    <s v="Jacket"/>
    <n v="5"/>
    <n v="234.06"/>
    <n v="1170.3"/>
    <x v="4"/>
  </r>
  <r>
    <n v="117"/>
    <d v="2023-12-21T00:00:00"/>
    <x v="2"/>
    <x v="2"/>
    <s v="Chair"/>
    <n v="4"/>
    <n v="211.56"/>
    <n v="846.24"/>
    <x v="3"/>
  </r>
  <r>
    <n v="118"/>
    <d v="2023-05-24T00:00:00"/>
    <x v="1"/>
    <x v="2"/>
    <s v="Desk"/>
    <n v="7"/>
    <n v="77.790000000000006"/>
    <n v="544.53000000000009"/>
    <x v="0"/>
  </r>
  <r>
    <n v="119"/>
    <d v="2023-06-07T00:00:00"/>
    <x v="3"/>
    <x v="0"/>
    <s v="Headphones"/>
    <n v="2"/>
    <n v="262.99"/>
    <n v="525.98"/>
    <x v="1"/>
  </r>
  <r>
    <n v="120"/>
    <d v="2023-11-15T00:00:00"/>
    <x v="3"/>
    <x v="2"/>
    <s v="Cabinet"/>
    <n v="3"/>
    <n v="399.64"/>
    <n v="1198.92"/>
    <x v="4"/>
  </r>
  <r>
    <n v="121"/>
    <d v="2023-12-12T00:00:00"/>
    <x v="1"/>
    <x v="1"/>
    <s v="Shirt"/>
    <n v="3"/>
    <n v="225.1"/>
    <n v="675.3"/>
    <x v="2"/>
  </r>
  <r>
    <n v="122"/>
    <d v="2023-11-14T00:00:00"/>
    <x v="0"/>
    <x v="2"/>
    <s v="Desk"/>
    <n v="5"/>
    <n v="100.32"/>
    <n v="501.6"/>
    <x v="1"/>
  </r>
  <r>
    <n v="123"/>
    <d v="2023-05-09T00:00:00"/>
    <x v="0"/>
    <x v="2"/>
    <s v="Chair"/>
    <n v="7"/>
    <n v="219.87"/>
    <n v="1539.09"/>
    <x v="4"/>
  </r>
  <r>
    <n v="124"/>
    <d v="2023-04-06T00:00:00"/>
    <x v="3"/>
    <x v="2"/>
    <s v="Desk"/>
    <n v="1"/>
    <n v="226.75"/>
    <n v="226.75"/>
    <x v="5"/>
  </r>
  <r>
    <n v="125"/>
    <d v="2023-08-25T00:00:00"/>
    <x v="0"/>
    <x v="3"/>
    <s v="Cereal"/>
    <n v="6"/>
    <n v="360.15"/>
    <n v="2160.9"/>
    <x v="6"/>
  </r>
  <r>
    <n v="126"/>
    <d v="2023-07-08T00:00:00"/>
    <x v="2"/>
    <x v="2"/>
    <s v="Shelf"/>
    <n v="5"/>
    <n v="322.75"/>
    <n v="1613.75"/>
    <x v="5"/>
  </r>
  <r>
    <n v="127"/>
    <d v="2023-03-10T00:00:00"/>
    <x v="0"/>
    <x v="0"/>
    <s v="Laptop"/>
    <n v="7"/>
    <n v="331.98"/>
    <n v="2323.86"/>
    <x v="1"/>
  </r>
  <r>
    <n v="128"/>
    <d v="2023-03-17T00:00:00"/>
    <x v="2"/>
    <x v="1"/>
    <s v="Jacket"/>
    <n v="6"/>
    <n v="367.72"/>
    <n v="2206.3200000000002"/>
    <x v="2"/>
  </r>
  <r>
    <n v="129"/>
    <d v="2023-07-04T00:00:00"/>
    <x v="2"/>
    <x v="2"/>
    <s v="Cabinet"/>
    <n v="3"/>
    <n v="381.34"/>
    <n v="1144.02"/>
    <x v="5"/>
  </r>
  <r>
    <n v="130"/>
    <d v="2023-04-04T00:00:00"/>
    <x v="2"/>
    <x v="3"/>
    <s v="Cereal"/>
    <n v="5"/>
    <n v="56.14"/>
    <n v="280.7"/>
    <x v="2"/>
  </r>
  <r>
    <n v="131"/>
    <d v="2023-08-06T00:00:00"/>
    <x v="1"/>
    <x v="1"/>
    <s v="Pants"/>
    <n v="4"/>
    <n v="95.91"/>
    <n v="383.64"/>
    <x v="6"/>
  </r>
  <r>
    <n v="132"/>
    <d v="2023-10-16T00:00:00"/>
    <x v="1"/>
    <x v="2"/>
    <s v="Desk"/>
    <n v="5"/>
    <n v="242"/>
    <n v="1210"/>
    <x v="1"/>
  </r>
  <r>
    <n v="133"/>
    <d v="2023-01-10T00:00:00"/>
    <x v="3"/>
    <x v="1"/>
    <s v="Shoes"/>
    <n v="5"/>
    <n v="205.27"/>
    <n v="1026.3499999999999"/>
    <x v="5"/>
  </r>
  <r>
    <n v="134"/>
    <d v="2023-10-17T00:00:00"/>
    <x v="1"/>
    <x v="1"/>
    <s v="Shirt"/>
    <n v="6"/>
    <n v="321.2"/>
    <n v="1927.2"/>
    <x v="5"/>
  </r>
  <r>
    <n v="135"/>
    <d v="2023-09-07T00:00:00"/>
    <x v="1"/>
    <x v="3"/>
    <s v="Eggs"/>
    <n v="4"/>
    <n v="193.56"/>
    <n v="774.24"/>
    <x v="3"/>
  </r>
  <r>
    <n v="136"/>
    <d v="2023-09-14T00:00:00"/>
    <x v="2"/>
    <x v="0"/>
    <s v="Smartphone"/>
    <n v="3"/>
    <n v="256.54000000000002"/>
    <n v="769.62000000000012"/>
    <x v="1"/>
  </r>
  <r>
    <n v="137"/>
    <d v="2023-01-04T00:00:00"/>
    <x v="1"/>
    <x v="1"/>
    <s v="Jacket"/>
    <n v="8"/>
    <n v="332.76"/>
    <n v="2662.08"/>
    <x v="6"/>
  </r>
  <r>
    <n v="138"/>
    <d v="2023-09-15T00:00:00"/>
    <x v="0"/>
    <x v="0"/>
    <s v="Tablet"/>
    <n v="8"/>
    <n v="472.51"/>
    <n v="3780.08"/>
    <x v="6"/>
  </r>
  <r>
    <n v="139"/>
    <d v="2023-06-09T00:00:00"/>
    <x v="0"/>
    <x v="3"/>
    <s v="Cereal"/>
    <n v="1"/>
    <n v="434.93"/>
    <n v="434.93"/>
    <x v="3"/>
  </r>
  <r>
    <n v="140"/>
    <d v="2023-06-27T00:00:00"/>
    <x v="1"/>
    <x v="0"/>
    <s v="Tablet"/>
    <n v="4"/>
    <n v="291.98"/>
    <n v="1167.92"/>
    <x v="0"/>
  </r>
  <r>
    <n v="141"/>
    <d v="2023-06-28T00:00:00"/>
    <x v="2"/>
    <x v="0"/>
    <s v="Headphones"/>
    <n v="3"/>
    <n v="325.20999999999998"/>
    <n v="975.62999999999988"/>
    <x v="5"/>
  </r>
  <r>
    <n v="142"/>
    <d v="2023-03-06T00:00:00"/>
    <x v="2"/>
    <x v="3"/>
    <s v="Eggs"/>
    <n v="5"/>
    <n v="316.70999999999998"/>
    <n v="1583.55"/>
    <x v="5"/>
  </r>
  <r>
    <n v="143"/>
    <d v="2023-02-12T00:00:00"/>
    <x v="0"/>
    <x v="1"/>
    <s v="Shirt"/>
    <n v="1"/>
    <n v="329.23"/>
    <n v="329.23"/>
    <x v="2"/>
  </r>
  <r>
    <n v="144"/>
    <d v="2023-08-30T00:00:00"/>
    <x v="1"/>
    <x v="1"/>
    <s v="Pants"/>
    <n v="2"/>
    <n v="29.09"/>
    <n v="58.18"/>
    <x v="5"/>
  </r>
  <r>
    <n v="145"/>
    <d v="2023-03-31T00:00:00"/>
    <x v="3"/>
    <x v="0"/>
    <s v="Tablet"/>
    <n v="3"/>
    <n v="174.91"/>
    <n v="524.73"/>
    <x v="5"/>
  </r>
  <r>
    <n v="146"/>
    <d v="2023-03-31T00:00:00"/>
    <x v="3"/>
    <x v="0"/>
    <s v="Laptop"/>
    <n v="8"/>
    <n v="198.84"/>
    <n v="1590.72"/>
    <x v="3"/>
  </r>
  <r>
    <n v="147"/>
    <d v="2023-07-15T00:00:00"/>
    <x v="1"/>
    <x v="1"/>
    <s v="Shoes"/>
    <n v="2"/>
    <n v="137.74"/>
    <n v="275.48"/>
    <x v="2"/>
  </r>
  <r>
    <n v="148"/>
    <d v="2023-03-16T00:00:00"/>
    <x v="3"/>
    <x v="0"/>
    <s v="Headphones"/>
    <n v="5"/>
    <n v="180.68"/>
    <n v="903.40000000000009"/>
    <x v="4"/>
  </r>
  <r>
    <n v="149"/>
    <d v="2023-10-04T00:00:00"/>
    <x v="3"/>
    <x v="0"/>
    <s v="Tablet"/>
    <n v="8"/>
    <n v="370.18"/>
    <n v="2961.44"/>
    <x v="5"/>
  </r>
  <r>
    <n v="150"/>
    <d v="2023-12-23T00:00:00"/>
    <x v="0"/>
    <x v="1"/>
    <s v="Shirt"/>
    <n v="9"/>
    <n v="278.51"/>
    <n v="2506.59"/>
    <x v="6"/>
  </r>
  <r>
    <n v="151"/>
    <d v="2023-08-15T00:00:00"/>
    <x v="0"/>
    <x v="2"/>
    <s v="Chair"/>
    <n v="9"/>
    <n v="288.57"/>
    <n v="2597.13"/>
    <x v="0"/>
  </r>
  <r>
    <n v="152"/>
    <d v="2023-02-05T00:00:00"/>
    <x v="2"/>
    <x v="1"/>
    <s v="Shoes"/>
    <n v="1"/>
    <n v="368.51"/>
    <n v="368.51"/>
    <x v="5"/>
  </r>
  <r>
    <n v="153"/>
    <d v="2023-04-06T00:00:00"/>
    <x v="2"/>
    <x v="2"/>
    <s v="Chair"/>
    <n v="2"/>
    <n v="132.51"/>
    <n v="265.02"/>
    <x v="3"/>
  </r>
  <r>
    <n v="154"/>
    <d v="2023-08-12T00:00:00"/>
    <x v="0"/>
    <x v="2"/>
    <s v="Chair"/>
    <n v="8"/>
    <n v="434.89"/>
    <n v="3479.12"/>
    <x v="2"/>
  </r>
  <r>
    <n v="155"/>
    <d v="2023-07-02T00:00:00"/>
    <x v="2"/>
    <x v="1"/>
    <s v="Jacket"/>
    <n v="5"/>
    <n v="126.91"/>
    <n v="634.54999999999995"/>
    <x v="0"/>
  </r>
  <r>
    <n v="156"/>
    <d v="2023-12-27T00:00:00"/>
    <x v="1"/>
    <x v="0"/>
    <s v="Smartphone"/>
    <n v="7"/>
    <n v="379.73"/>
    <n v="2658.11"/>
    <x v="4"/>
  </r>
  <r>
    <n v="157"/>
    <d v="2023-03-25T00:00:00"/>
    <x v="3"/>
    <x v="0"/>
    <s v="Tablet"/>
    <n v="1"/>
    <n v="271.82"/>
    <n v="271.82"/>
    <x v="6"/>
  </r>
  <r>
    <n v="158"/>
    <d v="2023-07-06T00:00:00"/>
    <x v="3"/>
    <x v="0"/>
    <s v="Smartphone"/>
    <n v="9"/>
    <n v="166.82"/>
    <n v="1501.38"/>
    <x v="0"/>
  </r>
  <r>
    <n v="159"/>
    <d v="2023-08-21T00:00:00"/>
    <x v="3"/>
    <x v="0"/>
    <s v="Smartphone"/>
    <n v="3"/>
    <n v="200.71"/>
    <n v="602.13"/>
    <x v="3"/>
  </r>
  <r>
    <n v="160"/>
    <d v="2023-10-11T00:00:00"/>
    <x v="3"/>
    <x v="3"/>
    <s v="Cereal"/>
    <n v="3"/>
    <n v="54.73"/>
    <n v="164.19"/>
    <x v="0"/>
  </r>
  <r>
    <n v="161"/>
    <d v="2023-05-24T00:00:00"/>
    <x v="2"/>
    <x v="2"/>
    <s v="Shelf"/>
    <n v="4"/>
    <n v="290.98"/>
    <n v="1163.92"/>
    <x v="6"/>
  </r>
  <r>
    <n v="162"/>
    <d v="2023-01-25T00:00:00"/>
    <x v="0"/>
    <x v="1"/>
    <s v="Jacket"/>
    <n v="5"/>
    <n v="54.94"/>
    <n v="274.7"/>
    <x v="0"/>
  </r>
  <r>
    <n v="163"/>
    <d v="2023-02-22T00:00:00"/>
    <x v="2"/>
    <x v="0"/>
    <s v="Smartphone"/>
    <n v="4"/>
    <n v="339.53"/>
    <n v="1358.12"/>
    <x v="0"/>
  </r>
  <r>
    <n v="164"/>
    <d v="2023-02-08T00:00:00"/>
    <x v="3"/>
    <x v="1"/>
    <s v="Pants"/>
    <n v="7"/>
    <n v="392.84"/>
    <n v="2749.88"/>
    <x v="5"/>
  </r>
  <r>
    <n v="165"/>
    <d v="2023-08-11T00:00:00"/>
    <x v="2"/>
    <x v="2"/>
    <s v="Chair"/>
    <n v="5"/>
    <n v="252.27"/>
    <n v="1261.3499999999999"/>
    <x v="1"/>
  </r>
  <r>
    <n v="166"/>
    <d v="2023-08-09T00:00:00"/>
    <x v="2"/>
    <x v="0"/>
    <s v="Headphones"/>
    <n v="5"/>
    <n v="371.15"/>
    <n v="1855.75"/>
    <x v="2"/>
  </r>
  <r>
    <n v="167"/>
    <d v="2023-01-09T00:00:00"/>
    <x v="2"/>
    <x v="3"/>
    <s v="Cereal"/>
    <n v="2"/>
    <n v="484.64"/>
    <n v="969.28"/>
    <x v="2"/>
  </r>
  <r>
    <n v="168"/>
    <d v="2023-01-07T00:00:00"/>
    <x v="1"/>
    <x v="0"/>
    <s v="Smartphone"/>
    <n v="1"/>
    <n v="59.55"/>
    <n v="59.55"/>
    <x v="2"/>
  </r>
  <r>
    <n v="169"/>
    <d v="2023-10-10T00:00:00"/>
    <x v="1"/>
    <x v="1"/>
    <s v="Shoes"/>
    <n v="8"/>
    <n v="45.65"/>
    <n v="365.2"/>
    <x v="2"/>
  </r>
  <r>
    <n v="170"/>
    <d v="2023-06-14T00:00:00"/>
    <x v="0"/>
    <x v="0"/>
    <s v="Laptop"/>
    <n v="2"/>
    <n v="49.86"/>
    <n v="99.72"/>
    <x v="2"/>
  </r>
  <r>
    <n v="171"/>
    <d v="2023-12-31T00:00:00"/>
    <x v="2"/>
    <x v="1"/>
    <s v="Shoes"/>
    <n v="6"/>
    <n v="493.45"/>
    <n v="2960.7"/>
    <x v="6"/>
  </r>
  <r>
    <n v="172"/>
    <d v="2023-05-25T00:00:00"/>
    <x v="0"/>
    <x v="2"/>
    <s v="Desk"/>
    <n v="1"/>
    <n v="441.38"/>
    <n v="441.38"/>
    <x v="5"/>
  </r>
  <r>
    <n v="173"/>
    <d v="2023-05-12T00:00:00"/>
    <x v="3"/>
    <x v="1"/>
    <s v="Pants"/>
    <n v="7"/>
    <n v="493.14"/>
    <n v="3451.98"/>
    <x v="6"/>
  </r>
  <r>
    <n v="174"/>
    <d v="2023-10-02T00:00:00"/>
    <x v="0"/>
    <x v="0"/>
    <s v="Tablet"/>
    <n v="4"/>
    <n v="194.37"/>
    <n v="777.48"/>
    <x v="2"/>
  </r>
  <r>
    <n v="175"/>
    <d v="2023-07-21T00:00:00"/>
    <x v="2"/>
    <x v="2"/>
    <s v="Desk"/>
    <n v="6"/>
    <n v="355.49"/>
    <n v="2132.94"/>
    <x v="6"/>
  </r>
  <r>
    <n v="176"/>
    <d v="2023-06-22T00:00:00"/>
    <x v="0"/>
    <x v="2"/>
    <s v="Desk"/>
    <n v="3"/>
    <n v="64.489999999999995"/>
    <n v="193.47"/>
    <x v="4"/>
  </r>
  <r>
    <n v="177"/>
    <d v="2023-02-27T00:00:00"/>
    <x v="0"/>
    <x v="2"/>
    <s v="Shelf"/>
    <n v="2"/>
    <n v="239.64"/>
    <n v="479.28"/>
    <x v="4"/>
  </r>
  <r>
    <n v="178"/>
    <d v="2023-11-13T00:00:00"/>
    <x v="3"/>
    <x v="1"/>
    <s v="Pants"/>
    <n v="4"/>
    <n v="68.22"/>
    <n v="272.88"/>
    <x v="2"/>
  </r>
  <r>
    <n v="179"/>
    <d v="2023-12-14T00:00:00"/>
    <x v="3"/>
    <x v="1"/>
    <s v="Shoes"/>
    <n v="9"/>
    <n v="374.66"/>
    <n v="3371.94"/>
    <x v="4"/>
  </r>
  <r>
    <n v="180"/>
    <d v="2023-11-08T00:00:00"/>
    <x v="2"/>
    <x v="0"/>
    <s v="Laptop"/>
    <n v="9"/>
    <n v="193.69"/>
    <n v="1743.21"/>
    <x v="5"/>
  </r>
  <r>
    <n v="181"/>
    <d v="2023-05-14T00:00:00"/>
    <x v="0"/>
    <x v="1"/>
    <s v="Shirt"/>
    <n v="1"/>
    <n v="119.56"/>
    <n v="119.56"/>
    <x v="1"/>
  </r>
  <r>
    <n v="182"/>
    <d v="2023-08-01T00:00:00"/>
    <x v="1"/>
    <x v="1"/>
    <s v="Jacket"/>
    <n v="5"/>
    <n v="31.27"/>
    <n v="156.35"/>
    <x v="5"/>
  </r>
  <r>
    <n v="183"/>
    <d v="2023-05-27T00:00:00"/>
    <x v="1"/>
    <x v="0"/>
    <s v="Tablet"/>
    <n v="5"/>
    <n v="133.97"/>
    <n v="669.85"/>
    <x v="2"/>
  </r>
  <r>
    <n v="184"/>
    <d v="2023-02-16T00:00:00"/>
    <x v="0"/>
    <x v="1"/>
    <s v="Jacket"/>
    <n v="4"/>
    <n v="46.96"/>
    <n v="187.84"/>
    <x v="2"/>
  </r>
  <r>
    <n v="185"/>
    <d v="2023-05-23T00:00:00"/>
    <x v="3"/>
    <x v="0"/>
    <s v="Laptop"/>
    <n v="9"/>
    <n v="116.24"/>
    <n v="1046.1600000000001"/>
    <x v="5"/>
  </r>
  <r>
    <n v="186"/>
    <d v="2023-09-16T00:00:00"/>
    <x v="1"/>
    <x v="2"/>
    <s v="Shelf"/>
    <n v="1"/>
    <n v="317.5"/>
    <n v="317.5"/>
    <x v="5"/>
  </r>
  <r>
    <n v="187"/>
    <d v="2023-01-12T00:00:00"/>
    <x v="1"/>
    <x v="1"/>
    <s v="Shirt"/>
    <n v="7"/>
    <n v="32.270000000000003"/>
    <n v="225.89"/>
    <x v="1"/>
  </r>
  <r>
    <n v="188"/>
    <d v="2023-06-05T00:00:00"/>
    <x v="1"/>
    <x v="2"/>
    <s v="Chair"/>
    <n v="8"/>
    <n v="203.32"/>
    <n v="1626.56"/>
    <x v="1"/>
  </r>
  <r>
    <n v="189"/>
    <d v="2023-12-14T00:00:00"/>
    <x v="0"/>
    <x v="1"/>
    <s v="Jacket"/>
    <n v="5"/>
    <n v="145.91999999999999"/>
    <n v="729.59999999999991"/>
    <x v="3"/>
  </r>
  <r>
    <n v="190"/>
    <d v="2023-07-05T00:00:00"/>
    <x v="0"/>
    <x v="2"/>
    <s v="Shelf"/>
    <n v="4"/>
    <n v="237.21"/>
    <n v="948.84"/>
    <x v="0"/>
  </r>
  <r>
    <n v="191"/>
    <d v="2023-12-23T00:00:00"/>
    <x v="2"/>
    <x v="2"/>
    <s v="Shelf"/>
    <n v="2"/>
    <n v="140.31"/>
    <n v="280.62"/>
    <x v="2"/>
  </r>
  <r>
    <n v="192"/>
    <d v="2023-05-25T00:00:00"/>
    <x v="3"/>
    <x v="1"/>
    <s v="Pants"/>
    <n v="9"/>
    <n v="137.38"/>
    <n v="1236.42"/>
    <x v="0"/>
  </r>
  <r>
    <n v="193"/>
    <d v="2023-07-31T00:00:00"/>
    <x v="0"/>
    <x v="2"/>
    <s v="Desk"/>
    <n v="9"/>
    <n v="161.66999999999999"/>
    <n v="1455.03"/>
    <x v="4"/>
  </r>
  <r>
    <n v="194"/>
    <d v="2023-03-23T00:00:00"/>
    <x v="0"/>
    <x v="2"/>
    <s v="Desk"/>
    <n v="3"/>
    <n v="413.04"/>
    <n v="1239.1199999999999"/>
    <x v="5"/>
  </r>
  <r>
    <n v="195"/>
    <d v="2023-10-30T00:00:00"/>
    <x v="1"/>
    <x v="3"/>
    <s v="Milk"/>
    <n v="3"/>
    <n v="365.6"/>
    <n v="1096.8"/>
    <x v="0"/>
  </r>
  <r>
    <n v="196"/>
    <d v="2023-11-08T00:00:00"/>
    <x v="2"/>
    <x v="2"/>
    <s v="Chair"/>
    <n v="9"/>
    <n v="214.94"/>
    <n v="1934.46"/>
    <x v="6"/>
  </r>
  <r>
    <n v="197"/>
    <d v="2023-01-05T00:00:00"/>
    <x v="2"/>
    <x v="1"/>
    <s v="Pants"/>
    <n v="2"/>
    <n v="280.27999999999997"/>
    <n v="560.55999999999995"/>
    <x v="5"/>
  </r>
  <r>
    <n v="198"/>
    <d v="2023-03-06T00:00:00"/>
    <x v="3"/>
    <x v="1"/>
    <s v="Shirt"/>
    <n v="7"/>
    <n v="211.52"/>
    <n v="1480.64"/>
    <x v="4"/>
  </r>
  <r>
    <n v="199"/>
    <d v="2023-06-26T00:00:00"/>
    <x v="1"/>
    <x v="2"/>
    <s v="Cabinet"/>
    <n v="2"/>
    <n v="493.77"/>
    <n v="987.54"/>
    <x v="6"/>
  </r>
  <r>
    <n v="200"/>
    <d v="2023-08-05T00:00:00"/>
    <x v="1"/>
    <x v="2"/>
    <s v="Shelf"/>
    <n v="5"/>
    <n v="377.29"/>
    <n v="1886.45"/>
    <x v="3"/>
  </r>
  <r>
    <n v="201"/>
    <d v="2023-06-26T00:00:00"/>
    <x v="3"/>
    <x v="3"/>
    <s v="Cereal"/>
    <n v="6"/>
    <n v="416.29"/>
    <n v="2497.7399999999998"/>
    <x v="3"/>
  </r>
  <r>
    <n v="202"/>
    <d v="2023-04-09T00:00:00"/>
    <x v="3"/>
    <x v="1"/>
    <s v="Shoes"/>
    <n v="1"/>
    <n v="239.66"/>
    <n v="239.66"/>
    <x v="4"/>
  </r>
  <r>
    <n v="203"/>
    <d v="2023-11-07T00:00:00"/>
    <x v="1"/>
    <x v="0"/>
    <s v="Smartphone"/>
    <n v="1"/>
    <n v="16.7"/>
    <n v="16.7"/>
    <x v="5"/>
  </r>
  <r>
    <n v="204"/>
    <d v="2023-07-16T00:00:00"/>
    <x v="3"/>
    <x v="0"/>
    <s v="Headphones"/>
    <n v="6"/>
    <n v="348.94"/>
    <n v="2093.64"/>
    <x v="6"/>
  </r>
  <r>
    <n v="205"/>
    <d v="2023-01-23T00:00:00"/>
    <x v="2"/>
    <x v="3"/>
    <s v="Bread"/>
    <n v="5"/>
    <n v="498.35"/>
    <n v="2491.75"/>
    <x v="3"/>
  </r>
  <r>
    <n v="206"/>
    <d v="2023-07-21T00:00:00"/>
    <x v="0"/>
    <x v="2"/>
    <s v="Cabinet"/>
    <n v="5"/>
    <n v="365.8"/>
    <n v="1829"/>
    <x v="0"/>
  </r>
  <r>
    <n v="207"/>
    <d v="2023-03-19T00:00:00"/>
    <x v="0"/>
    <x v="0"/>
    <s v="Tablet"/>
    <n v="3"/>
    <n v="131.19999999999999"/>
    <n v="393.6"/>
    <x v="5"/>
  </r>
  <r>
    <n v="208"/>
    <d v="2023-02-20T00:00:00"/>
    <x v="3"/>
    <x v="2"/>
    <s v="Desk"/>
    <n v="9"/>
    <n v="73.290000000000006"/>
    <n v="659.61"/>
    <x v="1"/>
  </r>
  <r>
    <n v="209"/>
    <d v="2023-10-15T00:00:00"/>
    <x v="3"/>
    <x v="3"/>
    <s v="Milk"/>
    <n v="4"/>
    <n v="122.03"/>
    <n v="488.12"/>
    <x v="1"/>
  </r>
  <r>
    <n v="210"/>
    <d v="2023-03-13T00:00:00"/>
    <x v="3"/>
    <x v="2"/>
    <s v="Desk"/>
    <n v="2"/>
    <n v="185.5"/>
    <n v="371"/>
    <x v="2"/>
  </r>
  <r>
    <n v="211"/>
    <d v="2023-06-11T00:00:00"/>
    <x v="2"/>
    <x v="0"/>
    <s v="Laptop"/>
    <n v="7"/>
    <n v="339.07"/>
    <n v="2373.4899999999998"/>
    <x v="2"/>
  </r>
  <r>
    <n v="212"/>
    <d v="2023-11-02T00:00:00"/>
    <x v="3"/>
    <x v="3"/>
    <s v="Eggs"/>
    <n v="6"/>
    <n v="388.44"/>
    <n v="2330.64"/>
    <x v="4"/>
  </r>
  <r>
    <n v="213"/>
    <d v="2023-08-10T00:00:00"/>
    <x v="1"/>
    <x v="2"/>
    <s v="Cabinet"/>
    <n v="1"/>
    <n v="280.43"/>
    <n v="280.43"/>
    <x v="1"/>
  </r>
  <r>
    <n v="214"/>
    <d v="2023-09-12T00:00:00"/>
    <x v="1"/>
    <x v="2"/>
    <s v="Cabinet"/>
    <n v="9"/>
    <n v="299.08"/>
    <n v="2691.72"/>
    <x v="4"/>
  </r>
  <r>
    <n v="215"/>
    <d v="2023-12-07T00:00:00"/>
    <x v="2"/>
    <x v="1"/>
    <s v="Shirt"/>
    <n v="7"/>
    <n v="380.02"/>
    <n v="2660.14"/>
    <x v="2"/>
  </r>
  <r>
    <n v="216"/>
    <d v="2023-04-13T00:00:00"/>
    <x v="2"/>
    <x v="0"/>
    <s v="Headphones"/>
    <n v="2"/>
    <n v="404.47"/>
    <n v="808.94"/>
    <x v="6"/>
  </r>
  <r>
    <n v="217"/>
    <d v="2023-08-14T00:00:00"/>
    <x v="0"/>
    <x v="2"/>
    <s v="Desk"/>
    <n v="6"/>
    <n v="312.45999999999998"/>
    <n v="1874.76"/>
    <x v="5"/>
  </r>
  <r>
    <n v="218"/>
    <d v="2023-12-04T00:00:00"/>
    <x v="2"/>
    <x v="2"/>
    <s v="Desk"/>
    <n v="6"/>
    <n v="307.95999999999998"/>
    <n v="1847.76"/>
    <x v="0"/>
  </r>
  <r>
    <n v="219"/>
    <d v="2023-11-04T00:00:00"/>
    <x v="3"/>
    <x v="2"/>
    <s v="Chair"/>
    <n v="3"/>
    <n v="453.04"/>
    <n v="1359.12"/>
    <x v="1"/>
  </r>
  <r>
    <n v="220"/>
    <d v="2023-12-01T00:00:00"/>
    <x v="0"/>
    <x v="3"/>
    <s v="Cereal"/>
    <n v="9"/>
    <n v="261.85000000000002"/>
    <n v="2356.65"/>
    <x v="6"/>
  </r>
  <r>
    <n v="221"/>
    <d v="2023-03-22T00:00:00"/>
    <x v="3"/>
    <x v="1"/>
    <s v="Shirt"/>
    <n v="7"/>
    <n v="266.57"/>
    <n v="1865.99"/>
    <x v="1"/>
  </r>
  <r>
    <n v="222"/>
    <d v="2023-05-18T00:00:00"/>
    <x v="3"/>
    <x v="0"/>
    <s v="Tablet"/>
    <n v="5"/>
    <n v="400.27"/>
    <n v="2001.35"/>
    <x v="1"/>
  </r>
  <r>
    <n v="223"/>
    <d v="2023-09-30T00:00:00"/>
    <x v="1"/>
    <x v="3"/>
    <s v="Bread"/>
    <n v="8"/>
    <n v="422.62"/>
    <n v="3380.96"/>
    <x v="5"/>
  </r>
  <r>
    <n v="224"/>
    <d v="2023-02-03T00:00:00"/>
    <x v="2"/>
    <x v="1"/>
    <s v="Shirt"/>
    <n v="4"/>
    <n v="234.98"/>
    <n v="939.92"/>
    <x v="6"/>
  </r>
  <r>
    <n v="225"/>
    <d v="2023-07-24T00:00:00"/>
    <x v="3"/>
    <x v="3"/>
    <s v="Bread"/>
    <n v="6"/>
    <n v="251.38"/>
    <n v="1508.28"/>
    <x v="5"/>
  </r>
  <r>
    <n v="226"/>
    <d v="2023-05-31T00:00:00"/>
    <x v="0"/>
    <x v="2"/>
    <s v="Chair"/>
    <n v="3"/>
    <n v="273.26"/>
    <n v="819.78"/>
    <x v="6"/>
  </r>
  <r>
    <n v="227"/>
    <d v="2023-01-08T00:00:00"/>
    <x v="0"/>
    <x v="2"/>
    <s v="Shelf"/>
    <n v="7"/>
    <n v="296.54000000000002"/>
    <n v="2075.7800000000002"/>
    <x v="0"/>
  </r>
  <r>
    <n v="228"/>
    <d v="2023-07-03T00:00:00"/>
    <x v="0"/>
    <x v="0"/>
    <s v="Smartphone"/>
    <n v="4"/>
    <n v="99.12"/>
    <n v="396.48"/>
    <x v="4"/>
  </r>
  <r>
    <n v="229"/>
    <d v="2023-07-14T00:00:00"/>
    <x v="1"/>
    <x v="3"/>
    <s v="Cereal"/>
    <n v="9"/>
    <n v="449.43"/>
    <n v="4044.87"/>
    <x v="5"/>
  </r>
  <r>
    <n v="230"/>
    <d v="2023-02-20T00:00:00"/>
    <x v="1"/>
    <x v="1"/>
    <s v="Shoes"/>
    <n v="2"/>
    <n v="304.95"/>
    <n v="609.9"/>
    <x v="2"/>
  </r>
  <r>
    <n v="231"/>
    <d v="2023-04-02T00:00:00"/>
    <x v="3"/>
    <x v="1"/>
    <s v="Pants"/>
    <n v="3"/>
    <n v="412.68"/>
    <n v="1238.04"/>
    <x v="6"/>
  </r>
  <r>
    <n v="232"/>
    <d v="2023-01-01T00:00:00"/>
    <x v="0"/>
    <x v="1"/>
    <s v="Jacket"/>
    <n v="6"/>
    <n v="53.46"/>
    <n v="320.76"/>
    <x v="3"/>
  </r>
  <r>
    <n v="233"/>
    <d v="2023-12-12T00:00:00"/>
    <x v="2"/>
    <x v="2"/>
    <s v="Chair"/>
    <n v="5"/>
    <n v="235.78"/>
    <n v="1178.9000000000001"/>
    <x v="4"/>
  </r>
  <r>
    <n v="234"/>
    <d v="2023-08-06T00:00:00"/>
    <x v="3"/>
    <x v="3"/>
    <s v="Bread"/>
    <n v="2"/>
    <n v="73.09"/>
    <n v="146.18"/>
    <x v="3"/>
  </r>
  <r>
    <n v="235"/>
    <d v="2023-02-16T00:00:00"/>
    <x v="1"/>
    <x v="2"/>
    <s v="Desk"/>
    <n v="9"/>
    <n v="55.22"/>
    <n v="496.98"/>
    <x v="6"/>
  </r>
  <r>
    <n v="236"/>
    <d v="2023-02-25T00:00:00"/>
    <x v="2"/>
    <x v="0"/>
    <s v="Headphones"/>
    <n v="9"/>
    <n v="347.01"/>
    <n v="3123.09"/>
    <x v="3"/>
  </r>
  <r>
    <n v="237"/>
    <d v="2023-09-14T00:00:00"/>
    <x v="0"/>
    <x v="2"/>
    <s v="Shelf"/>
    <n v="1"/>
    <n v="145.66999999999999"/>
    <n v="145.66999999999999"/>
    <x v="0"/>
  </r>
  <r>
    <n v="238"/>
    <d v="2023-09-10T00:00:00"/>
    <x v="0"/>
    <x v="2"/>
    <s v="Cabinet"/>
    <n v="8"/>
    <n v="376.65"/>
    <n v="3013.2"/>
    <x v="4"/>
  </r>
  <r>
    <n v="239"/>
    <d v="2023-05-07T00:00:00"/>
    <x v="1"/>
    <x v="1"/>
    <s v="Jacket"/>
    <n v="4"/>
    <n v="112.58"/>
    <n v="450.32"/>
    <x v="2"/>
  </r>
  <r>
    <n v="240"/>
    <d v="2023-01-28T00:00:00"/>
    <x v="2"/>
    <x v="2"/>
    <s v="Cabinet"/>
    <n v="8"/>
    <n v="247.42"/>
    <n v="1979.36"/>
    <x v="0"/>
  </r>
  <r>
    <n v="241"/>
    <d v="2023-12-31T00:00:00"/>
    <x v="2"/>
    <x v="2"/>
    <s v="Desk"/>
    <n v="7"/>
    <n v="270.32"/>
    <n v="1892.24"/>
    <x v="4"/>
  </r>
  <r>
    <n v="242"/>
    <d v="2023-01-03T00:00:00"/>
    <x v="1"/>
    <x v="3"/>
    <s v="Eggs"/>
    <n v="8"/>
    <n v="75.23"/>
    <n v="601.84"/>
    <x v="4"/>
  </r>
  <r>
    <n v="243"/>
    <d v="2023-08-27T00:00:00"/>
    <x v="1"/>
    <x v="0"/>
    <s v="Headphones"/>
    <n v="7"/>
    <n v="260.72000000000003"/>
    <n v="1825.04"/>
    <x v="5"/>
  </r>
  <r>
    <n v="244"/>
    <d v="2023-08-15T00:00:00"/>
    <x v="3"/>
    <x v="1"/>
    <s v="Shoes"/>
    <n v="2"/>
    <n v="229.23"/>
    <n v="458.46"/>
    <x v="1"/>
  </r>
  <r>
    <n v="245"/>
    <d v="2023-04-29T00:00:00"/>
    <x v="2"/>
    <x v="1"/>
    <s v="Shoes"/>
    <n v="3"/>
    <n v="128.81"/>
    <n v="386.43"/>
    <x v="5"/>
  </r>
  <r>
    <n v="246"/>
    <d v="2023-02-08T00:00:00"/>
    <x v="0"/>
    <x v="0"/>
    <s v="Tablet"/>
    <n v="5"/>
    <n v="99.32"/>
    <n v="496.6"/>
    <x v="1"/>
  </r>
  <r>
    <n v="247"/>
    <d v="2023-03-27T00:00:00"/>
    <x v="3"/>
    <x v="0"/>
    <s v="Smartphone"/>
    <n v="9"/>
    <n v="421.95"/>
    <n v="3797.55"/>
    <x v="6"/>
  </r>
  <r>
    <n v="248"/>
    <d v="2023-07-31T00:00:00"/>
    <x v="0"/>
    <x v="3"/>
    <s v="Cereal"/>
    <n v="9"/>
    <n v="446.36"/>
    <n v="4017.24"/>
    <x v="3"/>
  </r>
  <r>
    <n v="249"/>
    <d v="2023-03-08T00:00:00"/>
    <x v="3"/>
    <x v="1"/>
    <s v="Jacket"/>
    <n v="9"/>
    <n v="342.76"/>
    <n v="3084.84"/>
    <x v="6"/>
  </r>
  <r>
    <n v="250"/>
    <d v="2023-04-21T00:00:00"/>
    <x v="0"/>
    <x v="3"/>
    <s v="Eggs"/>
    <n v="9"/>
    <n v="254.24"/>
    <n v="2288.16"/>
    <x v="1"/>
  </r>
  <r>
    <n v="251"/>
    <d v="2023-02-03T00:00:00"/>
    <x v="2"/>
    <x v="3"/>
    <s v="Milk"/>
    <n v="4"/>
    <n v="273.18"/>
    <n v="1092.72"/>
    <x v="2"/>
  </r>
  <r>
    <n v="252"/>
    <d v="2023-08-24T00:00:00"/>
    <x v="0"/>
    <x v="1"/>
    <s v="Pants"/>
    <n v="8"/>
    <n v="297.39999999999998"/>
    <n v="2379.1999999999998"/>
    <x v="1"/>
  </r>
  <r>
    <n v="253"/>
    <d v="2023-04-11T00:00:00"/>
    <x v="2"/>
    <x v="2"/>
    <s v="Cabinet"/>
    <n v="3"/>
    <n v="195.6"/>
    <n v="586.79999999999995"/>
    <x v="4"/>
  </r>
  <r>
    <n v="254"/>
    <d v="2023-11-16T00:00:00"/>
    <x v="0"/>
    <x v="1"/>
    <s v="Shirt"/>
    <n v="6"/>
    <n v="450.83"/>
    <n v="2704.98"/>
    <x v="1"/>
  </r>
  <r>
    <n v="255"/>
    <d v="2023-11-11T00:00:00"/>
    <x v="1"/>
    <x v="0"/>
    <s v="Laptop"/>
    <n v="2"/>
    <n v="129.72999999999999"/>
    <n v="259.45999999999998"/>
    <x v="2"/>
  </r>
  <r>
    <n v="256"/>
    <d v="2023-10-16T00:00:00"/>
    <x v="2"/>
    <x v="3"/>
    <s v="Milk"/>
    <n v="6"/>
    <n v="306.83"/>
    <n v="1840.98"/>
    <x v="6"/>
  </r>
  <r>
    <n v="257"/>
    <d v="2023-07-17T00:00:00"/>
    <x v="1"/>
    <x v="2"/>
    <s v="Desk"/>
    <n v="5"/>
    <n v="59.87"/>
    <n v="299.35000000000002"/>
    <x v="3"/>
  </r>
  <r>
    <n v="258"/>
    <d v="2023-01-04T00:00:00"/>
    <x v="0"/>
    <x v="1"/>
    <s v="Jacket"/>
    <n v="6"/>
    <n v="130.52000000000001"/>
    <n v="783.12000000000012"/>
    <x v="2"/>
  </r>
  <r>
    <n v="259"/>
    <d v="2023-09-04T00:00:00"/>
    <x v="2"/>
    <x v="2"/>
    <s v="Cabinet"/>
    <n v="8"/>
    <n v="449.42"/>
    <n v="3595.36"/>
    <x v="2"/>
  </r>
  <r>
    <n v="260"/>
    <d v="2023-02-09T00:00:00"/>
    <x v="0"/>
    <x v="1"/>
    <s v="Pants"/>
    <n v="3"/>
    <n v="267.01"/>
    <n v="801.03"/>
    <x v="2"/>
  </r>
  <r>
    <n v="261"/>
    <d v="2023-08-11T00:00:00"/>
    <x v="3"/>
    <x v="1"/>
    <s v="Shoes"/>
    <n v="5"/>
    <n v="491.37"/>
    <n v="2456.85"/>
    <x v="2"/>
  </r>
  <r>
    <n v="262"/>
    <d v="2023-08-08T00:00:00"/>
    <x v="3"/>
    <x v="3"/>
    <s v="Milk"/>
    <n v="6"/>
    <n v="204.95"/>
    <n v="1229.7"/>
    <x v="5"/>
  </r>
  <r>
    <n v="263"/>
    <d v="2023-04-28T00:00:00"/>
    <x v="2"/>
    <x v="0"/>
    <s v="Headphones"/>
    <n v="4"/>
    <n v="12.6"/>
    <n v="50.4"/>
    <x v="6"/>
  </r>
  <r>
    <n v="264"/>
    <d v="2023-03-03T00:00:00"/>
    <x v="2"/>
    <x v="3"/>
    <s v="Bread"/>
    <n v="1"/>
    <n v="250.47"/>
    <n v="250.47"/>
    <x v="1"/>
  </r>
  <r>
    <n v="265"/>
    <d v="2023-07-22T00:00:00"/>
    <x v="2"/>
    <x v="1"/>
    <s v="Shoes"/>
    <n v="9"/>
    <n v="362.04"/>
    <n v="3258.36"/>
    <x v="0"/>
  </r>
  <r>
    <n v="266"/>
    <d v="2023-06-22T00:00:00"/>
    <x v="0"/>
    <x v="2"/>
    <s v="Cabinet"/>
    <n v="8"/>
    <n v="243.54"/>
    <n v="1948.32"/>
    <x v="3"/>
  </r>
  <r>
    <n v="267"/>
    <d v="2023-04-28T00:00:00"/>
    <x v="1"/>
    <x v="0"/>
    <s v="Headphones"/>
    <n v="5"/>
    <n v="101.65"/>
    <n v="508.25"/>
    <x v="5"/>
  </r>
  <r>
    <n v="268"/>
    <d v="2023-08-13T00:00:00"/>
    <x v="1"/>
    <x v="1"/>
    <s v="Pants"/>
    <n v="4"/>
    <n v="218.46"/>
    <n v="873.84"/>
    <x v="4"/>
  </r>
  <r>
    <n v="269"/>
    <d v="2023-02-16T00:00:00"/>
    <x v="2"/>
    <x v="1"/>
    <s v="Shirt"/>
    <n v="4"/>
    <n v="128.78"/>
    <n v="515.12"/>
    <x v="5"/>
  </r>
  <r>
    <n v="270"/>
    <d v="2023-11-16T00:00:00"/>
    <x v="2"/>
    <x v="1"/>
    <s v="Jacket"/>
    <n v="1"/>
    <n v="309.2"/>
    <n v="309.2"/>
    <x v="2"/>
  </r>
  <r>
    <n v="271"/>
    <d v="2023-05-19T00:00:00"/>
    <x v="2"/>
    <x v="3"/>
    <s v="Cereal"/>
    <n v="6"/>
    <n v="294.81"/>
    <n v="1768.86"/>
    <x v="2"/>
  </r>
  <r>
    <n v="272"/>
    <d v="2023-09-16T00:00:00"/>
    <x v="3"/>
    <x v="1"/>
    <s v="Jacket"/>
    <n v="4"/>
    <n v="167.11"/>
    <n v="668.44"/>
    <x v="5"/>
  </r>
  <r>
    <n v="273"/>
    <d v="2023-01-10T00:00:00"/>
    <x v="2"/>
    <x v="2"/>
    <s v="Cabinet"/>
    <n v="1"/>
    <n v="190.92"/>
    <n v="190.92"/>
    <x v="3"/>
  </r>
  <r>
    <n v="274"/>
    <d v="2023-06-21T00:00:00"/>
    <x v="0"/>
    <x v="2"/>
    <s v="Shelf"/>
    <n v="5"/>
    <n v="41.05"/>
    <n v="205.25"/>
    <x v="1"/>
  </r>
  <r>
    <n v="275"/>
    <d v="2023-05-10T00:00:00"/>
    <x v="2"/>
    <x v="1"/>
    <s v="Jacket"/>
    <n v="2"/>
    <n v="167.95"/>
    <n v="335.9"/>
    <x v="4"/>
  </r>
  <r>
    <n v="276"/>
    <d v="2023-04-11T00:00:00"/>
    <x v="1"/>
    <x v="0"/>
    <s v="Smartphone"/>
    <n v="4"/>
    <n v="134.77000000000001"/>
    <n v="539.08000000000004"/>
    <x v="4"/>
  </r>
  <r>
    <n v="277"/>
    <d v="2023-02-07T00:00:00"/>
    <x v="1"/>
    <x v="0"/>
    <s v="Tablet"/>
    <n v="9"/>
    <n v="382.51"/>
    <n v="3442.59"/>
    <x v="3"/>
  </r>
  <r>
    <n v="278"/>
    <d v="2023-04-05T00:00:00"/>
    <x v="1"/>
    <x v="0"/>
    <s v="Smartphone"/>
    <n v="7"/>
    <n v="399.2"/>
    <n v="2794.4"/>
    <x v="0"/>
  </r>
  <r>
    <n v="279"/>
    <d v="2023-08-24T00:00:00"/>
    <x v="0"/>
    <x v="2"/>
    <s v="Shelf"/>
    <n v="1"/>
    <n v="426.86"/>
    <n v="426.86"/>
    <x v="2"/>
  </r>
  <r>
    <n v="280"/>
    <d v="2023-05-17T00:00:00"/>
    <x v="2"/>
    <x v="0"/>
    <s v="Headphones"/>
    <n v="2"/>
    <n v="70.91"/>
    <n v="141.82"/>
    <x v="2"/>
  </r>
  <r>
    <n v="281"/>
    <d v="2023-02-04T00:00:00"/>
    <x v="0"/>
    <x v="2"/>
    <s v="Cabinet"/>
    <n v="2"/>
    <n v="98.8"/>
    <n v="197.6"/>
    <x v="2"/>
  </r>
  <r>
    <n v="282"/>
    <d v="2023-03-01T00:00:00"/>
    <x v="3"/>
    <x v="0"/>
    <s v="Laptop"/>
    <n v="1"/>
    <n v="373.15"/>
    <n v="373.15"/>
    <x v="1"/>
  </r>
  <r>
    <n v="283"/>
    <d v="2023-08-17T00:00:00"/>
    <x v="3"/>
    <x v="0"/>
    <s v="Headphones"/>
    <n v="8"/>
    <n v="415.69"/>
    <n v="3325.52"/>
    <x v="0"/>
  </r>
  <r>
    <n v="284"/>
    <d v="2023-01-05T00:00:00"/>
    <x v="0"/>
    <x v="2"/>
    <s v="Chair"/>
    <n v="3"/>
    <n v="90.49"/>
    <n v="271.47000000000003"/>
    <x v="6"/>
  </r>
  <r>
    <n v="285"/>
    <d v="2023-03-03T00:00:00"/>
    <x v="3"/>
    <x v="3"/>
    <s v="Bread"/>
    <n v="3"/>
    <n v="335.95"/>
    <n v="1007.85"/>
    <x v="6"/>
  </r>
  <r>
    <n v="286"/>
    <d v="2023-02-11T00:00:00"/>
    <x v="2"/>
    <x v="1"/>
    <s v="Jacket"/>
    <n v="4"/>
    <n v="164.94"/>
    <n v="659.76"/>
    <x v="3"/>
  </r>
  <r>
    <n v="287"/>
    <d v="2023-11-24T00:00:00"/>
    <x v="2"/>
    <x v="0"/>
    <s v="Smartphone"/>
    <n v="9"/>
    <n v="344.66"/>
    <n v="3101.94"/>
    <x v="2"/>
  </r>
  <r>
    <n v="288"/>
    <d v="2023-10-15T00:00:00"/>
    <x v="3"/>
    <x v="2"/>
    <s v="Shelf"/>
    <n v="7"/>
    <n v="359.75"/>
    <n v="2518.25"/>
    <x v="4"/>
  </r>
  <r>
    <n v="289"/>
    <d v="2023-12-19T00:00:00"/>
    <x v="0"/>
    <x v="0"/>
    <s v="Smartphone"/>
    <n v="3"/>
    <n v="315.81"/>
    <n v="947.43000000000006"/>
    <x v="0"/>
  </r>
  <r>
    <n v="290"/>
    <d v="2023-06-02T00:00:00"/>
    <x v="2"/>
    <x v="3"/>
    <s v="Cereal"/>
    <n v="7"/>
    <n v="224.98"/>
    <n v="1574.86"/>
    <x v="2"/>
  </r>
  <r>
    <n v="291"/>
    <d v="2023-11-05T00:00:00"/>
    <x v="1"/>
    <x v="1"/>
    <s v="Shoes"/>
    <n v="1"/>
    <n v="450.79"/>
    <n v="450.79"/>
    <x v="5"/>
  </r>
  <r>
    <n v="292"/>
    <d v="2023-02-08T00:00:00"/>
    <x v="0"/>
    <x v="3"/>
    <s v="Bread"/>
    <n v="8"/>
    <n v="122.22"/>
    <n v="977.76"/>
    <x v="3"/>
  </r>
  <r>
    <n v="293"/>
    <d v="2023-03-08T00:00:00"/>
    <x v="1"/>
    <x v="3"/>
    <s v="Milk"/>
    <n v="3"/>
    <n v="221.45"/>
    <n v="664.34999999999991"/>
    <x v="5"/>
  </r>
  <r>
    <n v="294"/>
    <d v="2023-02-11T00:00:00"/>
    <x v="0"/>
    <x v="3"/>
    <s v="Cereal"/>
    <n v="7"/>
    <n v="367.97"/>
    <n v="2575.79"/>
    <x v="1"/>
  </r>
  <r>
    <n v="295"/>
    <d v="2023-06-06T00:00:00"/>
    <x v="1"/>
    <x v="3"/>
    <s v="Bread"/>
    <n v="4"/>
    <n v="399.07"/>
    <n v="1596.28"/>
    <x v="0"/>
  </r>
  <r>
    <n v="296"/>
    <d v="2023-08-19T00:00:00"/>
    <x v="1"/>
    <x v="3"/>
    <s v="Bread"/>
    <n v="1"/>
    <n v="271.39999999999998"/>
    <n v="271.39999999999998"/>
    <x v="2"/>
  </r>
  <r>
    <n v="297"/>
    <d v="2023-04-07T00:00:00"/>
    <x v="1"/>
    <x v="3"/>
    <s v="Eggs"/>
    <n v="4"/>
    <n v="498.87"/>
    <n v="1995.48"/>
    <x v="2"/>
  </r>
  <r>
    <n v="298"/>
    <d v="2023-10-16T00:00:00"/>
    <x v="2"/>
    <x v="2"/>
    <s v="Desk"/>
    <n v="5"/>
    <n v="391.5"/>
    <n v="1957.5"/>
    <x v="5"/>
  </r>
  <r>
    <n v="299"/>
    <d v="2023-01-10T00:00:00"/>
    <x v="1"/>
    <x v="3"/>
    <s v="Eggs"/>
    <n v="4"/>
    <n v="289.25"/>
    <n v="1157"/>
    <x v="0"/>
  </r>
  <r>
    <n v="300"/>
    <d v="2023-12-19T00:00:00"/>
    <x v="1"/>
    <x v="1"/>
    <s v="Jacket"/>
    <n v="5"/>
    <n v="439.62"/>
    <n v="2198.1"/>
    <x v="0"/>
  </r>
  <r>
    <n v="301"/>
    <d v="2023-06-08T00:00:00"/>
    <x v="2"/>
    <x v="1"/>
    <s v="Shirt"/>
    <n v="6"/>
    <n v="412.42"/>
    <n v="2474.52"/>
    <x v="5"/>
  </r>
  <r>
    <n v="302"/>
    <d v="2023-07-03T00:00:00"/>
    <x v="1"/>
    <x v="1"/>
    <s v="Pants"/>
    <n v="4"/>
    <n v="233.93"/>
    <n v="935.72"/>
    <x v="5"/>
  </r>
  <r>
    <n v="303"/>
    <d v="2023-02-16T00:00:00"/>
    <x v="3"/>
    <x v="0"/>
    <s v="Headphones"/>
    <n v="8"/>
    <n v="83.46"/>
    <n v="667.68"/>
    <x v="3"/>
  </r>
  <r>
    <n v="304"/>
    <d v="2023-05-10T00:00:00"/>
    <x v="3"/>
    <x v="0"/>
    <s v="Laptop"/>
    <n v="4"/>
    <n v="363.9"/>
    <n v="1455.6"/>
    <x v="0"/>
  </r>
  <r>
    <n v="305"/>
    <d v="2023-10-19T00:00:00"/>
    <x v="2"/>
    <x v="2"/>
    <s v="Cabinet"/>
    <n v="3"/>
    <n v="350.03"/>
    <n v="1050.0899999999999"/>
    <x v="4"/>
  </r>
  <r>
    <n v="306"/>
    <d v="2023-09-11T00:00:00"/>
    <x v="2"/>
    <x v="1"/>
    <s v="Shoes"/>
    <n v="5"/>
    <n v="415.13"/>
    <n v="2075.65"/>
    <x v="2"/>
  </r>
  <r>
    <n v="307"/>
    <d v="2023-07-19T00:00:00"/>
    <x v="2"/>
    <x v="3"/>
    <s v="Milk"/>
    <n v="8"/>
    <n v="295.86"/>
    <n v="2366.88"/>
    <x v="1"/>
  </r>
  <r>
    <n v="308"/>
    <d v="2023-10-29T00:00:00"/>
    <x v="0"/>
    <x v="3"/>
    <s v="Cereal"/>
    <n v="7"/>
    <n v="236.38"/>
    <n v="1654.66"/>
    <x v="0"/>
  </r>
  <r>
    <n v="309"/>
    <d v="2023-04-21T00:00:00"/>
    <x v="3"/>
    <x v="1"/>
    <s v="Shoes"/>
    <n v="8"/>
    <n v="257.89"/>
    <n v="2063.12"/>
    <x v="3"/>
  </r>
  <r>
    <n v="310"/>
    <d v="2023-12-22T00:00:00"/>
    <x v="2"/>
    <x v="1"/>
    <s v="Shirt"/>
    <n v="8"/>
    <n v="437.34"/>
    <n v="3498.72"/>
    <x v="2"/>
  </r>
  <r>
    <n v="311"/>
    <d v="2023-10-20T00:00:00"/>
    <x v="0"/>
    <x v="2"/>
    <s v="Chair"/>
    <n v="4"/>
    <n v="397.14"/>
    <n v="1588.56"/>
    <x v="6"/>
  </r>
  <r>
    <n v="312"/>
    <d v="2023-04-02T00:00:00"/>
    <x v="2"/>
    <x v="2"/>
    <s v="Cabinet"/>
    <n v="8"/>
    <n v="329.17"/>
    <n v="2633.36"/>
    <x v="4"/>
  </r>
  <r>
    <n v="313"/>
    <d v="2023-01-29T00:00:00"/>
    <x v="0"/>
    <x v="2"/>
    <s v="Cabinet"/>
    <n v="9"/>
    <n v="217.82"/>
    <n v="1960.38"/>
    <x v="0"/>
  </r>
  <r>
    <n v="314"/>
    <d v="2023-09-24T00:00:00"/>
    <x v="0"/>
    <x v="1"/>
    <s v="Shirt"/>
    <n v="8"/>
    <n v="421.82"/>
    <n v="3374.56"/>
    <x v="4"/>
  </r>
  <r>
    <n v="315"/>
    <d v="2023-04-11T00:00:00"/>
    <x v="0"/>
    <x v="1"/>
    <s v="Shirt"/>
    <n v="7"/>
    <n v="70.180000000000007"/>
    <n v="491.26"/>
    <x v="4"/>
  </r>
  <r>
    <n v="316"/>
    <d v="2023-07-01T00:00:00"/>
    <x v="2"/>
    <x v="3"/>
    <s v="Eggs"/>
    <n v="5"/>
    <n v="91.11"/>
    <n v="455.55"/>
    <x v="6"/>
  </r>
  <r>
    <n v="317"/>
    <d v="2023-11-15T00:00:00"/>
    <x v="1"/>
    <x v="1"/>
    <s v="Jacket"/>
    <n v="7"/>
    <n v="461.21"/>
    <n v="3228.47"/>
    <x v="6"/>
  </r>
  <r>
    <n v="318"/>
    <d v="2023-05-29T00:00:00"/>
    <x v="2"/>
    <x v="3"/>
    <s v="Bread"/>
    <n v="6"/>
    <n v="264.23"/>
    <n v="1585.38"/>
    <x v="3"/>
  </r>
  <r>
    <n v="319"/>
    <d v="2023-07-21T00:00:00"/>
    <x v="3"/>
    <x v="2"/>
    <s v="Chair"/>
    <n v="9"/>
    <n v="374.68"/>
    <n v="3372.12"/>
    <x v="1"/>
  </r>
  <r>
    <n v="320"/>
    <d v="2023-06-03T00:00:00"/>
    <x v="3"/>
    <x v="0"/>
    <s v="Headphones"/>
    <n v="4"/>
    <n v="396.02"/>
    <n v="1584.08"/>
    <x v="0"/>
  </r>
  <r>
    <n v="321"/>
    <d v="2023-09-01T00:00:00"/>
    <x v="0"/>
    <x v="1"/>
    <s v="Shoes"/>
    <n v="9"/>
    <n v="65.989999999999995"/>
    <n v="593.91"/>
    <x v="5"/>
  </r>
  <r>
    <n v="322"/>
    <d v="2023-10-21T00:00:00"/>
    <x v="3"/>
    <x v="3"/>
    <s v="Cereal"/>
    <n v="9"/>
    <n v="433.12"/>
    <n v="3898.08"/>
    <x v="1"/>
  </r>
  <r>
    <n v="323"/>
    <d v="2023-12-13T00:00:00"/>
    <x v="2"/>
    <x v="3"/>
    <s v="Eggs"/>
    <n v="2"/>
    <n v="238.19"/>
    <n v="476.38"/>
    <x v="4"/>
  </r>
  <r>
    <n v="324"/>
    <d v="2023-12-30T00:00:00"/>
    <x v="2"/>
    <x v="0"/>
    <s v="Headphones"/>
    <n v="1"/>
    <n v="297.66000000000003"/>
    <n v="297.66000000000003"/>
    <x v="0"/>
  </r>
  <r>
    <n v="325"/>
    <d v="2023-01-25T00:00:00"/>
    <x v="1"/>
    <x v="3"/>
    <s v="Bread"/>
    <n v="3"/>
    <n v="131.63"/>
    <n v="394.89"/>
    <x v="6"/>
  </r>
  <r>
    <n v="326"/>
    <d v="2023-12-10T00:00:00"/>
    <x v="3"/>
    <x v="3"/>
    <s v="Bread"/>
    <n v="7"/>
    <n v="91.1"/>
    <n v="637.69999999999993"/>
    <x v="2"/>
  </r>
  <r>
    <n v="327"/>
    <d v="2023-03-04T00:00:00"/>
    <x v="1"/>
    <x v="2"/>
    <s v="Desk"/>
    <n v="1"/>
    <n v="187.57"/>
    <n v="187.57"/>
    <x v="0"/>
  </r>
  <r>
    <n v="328"/>
    <d v="2023-02-18T00:00:00"/>
    <x v="3"/>
    <x v="3"/>
    <s v="Cereal"/>
    <n v="6"/>
    <n v="117.85"/>
    <n v="707.09999999999991"/>
    <x v="1"/>
  </r>
  <r>
    <n v="329"/>
    <d v="2023-12-27T00:00:00"/>
    <x v="1"/>
    <x v="2"/>
    <s v="Cabinet"/>
    <n v="7"/>
    <n v="488.02"/>
    <n v="3416.14"/>
    <x v="1"/>
  </r>
  <r>
    <n v="330"/>
    <d v="2023-12-08T00:00:00"/>
    <x v="3"/>
    <x v="0"/>
    <s v="Headphones"/>
    <n v="1"/>
    <n v="283.08"/>
    <n v="283.08"/>
    <x v="2"/>
  </r>
  <r>
    <n v="331"/>
    <d v="2023-09-14T00:00:00"/>
    <x v="1"/>
    <x v="0"/>
    <s v="Smartphone"/>
    <n v="8"/>
    <n v="256.08"/>
    <n v="2048.64"/>
    <x v="5"/>
  </r>
  <r>
    <n v="332"/>
    <d v="2023-07-30T00:00:00"/>
    <x v="0"/>
    <x v="2"/>
    <s v="Chair"/>
    <n v="7"/>
    <n v="219.13"/>
    <n v="1533.91"/>
    <x v="4"/>
  </r>
  <r>
    <n v="333"/>
    <d v="2023-10-13T00:00:00"/>
    <x v="2"/>
    <x v="2"/>
    <s v="Shelf"/>
    <n v="1"/>
    <n v="27.91"/>
    <n v="27.91"/>
    <x v="1"/>
  </r>
  <r>
    <n v="334"/>
    <d v="2023-09-14T00:00:00"/>
    <x v="0"/>
    <x v="0"/>
    <s v="Laptop"/>
    <n v="8"/>
    <n v="297.85000000000002"/>
    <n v="2382.8000000000002"/>
    <x v="4"/>
  </r>
  <r>
    <n v="335"/>
    <d v="2023-07-13T00:00:00"/>
    <x v="3"/>
    <x v="3"/>
    <s v="Eggs"/>
    <n v="3"/>
    <n v="232.11"/>
    <n v="696.33"/>
    <x v="1"/>
  </r>
  <r>
    <n v="336"/>
    <d v="2023-04-24T00:00:00"/>
    <x v="1"/>
    <x v="2"/>
    <s v="Chair"/>
    <n v="6"/>
    <n v="225.97"/>
    <n v="1355.82"/>
    <x v="5"/>
  </r>
  <r>
    <n v="337"/>
    <d v="2023-05-12T00:00:00"/>
    <x v="0"/>
    <x v="0"/>
    <s v="Laptop"/>
    <n v="6"/>
    <n v="385.02"/>
    <n v="2310.12"/>
    <x v="4"/>
  </r>
  <r>
    <n v="338"/>
    <d v="2023-02-24T00:00:00"/>
    <x v="0"/>
    <x v="0"/>
    <s v="Laptop"/>
    <n v="1"/>
    <n v="173.84"/>
    <n v="173.84"/>
    <x v="2"/>
  </r>
  <r>
    <n v="339"/>
    <d v="2023-09-23T00:00:00"/>
    <x v="3"/>
    <x v="0"/>
    <s v="Tablet"/>
    <n v="7"/>
    <n v="379.09"/>
    <n v="2653.63"/>
    <x v="1"/>
  </r>
  <r>
    <n v="340"/>
    <d v="2023-03-28T00:00:00"/>
    <x v="2"/>
    <x v="2"/>
    <s v="Chair"/>
    <n v="3"/>
    <n v="325.56"/>
    <n v="976.68000000000006"/>
    <x v="0"/>
  </r>
  <r>
    <n v="341"/>
    <d v="2023-06-27T00:00:00"/>
    <x v="1"/>
    <x v="3"/>
    <s v="Cereal"/>
    <n v="7"/>
    <n v="86.51"/>
    <n v="605.57000000000005"/>
    <x v="5"/>
  </r>
  <r>
    <n v="342"/>
    <d v="2023-11-17T00:00:00"/>
    <x v="2"/>
    <x v="0"/>
    <s v="Smartphone"/>
    <n v="7"/>
    <n v="332.87"/>
    <n v="2330.09"/>
    <x v="3"/>
  </r>
  <r>
    <n v="343"/>
    <d v="2023-09-12T00:00:00"/>
    <x v="0"/>
    <x v="2"/>
    <s v="Chair"/>
    <n v="9"/>
    <n v="118.77"/>
    <n v="1068.93"/>
    <x v="4"/>
  </r>
  <r>
    <n v="344"/>
    <d v="2023-08-27T00:00:00"/>
    <x v="3"/>
    <x v="0"/>
    <s v="Tablet"/>
    <n v="8"/>
    <n v="61.01"/>
    <n v="488.08"/>
    <x v="5"/>
  </r>
  <r>
    <n v="345"/>
    <d v="2023-04-07T00:00:00"/>
    <x v="3"/>
    <x v="1"/>
    <s v="Shirt"/>
    <n v="5"/>
    <n v="97.49"/>
    <n v="487.45"/>
    <x v="5"/>
  </r>
  <r>
    <n v="346"/>
    <d v="2023-04-06T00:00:00"/>
    <x v="3"/>
    <x v="1"/>
    <s v="Shirt"/>
    <n v="8"/>
    <n v="58.73"/>
    <n v="469.84"/>
    <x v="3"/>
  </r>
  <r>
    <n v="347"/>
    <d v="2023-04-30T00:00:00"/>
    <x v="3"/>
    <x v="1"/>
    <s v="Shoes"/>
    <n v="8"/>
    <n v="363.91"/>
    <n v="2911.28"/>
    <x v="4"/>
  </r>
  <r>
    <n v="348"/>
    <d v="2023-07-01T00:00:00"/>
    <x v="2"/>
    <x v="0"/>
    <s v="Smartphone"/>
    <n v="4"/>
    <n v="472.76"/>
    <n v="1891.04"/>
    <x v="6"/>
  </r>
  <r>
    <n v="349"/>
    <d v="2023-11-07T00:00:00"/>
    <x v="3"/>
    <x v="2"/>
    <s v="Cabinet"/>
    <n v="5"/>
    <n v="209.13"/>
    <n v="1045.6500000000001"/>
    <x v="5"/>
  </r>
  <r>
    <n v="350"/>
    <d v="2023-09-20T00:00:00"/>
    <x v="3"/>
    <x v="1"/>
    <s v="Jacket"/>
    <n v="2"/>
    <n v="16.37"/>
    <n v="32.74"/>
    <x v="0"/>
  </r>
  <r>
    <n v="351"/>
    <d v="2023-05-27T00:00:00"/>
    <x v="1"/>
    <x v="3"/>
    <s v="Eggs"/>
    <n v="1"/>
    <n v="111.86"/>
    <n v="111.86"/>
    <x v="4"/>
  </r>
  <r>
    <n v="352"/>
    <d v="2023-07-07T00:00:00"/>
    <x v="0"/>
    <x v="1"/>
    <s v="Jacket"/>
    <n v="3"/>
    <n v="295.69"/>
    <n v="887.06999999999994"/>
    <x v="1"/>
  </r>
  <r>
    <n v="353"/>
    <d v="2023-10-30T00:00:00"/>
    <x v="1"/>
    <x v="0"/>
    <s v="Tablet"/>
    <n v="2"/>
    <n v="447.41"/>
    <n v="894.82"/>
    <x v="2"/>
  </r>
  <r>
    <n v="354"/>
    <d v="2023-08-22T00:00:00"/>
    <x v="3"/>
    <x v="2"/>
    <s v="Chair"/>
    <n v="5"/>
    <n v="177.49"/>
    <n v="887.45"/>
    <x v="0"/>
  </r>
  <r>
    <n v="355"/>
    <d v="2023-04-29T00:00:00"/>
    <x v="0"/>
    <x v="1"/>
    <s v="Shoes"/>
    <n v="2"/>
    <n v="187.9"/>
    <n v="375.8"/>
    <x v="2"/>
  </r>
  <r>
    <n v="356"/>
    <d v="2023-09-13T00:00:00"/>
    <x v="1"/>
    <x v="1"/>
    <s v="Pants"/>
    <n v="4"/>
    <n v="315.83"/>
    <n v="1263.32"/>
    <x v="4"/>
  </r>
  <r>
    <n v="357"/>
    <d v="2023-12-21T00:00:00"/>
    <x v="2"/>
    <x v="2"/>
    <s v="Cabinet"/>
    <n v="9"/>
    <n v="223.7"/>
    <n v="2013.3"/>
    <x v="3"/>
  </r>
  <r>
    <n v="358"/>
    <d v="2023-12-30T00:00:00"/>
    <x v="2"/>
    <x v="1"/>
    <s v="Jacket"/>
    <n v="4"/>
    <n v="487.53"/>
    <n v="1950.12"/>
    <x v="1"/>
  </r>
  <r>
    <n v="359"/>
    <d v="2023-06-07T00:00:00"/>
    <x v="2"/>
    <x v="3"/>
    <s v="Cereal"/>
    <n v="8"/>
    <n v="65.98"/>
    <n v="527.84"/>
    <x v="1"/>
  </r>
  <r>
    <n v="360"/>
    <d v="2023-08-03T00:00:00"/>
    <x v="1"/>
    <x v="3"/>
    <s v="Bread"/>
    <n v="8"/>
    <n v="492.83"/>
    <n v="3942.64"/>
    <x v="5"/>
  </r>
  <r>
    <n v="361"/>
    <d v="2023-07-28T00:00:00"/>
    <x v="2"/>
    <x v="3"/>
    <s v="Eggs"/>
    <n v="1"/>
    <n v="247.54"/>
    <n v="247.54"/>
    <x v="1"/>
  </r>
  <r>
    <n v="362"/>
    <d v="2023-08-25T00:00:00"/>
    <x v="2"/>
    <x v="2"/>
    <s v="Shelf"/>
    <n v="9"/>
    <n v="275.39999999999998"/>
    <n v="2478.6"/>
    <x v="1"/>
  </r>
  <r>
    <n v="363"/>
    <d v="2023-09-03T00:00:00"/>
    <x v="0"/>
    <x v="3"/>
    <s v="Milk"/>
    <n v="9"/>
    <n v="136.36000000000001"/>
    <n v="1227.24"/>
    <x v="3"/>
  </r>
  <r>
    <n v="364"/>
    <d v="2023-01-04T00:00:00"/>
    <x v="0"/>
    <x v="3"/>
    <s v="Cereal"/>
    <n v="6"/>
    <n v="419.12"/>
    <n v="2514.7199999999998"/>
    <x v="1"/>
  </r>
  <r>
    <n v="365"/>
    <d v="2023-03-16T00:00:00"/>
    <x v="1"/>
    <x v="2"/>
    <s v="Cabinet"/>
    <n v="2"/>
    <n v="143.43"/>
    <n v="286.86"/>
    <x v="5"/>
  </r>
  <r>
    <n v="366"/>
    <d v="2023-12-07T00:00:00"/>
    <x v="1"/>
    <x v="0"/>
    <s v="Laptop"/>
    <n v="6"/>
    <n v="458.01"/>
    <n v="2748.06"/>
    <x v="3"/>
  </r>
  <r>
    <n v="367"/>
    <d v="2023-02-03T00:00:00"/>
    <x v="3"/>
    <x v="0"/>
    <s v="Headphones"/>
    <n v="4"/>
    <n v="254.06"/>
    <n v="1016.24"/>
    <x v="0"/>
  </r>
  <r>
    <n v="368"/>
    <d v="2023-03-17T00:00:00"/>
    <x v="0"/>
    <x v="3"/>
    <s v="Cereal"/>
    <n v="1"/>
    <n v="208.57"/>
    <n v="208.57"/>
    <x v="2"/>
  </r>
  <r>
    <n v="369"/>
    <d v="2023-12-08T00:00:00"/>
    <x v="2"/>
    <x v="0"/>
    <s v="Smartphone"/>
    <n v="7"/>
    <n v="62.22"/>
    <n v="435.54"/>
    <x v="0"/>
  </r>
  <r>
    <n v="370"/>
    <d v="2023-10-14T00:00:00"/>
    <x v="3"/>
    <x v="0"/>
    <s v="Smartphone"/>
    <n v="5"/>
    <n v="139.21"/>
    <n v="696.05000000000007"/>
    <x v="6"/>
  </r>
  <r>
    <n v="371"/>
    <d v="2023-04-08T00:00:00"/>
    <x v="3"/>
    <x v="0"/>
    <s v="Tablet"/>
    <n v="6"/>
    <n v="368.77"/>
    <n v="2212.62"/>
    <x v="3"/>
  </r>
  <r>
    <n v="372"/>
    <d v="2023-06-22T00:00:00"/>
    <x v="0"/>
    <x v="2"/>
    <s v="Cabinet"/>
    <n v="9"/>
    <n v="252.19"/>
    <n v="2269.71"/>
    <x v="6"/>
  </r>
  <r>
    <n v="373"/>
    <d v="2023-07-09T00:00:00"/>
    <x v="3"/>
    <x v="1"/>
    <s v="Shoes"/>
    <n v="1"/>
    <n v="215.2"/>
    <n v="215.2"/>
    <x v="1"/>
  </r>
  <r>
    <n v="374"/>
    <d v="2023-12-29T00:00:00"/>
    <x v="0"/>
    <x v="3"/>
    <s v="Eggs"/>
    <n v="2"/>
    <n v="91.48"/>
    <n v="182.96"/>
    <x v="4"/>
  </r>
  <r>
    <n v="375"/>
    <d v="2023-10-19T00:00:00"/>
    <x v="1"/>
    <x v="0"/>
    <s v="Laptop"/>
    <n v="1"/>
    <n v="50.57"/>
    <n v="50.57"/>
    <x v="4"/>
  </r>
  <r>
    <n v="376"/>
    <d v="2023-05-29T00:00:00"/>
    <x v="2"/>
    <x v="3"/>
    <s v="Bread"/>
    <n v="3"/>
    <n v="130.22"/>
    <n v="390.66"/>
    <x v="3"/>
  </r>
  <r>
    <n v="377"/>
    <d v="2023-06-13T00:00:00"/>
    <x v="0"/>
    <x v="2"/>
    <s v="Desk"/>
    <n v="8"/>
    <n v="224.22"/>
    <n v="1793.76"/>
    <x v="0"/>
  </r>
  <r>
    <n v="378"/>
    <d v="2023-08-20T00:00:00"/>
    <x v="1"/>
    <x v="3"/>
    <s v="Eggs"/>
    <n v="1"/>
    <n v="363.55"/>
    <n v="363.55"/>
    <x v="5"/>
  </r>
  <r>
    <n v="379"/>
    <d v="2023-02-24T00:00:00"/>
    <x v="2"/>
    <x v="1"/>
    <s v="Jacket"/>
    <n v="3"/>
    <n v="475.16"/>
    <n v="1425.48"/>
    <x v="3"/>
  </r>
  <r>
    <n v="380"/>
    <d v="2023-03-10T00:00:00"/>
    <x v="2"/>
    <x v="0"/>
    <s v="Headphones"/>
    <n v="8"/>
    <n v="469.05"/>
    <n v="3752.4"/>
    <x v="4"/>
  </r>
  <r>
    <n v="381"/>
    <d v="2023-02-05T00:00:00"/>
    <x v="1"/>
    <x v="3"/>
    <s v="Milk"/>
    <n v="8"/>
    <n v="115.32"/>
    <n v="922.56"/>
    <x v="0"/>
  </r>
  <r>
    <n v="382"/>
    <d v="2023-09-01T00:00:00"/>
    <x v="2"/>
    <x v="2"/>
    <s v="Desk"/>
    <n v="4"/>
    <n v="89.39"/>
    <n v="357.56"/>
    <x v="5"/>
  </r>
  <r>
    <n v="383"/>
    <d v="2023-12-31T00:00:00"/>
    <x v="0"/>
    <x v="0"/>
    <s v="Laptop"/>
    <n v="1"/>
    <n v="253.22"/>
    <n v="253.22"/>
    <x v="1"/>
  </r>
  <r>
    <n v="384"/>
    <d v="2023-03-14T00:00:00"/>
    <x v="1"/>
    <x v="2"/>
    <s v="Chair"/>
    <n v="2"/>
    <n v="315.43"/>
    <n v="630.86"/>
    <x v="3"/>
  </r>
  <r>
    <n v="385"/>
    <d v="2023-05-09T00:00:00"/>
    <x v="2"/>
    <x v="2"/>
    <s v="Cabinet"/>
    <n v="9"/>
    <n v="182.25"/>
    <n v="1640.25"/>
    <x v="4"/>
  </r>
  <r>
    <n v="386"/>
    <d v="2023-04-14T00:00:00"/>
    <x v="3"/>
    <x v="1"/>
    <s v="Pants"/>
    <n v="9"/>
    <n v="355.41"/>
    <n v="3198.69"/>
    <x v="5"/>
  </r>
  <r>
    <n v="387"/>
    <d v="2023-05-11T00:00:00"/>
    <x v="3"/>
    <x v="0"/>
    <s v="Headphones"/>
    <n v="9"/>
    <n v="130.74"/>
    <n v="1176.6600000000001"/>
    <x v="6"/>
  </r>
  <r>
    <n v="388"/>
    <d v="2023-06-21T00:00:00"/>
    <x v="1"/>
    <x v="0"/>
    <s v="Smartphone"/>
    <n v="2"/>
    <n v="401.71"/>
    <n v="803.42"/>
    <x v="4"/>
  </r>
  <r>
    <n v="389"/>
    <d v="2023-12-20T00:00:00"/>
    <x v="2"/>
    <x v="1"/>
    <s v="Shoes"/>
    <n v="3"/>
    <n v="143.35"/>
    <n v="430.05"/>
    <x v="5"/>
  </r>
  <r>
    <n v="390"/>
    <d v="2023-11-01T00:00:00"/>
    <x v="3"/>
    <x v="1"/>
    <s v="Jacket"/>
    <n v="3"/>
    <n v="164.15"/>
    <n v="492.45"/>
    <x v="5"/>
  </r>
  <r>
    <n v="391"/>
    <d v="2023-11-07T00:00:00"/>
    <x v="2"/>
    <x v="2"/>
    <s v="Cabinet"/>
    <n v="1"/>
    <n v="475.62"/>
    <n v="475.62"/>
    <x v="5"/>
  </r>
  <r>
    <n v="392"/>
    <d v="2023-11-14T00:00:00"/>
    <x v="3"/>
    <x v="3"/>
    <s v="Milk"/>
    <n v="1"/>
    <n v="100.72"/>
    <n v="100.72"/>
    <x v="4"/>
  </r>
  <r>
    <n v="393"/>
    <d v="2023-05-29T00:00:00"/>
    <x v="1"/>
    <x v="1"/>
    <s v="Shirt"/>
    <n v="8"/>
    <n v="381.61"/>
    <n v="3052.88"/>
    <x v="0"/>
  </r>
  <r>
    <n v="394"/>
    <d v="2023-07-17T00:00:00"/>
    <x v="1"/>
    <x v="2"/>
    <s v="Desk"/>
    <n v="1"/>
    <n v="332.8"/>
    <n v="332.8"/>
    <x v="5"/>
  </r>
  <r>
    <n v="395"/>
    <d v="2023-03-30T00:00:00"/>
    <x v="1"/>
    <x v="2"/>
    <s v="Cabinet"/>
    <n v="8"/>
    <n v="132.34"/>
    <n v="1058.72"/>
    <x v="0"/>
  </r>
  <r>
    <n v="396"/>
    <d v="2023-02-16T00:00:00"/>
    <x v="2"/>
    <x v="0"/>
    <s v="Laptop"/>
    <n v="9"/>
    <n v="472.59"/>
    <n v="4253.3099999999986"/>
    <x v="0"/>
  </r>
  <r>
    <n v="397"/>
    <d v="2023-10-09T00:00:00"/>
    <x v="0"/>
    <x v="2"/>
    <s v="Desk"/>
    <n v="7"/>
    <n v="499.68"/>
    <n v="3497.76"/>
    <x v="5"/>
  </r>
  <r>
    <n v="398"/>
    <d v="2023-09-27T00:00:00"/>
    <x v="0"/>
    <x v="3"/>
    <s v="Bread"/>
    <n v="5"/>
    <n v="241.87"/>
    <n v="1209.3499999999999"/>
    <x v="4"/>
  </r>
  <r>
    <n v="399"/>
    <d v="2023-06-25T00:00:00"/>
    <x v="1"/>
    <x v="1"/>
    <s v="Shirt"/>
    <n v="5"/>
    <n v="368.2"/>
    <n v="1841"/>
    <x v="1"/>
  </r>
  <r>
    <n v="400"/>
    <d v="2023-08-03T00:00:00"/>
    <x v="0"/>
    <x v="0"/>
    <s v="Smartphone"/>
    <n v="8"/>
    <n v="485.82"/>
    <n v="3886.56"/>
    <x v="5"/>
  </r>
  <r>
    <n v="401"/>
    <d v="2023-04-13T00:00:00"/>
    <x v="1"/>
    <x v="3"/>
    <s v="Eggs"/>
    <n v="2"/>
    <n v="375.08"/>
    <n v="750.16"/>
    <x v="6"/>
  </r>
  <r>
    <n v="402"/>
    <d v="2023-06-01T00:00:00"/>
    <x v="2"/>
    <x v="1"/>
    <s v="Jacket"/>
    <n v="1"/>
    <n v="328.58"/>
    <n v="328.58"/>
    <x v="4"/>
  </r>
  <r>
    <n v="403"/>
    <d v="2023-10-28T00:00:00"/>
    <x v="2"/>
    <x v="2"/>
    <s v="Chair"/>
    <n v="3"/>
    <n v="284.73"/>
    <n v="854.19"/>
    <x v="5"/>
  </r>
  <r>
    <n v="404"/>
    <d v="2023-06-20T00:00:00"/>
    <x v="2"/>
    <x v="2"/>
    <s v="Chair"/>
    <n v="2"/>
    <n v="443.65"/>
    <n v="887.3"/>
    <x v="2"/>
  </r>
  <r>
    <n v="405"/>
    <d v="2023-12-30T00:00:00"/>
    <x v="2"/>
    <x v="3"/>
    <s v="Eggs"/>
    <n v="8"/>
    <n v="226.11"/>
    <n v="1808.88"/>
    <x v="1"/>
  </r>
  <r>
    <n v="406"/>
    <d v="2023-01-04T00:00:00"/>
    <x v="2"/>
    <x v="0"/>
    <s v="Headphones"/>
    <n v="7"/>
    <n v="164.49"/>
    <n v="1151.43"/>
    <x v="3"/>
  </r>
  <r>
    <n v="407"/>
    <d v="2023-07-29T00:00:00"/>
    <x v="2"/>
    <x v="2"/>
    <s v="Cabinet"/>
    <n v="6"/>
    <n v="166.19"/>
    <n v="997.14"/>
    <x v="3"/>
  </r>
  <r>
    <n v="408"/>
    <d v="2023-04-18T00:00:00"/>
    <x v="0"/>
    <x v="2"/>
    <s v="Desk"/>
    <n v="1"/>
    <n v="444.13"/>
    <n v="444.13"/>
    <x v="6"/>
  </r>
  <r>
    <n v="409"/>
    <d v="2023-06-19T00:00:00"/>
    <x v="3"/>
    <x v="2"/>
    <s v="Cabinet"/>
    <n v="2"/>
    <n v="21.96"/>
    <n v="43.92"/>
    <x v="1"/>
  </r>
  <r>
    <n v="410"/>
    <d v="2023-09-04T00:00:00"/>
    <x v="1"/>
    <x v="0"/>
    <s v="Smartphone"/>
    <n v="2"/>
    <n v="20.420000000000002"/>
    <n v="40.840000000000003"/>
    <x v="0"/>
  </r>
  <r>
    <n v="411"/>
    <d v="2023-08-15T00:00:00"/>
    <x v="3"/>
    <x v="0"/>
    <s v="Tablet"/>
    <n v="2"/>
    <n v="470.14"/>
    <n v="940.28"/>
    <x v="3"/>
  </r>
  <r>
    <n v="412"/>
    <d v="2023-01-29T00:00:00"/>
    <x v="0"/>
    <x v="0"/>
    <s v="Headphones"/>
    <n v="7"/>
    <n v="14.65"/>
    <n v="102.55"/>
    <x v="5"/>
  </r>
  <r>
    <n v="413"/>
    <d v="2023-09-02T00:00:00"/>
    <x v="3"/>
    <x v="0"/>
    <s v="Tablet"/>
    <n v="1"/>
    <n v="206.95"/>
    <n v="206.95"/>
    <x v="5"/>
  </r>
  <r>
    <n v="414"/>
    <d v="2023-08-24T00:00:00"/>
    <x v="2"/>
    <x v="0"/>
    <s v="Tablet"/>
    <n v="9"/>
    <n v="294.57"/>
    <n v="2651.13"/>
    <x v="2"/>
  </r>
  <r>
    <n v="415"/>
    <d v="2023-12-25T00:00:00"/>
    <x v="0"/>
    <x v="1"/>
    <s v="Jacket"/>
    <n v="9"/>
    <n v="386.45"/>
    <n v="3478.05"/>
    <x v="3"/>
  </r>
  <r>
    <n v="416"/>
    <d v="2023-06-26T00:00:00"/>
    <x v="1"/>
    <x v="2"/>
    <s v="Shelf"/>
    <n v="4"/>
    <n v="371.42"/>
    <n v="1485.68"/>
    <x v="0"/>
  </r>
  <r>
    <n v="417"/>
    <d v="2023-06-07T00:00:00"/>
    <x v="3"/>
    <x v="2"/>
    <s v="Cabinet"/>
    <n v="3"/>
    <n v="238.98"/>
    <n v="716.93999999999994"/>
    <x v="1"/>
  </r>
  <r>
    <n v="418"/>
    <d v="2023-10-20T00:00:00"/>
    <x v="3"/>
    <x v="0"/>
    <s v="Laptop"/>
    <n v="2"/>
    <n v="155.19"/>
    <n v="310.38"/>
    <x v="5"/>
  </r>
  <r>
    <n v="419"/>
    <d v="2023-03-14T00:00:00"/>
    <x v="2"/>
    <x v="2"/>
    <s v="Chair"/>
    <n v="9"/>
    <n v="145.86000000000001"/>
    <n v="1312.74"/>
    <x v="5"/>
  </r>
  <r>
    <n v="420"/>
    <d v="2023-05-20T00:00:00"/>
    <x v="3"/>
    <x v="2"/>
    <s v="Chair"/>
    <n v="1"/>
    <n v="201.9"/>
    <n v="201.9"/>
    <x v="6"/>
  </r>
  <r>
    <n v="421"/>
    <d v="2023-07-17T00:00:00"/>
    <x v="1"/>
    <x v="2"/>
    <s v="Cabinet"/>
    <n v="5"/>
    <n v="395.31"/>
    <n v="1976.55"/>
    <x v="4"/>
  </r>
  <r>
    <n v="422"/>
    <d v="2023-10-29T00:00:00"/>
    <x v="1"/>
    <x v="1"/>
    <s v="Pants"/>
    <n v="7"/>
    <n v="440.77"/>
    <n v="3085.39"/>
    <x v="5"/>
  </r>
  <r>
    <n v="423"/>
    <d v="2023-11-29T00:00:00"/>
    <x v="3"/>
    <x v="1"/>
    <s v="Pants"/>
    <n v="8"/>
    <n v="239.03"/>
    <n v="1912.24"/>
    <x v="0"/>
  </r>
  <r>
    <n v="424"/>
    <d v="2023-02-21T00:00:00"/>
    <x v="0"/>
    <x v="0"/>
    <s v="Smartphone"/>
    <n v="2"/>
    <n v="91.85"/>
    <n v="183.7"/>
    <x v="1"/>
  </r>
  <r>
    <n v="425"/>
    <d v="2023-05-28T00:00:00"/>
    <x v="3"/>
    <x v="1"/>
    <s v="Pants"/>
    <n v="4"/>
    <n v="123.52"/>
    <n v="494.08"/>
    <x v="3"/>
  </r>
  <r>
    <n v="426"/>
    <d v="2023-11-26T00:00:00"/>
    <x v="3"/>
    <x v="2"/>
    <s v="Chair"/>
    <n v="6"/>
    <n v="307.79000000000002"/>
    <n v="1846.74"/>
    <x v="6"/>
  </r>
  <r>
    <n v="427"/>
    <d v="2023-08-29T00:00:00"/>
    <x v="1"/>
    <x v="1"/>
    <s v="Jacket"/>
    <n v="2"/>
    <n v="198.2"/>
    <n v="396.4"/>
    <x v="4"/>
  </r>
  <r>
    <n v="428"/>
    <d v="2023-01-05T00:00:00"/>
    <x v="3"/>
    <x v="1"/>
    <s v="Pants"/>
    <n v="3"/>
    <n v="414.84"/>
    <n v="1244.52"/>
    <x v="6"/>
  </r>
  <r>
    <n v="429"/>
    <d v="2023-08-03T00:00:00"/>
    <x v="2"/>
    <x v="3"/>
    <s v="Milk"/>
    <n v="5"/>
    <n v="318.58999999999997"/>
    <n v="1592.95"/>
    <x v="6"/>
  </r>
  <r>
    <n v="430"/>
    <d v="2023-01-20T00:00:00"/>
    <x v="3"/>
    <x v="0"/>
    <s v="Headphones"/>
    <n v="1"/>
    <n v="263.95"/>
    <n v="263.95"/>
    <x v="0"/>
  </r>
  <r>
    <n v="431"/>
    <d v="2023-06-27T00:00:00"/>
    <x v="2"/>
    <x v="3"/>
    <s v="Cereal"/>
    <n v="1"/>
    <n v="95.21"/>
    <n v="95.21"/>
    <x v="3"/>
  </r>
  <r>
    <n v="432"/>
    <d v="2023-08-04T00:00:00"/>
    <x v="2"/>
    <x v="3"/>
    <s v="Eggs"/>
    <n v="2"/>
    <n v="351.05"/>
    <n v="702.1"/>
    <x v="0"/>
  </r>
  <r>
    <n v="433"/>
    <d v="2023-09-26T00:00:00"/>
    <x v="3"/>
    <x v="3"/>
    <s v="Milk"/>
    <n v="3"/>
    <n v="409.76"/>
    <n v="1229.28"/>
    <x v="0"/>
  </r>
  <r>
    <n v="434"/>
    <d v="2023-03-30T00:00:00"/>
    <x v="2"/>
    <x v="0"/>
    <s v="Smartphone"/>
    <n v="8"/>
    <n v="376.46"/>
    <n v="3011.68"/>
    <x v="5"/>
  </r>
  <r>
    <n v="435"/>
    <d v="2023-12-23T00:00:00"/>
    <x v="0"/>
    <x v="3"/>
    <s v="Cereal"/>
    <n v="9"/>
    <n v="448.51"/>
    <n v="4036.59"/>
    <x v="2"/>
  </r>
  <r>
    <n v="436"/>
    <d v="2023-11-19T00:00:00"/>
    <x v="1"/>
    <x v="3"/>
    <s v="Eggs"/>
    <n v="2"/>
    <n v="234.14"/>
    <n v="468.28"/>
    <x v="4"/>
  </r>
  <r>
    <n v="437"/>
    <d v="2023-08-14T00:00:00"/>
    <x v="3"/>
    <x v="0"/>
    <s v="Laptop"/>
    <n v="9"/>
    <n v="31.74"/>
    <n v="285.66000000000003"/>
    <x v="1"/>
  </r>
  <r>
    <n v="438"/>
    <d v="2023-01-25T00:00:00"/>
    <x v="2"/>
    <x v="3"/>
    <s v="Milk"/>
    <n v="9"/>
    <n v="171.24"/>
    <n v="1541.16"/>
    <x v="1"/>
  </r>
  <r>
    <n v="439"/>
    <d v="2023-08-14T00:00:00"/>
    <x v="2"/>
    <x v="2"/>
    <s v="Cabinet"/>
    <n v="5"/>
    <n v="370.25"/>
    <n v="1851.25"/>
    <x v="0"/>
  </r>
  <r>
    <n v="440"/>
    <d v="2023-02-07T00:00:00"/>
    <x v="2"/>
    <x v="0"/>
    <s v="Laptop"/>
    <n v="8"/>
    <n v="133.80000000000001"/>
    <n v="1070.4000000000001"/>
    <x v="0"/>
  </r>
  <r>
    <n v="441"/>
    <d v="2023-06-25T00:00:00"/>
    <x v="2"/>
    <x v="1"/>
    <s v="Shirt"/>
    <n v="8"/>
    <n v="350.9"/>
    <n v="2807.2"/>
    <x v="5"/>
  </r>
  <r>
    <n v="442"/>
    <d v="2023-11-12T00:00:00"/>
    <x v="2"/>
    <x v="2"/>
    <s v="Desk"/>
    <n v="2"/>
    <n v="49.71"/>
    <n v="99.42"/>
    <x v="3"/>
  </r>
  <r>
    <n v="443"/>
    <d v="2023-04-24T00:00:00"/>
    <x v="3"/>
    <x v="3"/>
    <s v="Eggs"/>
    <n v="5"/>
    <n v="495.82"/>
    <n v="2479.1"/>
    <x v="1"/>
  </r>
  <r>
    <n v="444"/>
    <d v="2023-11-14T00:00:00"/>
    <x v="2"/>
    <x v="2"/>
    <s v="Desk"/>
    <n v="8"/>
    <n v="442.62"/>
    <n v="3540.96"/>
    <x v="5"/>
  </r>
  <r>
    <n v="445"/>
    <d v="2023-02-25T00:00:00"/>
    <x v="0"/>
    <x v="1"/>
    <s v="Shirt"/>
    <n v="3"/>
    <n v="414.09"/>
    <n v="1242.27"/>
    <x v="6"/>
  </r>
  <r>
    <n v="446"/>
    <d v="2023-12-13T00:00:00"/>
    <x v="2"/>
    <x v="1"/>
    <s v="Jacket"/>
    <n v="8"/>
    <n v="342.23"/>
    <n v="2737.84"/>
    <x v="0"/>
  </r>
  <r>
    <n v="447"/>
    <d v="2023-05-27T00:00:00"/>
    <x v="1"/>
    <x v="2"/>
    <s v="Desk"/>
    <n v="1"/>
    <n v="440.53"/>
    <n v="440.53"/>
    <x v="5"/>
  </r>
  <r>
    <n v="448"/>
    <d v="2023-02-28T00:00:00"/>
    <x v="3"/>
    <x v="1"/>
    <s v="Shirt"/>
    <n v="8"/>
    <n v="130.19"/>
    <n v="1041.52"/>
    <x v="4"/>
  </r>
  <r>
    <n v="449"/>
    <d v="2023-02-14T00:00:00"/>
    <x v="0"/>
    <x v="2"/>
    <s v="Cabinet"/>
    <n v="9"/>
    <n v="173.66"/>
    <n v="1562.94"/>
    <x v="6"/>
  </r>
  <r>
    <n v="450"/>
    <d v="2023-12-22T00:00:00"/>
    <x v="3"/>
    <x v="3"/>
    <s v="Cereal"/>
    <n v="9"/>
    <n v="465.74"/>
    <n v="4191.66"/>
    <x v="6"/>
  </r>
  <r>
    <n v="451"/>
    <d v="2023-05-13T00:00:00"/>
    <x v="2"/>
    <x v="3"/>
    <s v="Milk"/>
    <n v="6"/>
    <n v="102.72"/>
    <n v="616.31999999999994"/>
    <x v="1"/>
  </r>
  <r>
    <n v="452"/>
    <d v="2023-01-23T00:00:00"/>
    <x v="1"/>
    <x v="1"/>
    <s v="Shoes"/>
    <n v="9"/>
    <n v="24.33"/>
    <n v="218.97"/>
    <x v="2"/>
  </r>
  <r>
    <n v="453"/>
    <d v="2023-03-23T00:00:00"/>
    <x v="2"/>
    <x v="0"/>
    <s v="Smartphone"/>
    <n v="5"/>
    <n v="374.32"/>
    <n v="1871.6"/>
    <x v="4"/>
  </r>
  <r>
    <n v="454"/>
    <d v="2023-03-18T00:00:00"/>
    <x v="0"/>
    <x v="0"/>
    <s v="Laptop"/>
    <n v="4"/>
    <n v="282.52999999999997"/>
    <n v="1130.1199999999999"/>
    <x v="0"/>
  </r>
  <r>
    <n v="455"/>
    <d v="2023-01-13T00:00:00"/>
    <x v="1"/>
    <x v="2"/>
    <s v="Shelf"/>
    <n v="7"/>
    <n v="104.64"/>
    <n v="732.48"/>
    <x v="1"/>
  </r>
  <r>
    <n v="456"/>
    <d v="2023-12-26T00:00:00"/>
    <x v="3"/>
    <x v="2"/>
    <s v="Cabinet"/>
    <n v="1"/>
    <n v="284.32"/>
    <n v="284.32"/>
    <x v="3"/>
  </r>
  <r>
    <n v="457"/>
    <d v="2023-12-10T00:00:00"/>
    <x v="0"/>
    <x v="0"/>
    <s v="Smartphone"/>
    <n v="2"/>
    <n v="320.66000000000003"/>
    <n v="641.32000000000005"/>
    <x v="2"/>
  </r>
  <r>
    <n v="458"/>
    <d v="2023-03-15T00:00:00"/>
    <x v="3"/>
    <x v="2"/>
    <s v="Chair"/>
    <n v="3"/>
    <n v="72.94"/>
    <n v="218.82"/>
    <x v="1"/>
  </r>
  <r>
    <n v="459"/>
    <d v="2023-11-15T00:00:00"/>
    <x v="3"/>
    <x v="3"/>
    <s v="Bread"/>
    <n v="9"/>
    <n v="481.87"/>
    <n v="4336.83"/>
    <x v="5"/>
  </r>
  <r>
    <n v="460"/>
    <d v="2023-07-15T00:00:00"/>
    <x v="2"/>
    <x v="3"/>
    <s v="Milk"/>
    <n v="5"/>
    <n v="60.23"/>
    <n v="301.14999999999998"/>
    <x v="5"/>
  </r>
  <r>
    <n v="461"/>
    <d v="2023-08-30T00:00:00"/>
    <x v="3"/>
    <x v="3"/>
    <s v="Milk"/>
    <n v="4"/>
    <n v="347.06"/>
    <n v="1388.24"/>
    <x v="2"/>
  </r>
  <r>
    <n v="462"/>
    <d v="2023-01-17T00:00:00"/>
    <x v="0"/>
    <x v="2"/>
    <s v="Desk"/>
    <n v="4"/>
    <n v="157.47"/>
    <n v="629.88"/>
    <x v="6"/>
  </r>
  <r>
    <n v="463"/>
    <d v="2023-07-12T00:00:00"/>
    <x v="3"/>
    <x v="1"/>
    <s v="Shirt"/>
    <n v="6"/>
    <n v="357.2"/>
    <n v="2143.1999999999998"/>
    <x v="3"/>
  </r>
  <r>
    <n v="464"/>
    <d v="2023-07-29T00:00:00"/>
    <x v="3"/>
    <x v="3"/>
    <s v="Cereal"/>
    <n v="6"/>
    <n v="314.25"/>
    <n v="1885.5"/>
    <x v="5"/>
  </r>
  <r>
    <n v="465"/>
    <d v="2023-06-24T00:00:00"/>
    <x v="2"/>
    <x v="3"/>
    <s v="Milk"/>
    <n v="2"/>
    <n v="495.17"/>
    <n v="990.34"/>
    <x v="1"/>
  </r>
  <r>
    <n v="466"/>
    <d v="2023-01-07T00:00:00"/>
    <x v="3"/>
    <x v="1"/>
    <s v="Shirt"/>
    <n v="4"/>
    <n v="327.31"/>
    <n v="1309.24"/>
    <x v="4"/>
  </r>
  <r>
    <n v="467"/>
    <d v="2023-03-20T00:00:00"/>
    <x v="2"/>
    <x v="2"/>
    <s v="Cabinet"/>
    <n v="1"/>
    <n v="168.57"/>
    <n v="168.57"/>
    <x v="4"/>
  </r>
  <r>
    <n v="468"/>
    <d v="2023-01-26T00:00:00"/>
    <x v="2"/>
    <x v="2"/>
    <s v="Shelf"/>
    <n v="3"/>
    <n v="133.72999999999999"/>
    <n v="401.18999999999988"/>
    <x v="6"/>
  </r>
  <r>
    <n v="469"/>
    <d v="2023-10-12T00:00:00"/>
    <x v="3"/>
    <x v="1"/>
    <s v="Shoes"/>
    <n v="2"/>
    <n v="144.08000000000001"/>
    <n v="288.16000000000003"/>
    <x v="5"/>
  </r>
  <r>
    <n v="470"/>
    <d v="2023-02-08T00:00:00"/>
    <x v="0"/>
    <x v="3"/>
    <s v="Eggs"/>
    <n v="4"/>
    <n v="218.83"/>
    <n v="875.32"/>
    <x v="2"/>
  </r>
  <r>
    <n v="471"/>
    <d v="2023-03-16T00:00:00"/>
    <x v="3"/>
    <x v="0"/>
    <s v="Laptop"/>
    <n v="7"/>
    <n v="414.7"/>
    <n v="2902.9"/>
    <x v="5"/>
  </r>
  <r>
    <n v="472"/>
    <d v="2023-06-24T00:00:00"/>
    <x v="0"/>
    <x v="3"/>
    <s v="Eggs"/>
    <n v="4"/>
    <n v="421.57"/>
    <n v="1686.28"/>
    <x v="6"/>
  </r>
  <r>
    <n v="473"/>
    <d v="2023-01-27T00:00:00"/>
    <x v="1"/>
    <x v="1"/>
    <s v="Jacket"/>
    <n v="4"/>
    <n v="330.71"/>
    <n v="1322.84"/>
    <x v="3"/>
  </r>
  <r>
    <n v="474"/>
    <d v="2023-08-24T00:00:00"/>
    <x v="2"/>
    <x v="0"/>
    <s v="Tablet"/>
    <n v="3"/>
    <n v="475.92"/>
    <n v="1427.76"/>
    <x v="3"/>
  </r>
  <r>
    <n v="475"/>
    <d v="2023-01-21T00:00:00"/>
    <x v="3"/>
    <x v="1"/>
    <s v="Shirt"/>
    <n v="8"/>
    <n v="221.84"/>
    <n v="1774.72"/>
    <x v="5"/>
  </r>
  <r>
    <n v="476"/>
    <d v="2023-09-19T00:00:00"/>
    <x v="1"/>
    <x v="2"/>
    <s v="Cabinet"/>
    <n v="5"/>
    <n v="322.88"/>
    <n v="1614.4"/>
    <x v="0"/>
  </r>
  <r>
    <n v="477"/>
    <d v="2023-09-14T00:00:00"/>
    <x v="3"/>
    <x v="1"/>
    <s v="Jacket"/>
    <n v="3"/>
    <n v="144.37"/>
    <n v="433.11"/>
    <x v="0"/>
  </r>
  <r>
    <n v="478"/>
    <d v="2023-06-12T00:00:00"/>
    <x v="1"/>
    <x v="2"/>
    <s v="Cabinet"/>
    <n v="6"/>
    <n v="122.68"/>
    <n v="736.08"/>
    <x v="2"/>
  </r>
  <r>
    <n v="479"/>
    <d v="2023-01-12T00:00:00"/>
    <x v="3"/>
    <x v="3"/>
    <s v="Milk"/>
    <n v="1"/>
    <n v="329.32"/>
    <n v="329.32"/>
    <x v="5"/>
  </r>
  <r>
    <n v="480"/>
    <d v="2023-07-27T00:00:00"/>
    <x v="1"/>
    <x v="1"/>
    <s v="Shirt"/>
    <n v="2"/>
    <n v="433.54"/>
    <n v="867.08"/>
    <x v="3"/>
  </r>
  <r>
    <n v="481"/>
    <d v="2023-05-25T00:00:00"/>
    <x v="0"/>
    <x v="2"/>
    <s v="Chair"/>
    <n v="8"/>
    <n v="88.03"/>
    <n v="704.24"/>
    <x v="4"/>
  </r>
  <r>
    <n v="482"/>
    <d v="2023-01-27T00:00:00"/>
    <x v="3"/>
    <x v="3"/>
    <s v="Milk"/>
    <n v="5"/>
    <n v="85.29"/>
    <n v="426.45"/>
    <x v="6"/>
  </r>
  <r>
    <n v="483"/>
    <d v="2023-12-15T00:00:00"/>
    <x v="1"/>
    <x v="3"/>
    <s v="Eggs"/>
    <n v="2"/>
    <n v="382.9"/>
    <n v="765.8"/>
    <x v="0"/>
  </r>
  <r>
    <n v="484"/>
    <d v="2023-02-15T00:00:00"/>
    <x v="2"/>
    <x v="1"/>
    <s v="Shirt"/>
    <n v="5"/>
    <n v="456.8"/>
    <n v="2284"/>
    <x v="5"/>
  </r>
  <r>
    <n v="485"/>
    <d v="2023-09-30T00:00:00"/>
    <x v="3"/>
    <x v="0"/>
    <s v="Headphones"/>
    <n v="9"/>
    <n v="10.6"/>
    <n v="95.399999999999991"/>
    <x v="3"/>
  </r>
  <r>
    <n v="486"/>
    <d v="2023-06-15T00:00:00"/>
    <x v="0"/>
    <x v="0"/>
    <s v="Laptop"/>
    <n v="4"/>
    <n v="220.85"/>
    <n v="883.4"/>
    <x v="5"/>
  </r>
  <r>
    <n v="487"/>
    <d v="2023-08-02T00:00:00"/>
    <x v="3"/>
    <x v="3"/>
    <s v="Eggs"/>
    <n v="9"/>
    <n v="88.8"/>
    <n v="799.19999999999993"/>
    <x v="4"/>
  </r>
  <r>
    <n v="488"/>
    <d v="2023-12-10T00:00:00"/>
    <x v="3"/>
    <x v="2"/>
    <s v="Desk"/>
    <n v="6"/>
    <n v="169.7"/>
    <n v="1018.2"/>
    <x v="0"/>
  </r>
  <r>
    <n v="489"/>
    <d v="2023-07-24T00:00:00"/>
    <x v="0"/>
    <x v="1"/>
    <s v="Shoes"/>
    <n v="8"/>
    <n v="162.08000000000001"/>
    <n v="1296.6400000000001"/>
    <x v="2"/>
  </r>
  <r>
    <n v="490"/>
    <d v="2023-10-01T00:00:00"/>
    <x v="2"/>
    <x v="0"/>
    <s v="Headphones"/>
    <n v="1"/>
    <n v="15.69"/>
    <n v="15.69"/>
    <x v="0"/>
  </r>
  <r>
    <n v="491"/>
    <d v="2023-04-05T00:00:00"/>
    <x v="3"/>
    <x v="2"/>
    <s v="Chair"/>
    <n v="2"/>
    <n v="245.17"/>
    <n v="490.34"/>
    <x v="0"/>
  </r>
  <r>
    <n v="492"/>
    <d v="2023-10-28T00:00:00"/>
    <x v="1"/>
    <x v="0"/>
    <s v="Tablet"/>
    <n v="6"/>
    <n v="152.91"/>
    <n v="917.46"/>
    <x v="3"/>
  </r>
  <r>
    <n v="493"/>
    <d v="2023-04-12T00:00:00"/>
    <x v="0"/>
    <x v="2"/>
    <s v="Chair"/>
    <n v="9"/>
    <n v="431.46"/>
    <n v="3883.14"/>
    <x v="4"/>
  </r>
  <r>
    <n v="494"/>
    <d v="2023-08-02T00:00:00"/>
    <x v="0"/>
    <x v="3"/>
    <s v="Milk"/>
    <n v="9"/>
    <n v="29.41"/>
    <n v="264.69"/>
    <x v="0"/>
  </r>
  <r>
    <n v="495"/>
    <d v="2023-03-17T00:00:00"/>
    <x v="3"/>
    <x v="1"/>
    <s v="Jacket"/>
    <n v="3"/>
    <n v="61.42"/>
    <n v="184.26"/>
    <x v="1"/>
  </r>
  <r>
    <n v="496"/>
    <d v="2023-03-21T00:00:00"/>
    <x v="0"/>
    <x v="0"/>
    <s v="Laptop"/>
    <n v="9"/>
    <n v="289.74"/>
    <n v="2607.66"/>
    <x v="1"/>
  </r>
  <r>
    <n v="497"/>
    <d v="2023-05-28T00:00:00"/>
    <x v="1"/>
    <x v="3"/>
    <s v="Cereal"/>
    <n v="6"/>
    <n v="312.89999999999998"/>
    <n v="1877.4"/>
    <x v="0"/>
  </r>
  <r>
    <n v="498"/>
    <d v="2023-08-30T00:00:00"/>
    <x v="1"/>
    <x v="0"/>
    <s v="Laptop"/>
    <n v="1"/>
    <n v="284.23"/>
    <n v="284.23"/>
    <x v="6"/>
  </r>
  <r>
    <n v="499"/>
    <d v="2023-10-16T00:00:00"/>
    <x v="3"/>
    <x v="3"/>
    <s v="Milk"/>
    <n v="1"/>
    <n v="263.68"/>
    <n v="263.68"/>
    <x v="2"/>
  </r>
  <r>
    <n v="500"/>
    <d v="2023-03-18T00:00:00"/>
    <x v="3"/>
    <x v="2"/>
    <s v="Chair"/>
    <n v="9"/>
    <n v="181.81"/>
    <n v="1636.29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824093-5C11-435D-BD4C-4814E70FB72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D12" firstHeaderRow="1" firstDataRow="1" firstDataCol="1"/>
  <pivotFields count="9">
    <pivotField compact="0" outline="0" showAll="0"/>
    <pivotField compact="0" numFmtId="174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 sortType="descending">
      <items count="8">
        <item x="1"/>
        <item x="6"/>
        <item x="4"/>
        <item x="2"/>
        <item x="5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8">
    <i>
      <x v="4"/>
    </i>
    <i>
      <x v="5"/>
    </i>
    <i>
      <x v="6"/>
    </i>
    <i>
      <x v="2"/>
    </i>
    <i>
      <x/>
    </i>
    <i>
      <x v="1"/>
    </i>
    <i>
      <x v="3"/>
    </i>
    <i t="grand">
      <x/>
    </i>
  </rowItems>
  <colItems count="1">
    <i/>
  </colItems>
  <dataFields count="1">
    <dataField name="Sum of Quantity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mailto:carolyn@c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meimei@yahoo.com" TargetMode="External"/><Relationship Id="rId2" Type="http://schemas.openxmlformats.org/officeDocument/2006/relationships/hyperlink" Target="mailto:ahmad67@gmail.com" TargetMode="External"/><Relationship Id="rId1" Type="http://schemas.openxmlformats.org/officeDocument/2006/relationships/hyperlink" Target="mailto:alex97@gmail,com" TargetMode="External"/><Relationship Id="rId6" Type="http://schemas.openxmlformats.org/officeDocument/2006/relationships/hyperlink" Target="mailto:meimei@yahoo.com" TargetMode="External"/><Relationship Id="rId5" Type="http://schemas.openxmlformats.org/officeDocument/2006/relationships/hyperlink" Target="mailto:ahmad67@gmail.com" TargetMode="External"/><Relationship Id="rId4" Type="http://schemas.openxmlformats.org/officeDocument/2006/relationships/hyperlink" Target="mailto:alex97@gmail,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C7DC9-E2C6-4726-B7A9-05676BC2E5A4}">
  <dimension ref="A1"/>
  <sheetViews>
    <sheetView zoomScale="85" zoomScaleNormal="85" workbookViewId="0"/>
  </sheetViews>
  <sheetFormatPr defaultColWidth="8.88671875" defaultRowHeight="14.4"/>
  <cols>
    <col min="1" max="16384" width="8.88671875" style="94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N42"/>
  <sheetViews>
    <sheetView topLeftCell="A30" zoomScale="130" zoomScaleNormal="130" workbookViewId="0"/>
  </sheetViews>
  <sheetFormatPr defaultColWidth="12.6640625" defaultRowHeight="15" customHeight="1"/>
  <cols>
    <col min="1" max="1" width="8.6640625" customWidth="1"/>
    <col min="2" max="2" width="13.44140625" customWidth="1"/>
    <col min="3" max="3" width="11.109375" bestFit="1" customWidth="1"/>
    <col min="4" max="4" width="12.21875" bestFit="1" customWidth="1"/>
    <col min="5" max="6" width="11.109375" bestFit="1" customWidth="1"/>
    <col min="7" max="7" width="12.21875" bestFit="1" customWidth="1"/>
    <col min="8" max="10" width="11.109375" bestFit="1" customWidth="1"/>
    <col min="11" max="11" width="12.6640625" bestFit="1" customWidth="1"/>
    <col min="12" max="12" width="12.21875" bestFit="1" customWidth="1"/>
    <col min="13" max="14" width="11.109375" bestFit="1" customWidth="1"/>
    <col min="15" max="26" width="8.6640625" customWidth="1"/>
  </cols>
  <sheetData>
    <row r="4" spans="2:13" ht="31.2">
      <c r="B4" s="161" t="s">
        <v>0</v>
      </c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</row>
    <row r="5" spans="2:13" ht="14.25" customHeight="1"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</row>
    <row r="6" spans="2:13" ht="14.25" customHeight="1"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</row>
    <row r="7" spans="2:13" ht="25.8">
      <c r="B7" s="163" t="s">
        <v>1</v>
      </c>
      <c r="C7" s="164"/>
      <c r="D7" s="164"/>
      <c r="E7" s="164"/>
      <c r="F7" s="116"/>
      <c r="G7" s="116"/>
      <c r="H7" s="116"/>
      <c r="I7" s="116"/>
      <c r="J7" s="163" t="s">
        <v>2</v>
      </c>
      <c r="K7" s="164"/>
      <c r="L7" s="164"/>
      <c r="M7" s="164"/>
    </row>
    <row r="8" spans="2:13" ht="14.25" customHeight="1"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</row>
    <row r="9" spans="2:13" ht="14.25" customHeight="1">
      <c r="B9" s="1" t="s">
        <v>3</v>
      </c>
      <c r="C9" s="1" t="s">
        <v>4</v>
      </c>
      <c r="D9" s="1" t="s">
        <v>5</v>
      </c>
      <c r="E9" s="1" t="s">
        <v>6</v>
      </c>
      <c r="F9" s="116"/>
      <c r="G9" s="116"/>
      <c r="H9" s="116"/>
      <c r="I9" s="116"/>
      <c r="J9" s="1" t="s">
        <v>3</v>
      </c>
      <c r="K9" s="1" t="s">
        <v>4</v>
      </c>
      <c r="L9" s="1" t="s">
        <v>5</v>
      </c>
      <c r="M9" s="1" t="s">
        <v>6</v>
      </c>
    </row>
    <row r="10" spans="2:13" ht="14.25" customHeight="1">
      <c r="B10" s="2">
        <v>1</v>
      </c>
      <c r="C10" s="3">
        <v>4</v>
      </c>
      <c r="D10" s="3">
        <v>13</v>
      </c>
      <c r="E10" s="3">
        <v>26</v>
      </c>
      <c r="F10" s="116"/>
      <c r="G10" s="116"/>
      <c r="H10" s="116"/>
      <c r="I10" s="116"/>
      <c r="J10" s="4">
        <v>1</v>
      </c>
      <c r="K10" s="5">
        <f t="shared" ref="K10:K21" si="0">C10*Car_Price</f>
        <v>880000</v>
      </c>
      <c r="L10" s="5"/>
      <c r="M10" s="5"/>
    </row>
    <row r="11" spans="2:13" ht="14.25" customHeight="1">
      <c r="B11" s="2">
        <v>2</v>
      </c>
      <c r="C11" s="3">
        <v>8</v>
      </c>
      <c r="D11" s="3">
        <v>9</v>
      </c>
      <c r="E11" s="3">
        <v>35</v>
      </c>
      <c r="F11" s="116"/>
      <c r="G11" s="117"/>
      <c r="H11" s="116"/>
      <c r="I11" s="116"/>
      <c r="J11" s="4">
        <v>2</v>
      </c>
      <c r="K11" s="5">
        <f t="shared" si="0"/>
        <v>1760000</v>
      </c>
      <c r="L11" s="5"/>
      <c r="M11" s="5"/>
    </row>
    <row r="12" spans="2:13" ht="14.25" customHeight="1">
      <c r="B12" s="2">
        <v>3</v>
      </c>
      <c r="C12" s="3">
        <v>8</v>
      </c>
      <c r="D12" s="3">
        <v>6</v>
      </c>
      <c r="E12" s="3">
        <v>19</v>
      </c>
      <c r="F12" s="116"/>
      <c r="G12" s="116"/>
      <c r="H12" s="116"/>
      <c r="I12" s="116"/>
      <c r="J12" s="4">
        <v>3</v>
      </c>
      <c r="K12" s="5">
        <f t="shared" si="0"/>
        <v>1760000</v>
      </c>
      <c r="L12" s="5"/>
      <c r="M12" s="5"/>
    </row>
    <row r="13" spans="2:13" ht="14.25" customHeight="1">
      <c r="B13" s="2">
        <v>4</v>
      </c>
      <c r="C13" s="3">
        <v>8</v>
      </c>
      <c r="D13" s="3">
        <v>5</v>
      </c>
      <c r="E13" s="3">
        <v>32</v>
      </c>
      <c r="F13" s="116"/>
      <c r="G13" s="116"/>
      <c r="H13" s="116"/>
      <c r="I13" s="116"/>
      <c r="J13" s="4">
        <v>4</v>
      </c>
      <c r="K13" s="5">
        <f t="shared" si="0"/>
        <v>1760000</v>
      </c>
      <c r="L13" s="5"/>
      <c r="M13" s="5"/>
    </row>
    <row r="14" spans="2:13" ht="14.25" customHeight="1">
      <c r="B14" s="2">
        <v>5</v>
      </c>
      <c r="C14" s="3">
        <v>4</v>
      </c>
      <c r="D14" s="3">
        <v>11</v>
      </c>
      <c r="E14" s="3">
        <v>23</v>
      </c>
      <c r="F14" s="116"/>
      <c r="G14" s="116"/>
      <c r="H14" s="116"/>
      <c r="I14" s="116"/>
      <c r="J14" s="4">
        <v>5</v>
      </c>
      <c r="K14" s="5">
        <f t="shared" si="0"/>
        <v>880000</v>
      </c>
      <c r="L14" s="5"/>
      <c r="M14" s="5"/>
    </row>
    <row r="15" spans="2:13" ht="14.25" customHeight="1">
      <c r="B15" s="4">
        <v>6</v>
      </c>
      <c r="C15" s="6">
        <v>12</v>
      </c>
      <c r="D15" s="6">
        <v>13</v>
      </c>
      <c r="E15" s="6">
        <v>22</v>
      </c>
      <c r="F15" s="116"/>
      <c r="G15" s="116"/>
      <c r="H15" s="116"/>
      <c r="I15" s="116"/>
      <c r="J15" s="4">
        <v>6</v>
      </c>
      <c r="K15" s="5">
        <f t="shared" si="0"/>
        <v>2640000</v>
      </c>
      <c r="L15" s="5"/>
      <c r="M15" s="5"/>
    </row>
    <row r="16" spans="2:13" ht="14.25" customHeight="1">
      <c r="B16" s="4">
        <v>7</v>
      </c>
      <c r="C16" s="6">
        <v>4</v>
      </c>
      <c r="D16" s="6">
        <v>7</v>
      </c>
      <c r="E16" s="6">
        <v>18</v>
      </c>
      <c r="F16" s="116"/>
      <c r="G16" s="165" t="s">
        <v>7</v>
      </c>
      <c r="H16" s="164"/>
      <c r="I16" s="116"/>
      <c r="J16" s="4">
        <v>7</v>
      </c>
      <c r="K16" s="5">
        <f t="shared" si="0"/>
        <v>880000</v>
      </c>
      <c r="L16" s="5"/>
      <c r="M16" s="5"/>
    </row>
    <row r="17" spans="2:14" ht="14.25" customHeight="1">
      <c r="B17" s="4">
        <v>8</v>
      </c>
      <c r="C17" s="6">
        <v>1</v>
      </c>
      <c r="D17" s="6">
        <v>9</v>
      </c>
      <c r="E17" s="6">
        <v>33</v>
      </c>
      <c r="F17" s="116"/>
      <c r="G17" s="116"/>
      <c r="H17" s="116"/>
      <c r="I17" s="116"/>
      <c r="J17" s="4">
        <v>8</v>
      </c>
      <c r="K17" s="5">
        <f t="shared" si="0"/>
        <v>220000</v>
      </c>
      <c r="L17" s="5"/>
      <c r="M17" s="5"/>
    </row>
    <row r="18" spans="2:14" ht="14.25" customHeight="1">
      <c r="B18" s="2">
        <v>9</v>
      </c>
      <c r="C18" s="3">
        <v>8</v>
      </c>
      <c r="D18" s="3">
        <v>16</v>
      </c>
      <c r="E18" s="3">
        <v>18</v>
      </c>
      <c r="F18" s="116"/>
      <c r="G18" s="7" t="str">
        <f>C9</f>
        <v>Cars</v>
      </c>
      <c r="H18" s="8">
        <v>8590.42</v>
      </c>
      <c r="I18" s="116"/>
      <c r="J18" s="4">
        <v>9</v>
      </c>
      <c r="K18" s="5">
        <f t="shared" si="0"/>
        <v>1760000</v>
      </c>
      <c r="L18" s="5"/>
      <c r="M18" s="5"/>
    </row>
    <row r="19" spans="2:14" ht="14.25" customHeight="1">
      <c r="B19" s="2">
        <v>10</v>
      </c>
      <c r="C19" s="3">
        <v>7</v>
      </c>
      <c r="D19" s="3">
        <v>8</v>
      </c>
      <c r="E19" s="3">
        <v>13</v>
      </c>
      <c r="F19" s="116"/>
      <c r="G19" s="9" t="s">
        <v>5</v>
      </c>
      <c r="H19" s="8">
        <v>4549.67</v>
      </c>
      <c r="I19" s="116"/>
      <c r="J19" s="4">
        <v>10</v>
      </c>
      <c r="K19" s="5">
        <f t="shared" si="0"/>
        <v>1540000</v>
      </c>
      <c r="L19" s="5"/>
      <c r="M19" s="5"/>
    </row>
    <row r="20" spans="2:14" ht="14.25" customHeight="1">
      <c r="B20" s="2">
        <v>11</v>
      </c>
      <c r="C20" s="3">
        <v>4</v>
      </c>
      <c r="D20" s="3">
        <v>13</v>
      </c>
      <c r="E20" s="3">
        <v>26</v>
      </c>
      <c r="F20" s="116"/>
      <c r="G20" s="7" t="str">
        <f>E9</f>
        <v xml:space="preserve">Bicycles </v>
      </c>
      <c r="H20" s="8">
        <v>628.89</v>
      </c>
      <c r="I20" s="116"/>
      <c r="J20" s="4">
        <v>11</v>
      </c>
      <c r="K20" s="5">
        <f t="shared" si="0"/>
        <v>880000</v>
      </c>
      <c r="L20" s="5"/>
      <c r="M20" s="5"/>
    </row>
    <row r="21" spans="2:14" ht="14.25" customHeight="1">
      <c r="B21" s="2">
        <v>12</v>
      </c>
      <c r="C21" s="3">
        <v>17</v>
      </c>
      <c r="D21" s="3">
        <v>9</v>
      </c>
      <c r="E21" s="3">
        <v>43</v>
      </c>
      <c r="F21" s="116"/>
      <c r="G21" s="116"/>
      <c r="H21" s="116"/>
      <c r="I21" s="116"/>
      <c r="J21" s="4">
        <v>12</v>
      </c>
      <c r="K21" s="5">
        <f t="shared" si="0"/>
        <v>3740000</v>
      </c>
      <c r="L21" s="5"/>
      <c r="M21" s="5"/>
    </row>
    <row r="23" spans="2:14" ht="15" customHeight="1">
      <c r="G23" s="95"/>
    </row>
    <row r="24" spans="2:14" ht="15" customHeight="1">
      <c r="B24" s="138" t="s">
        <v>1074</v>
      </c>
    </row>
    <row r="25" spans="2:14" ht="15" customHeight="1">
      <c r="B25" s="1" t="s">
        <v>3</v>
      </c>
      <c r="C25" s="2">
        <v>1</v>
      </c>
      <c r="D25" s="2">
        <v>2</v>
      </c>
      <c r="E25" s="2">
        <v>3</v>
      </c>
      <c r="F25" s="2">
        <v>4</v>
      </c>
      <c r="G25" s="2">
        <v>5</v>
      </c>
      <c r="H25" s="4">
        <v>6</v>
      </c>
      <c r="I25" s="4">
        <v>7</v>
      </c>
      <c r="J25" s="4">
        <v>8</v>
      </c>
      <c r="K25" s="2">
        <v>9</v>
      </c>
      <c r="L25" s="2">
        <v>10</v>
      </c>
      <c r="M25" s="2">
        <v>11</v>
      </c>
      <c r="N25" s="2">
        <v>12</v>
      </c>
    </row>
    <row r="26" spans="2:14" ht="15" customHeight="1">
      <c r="B26" s="1" t="s">
        <v>4</v>
      </c>
      <c r="C26" s="3">
        <v>4</v>
      </c>
      <c r="D26" s="3">
        <v>8</v>
      </c>
      <c r="E26" s="3">
        <v>8</v>
      </c>
      <c r="F26" s="3">
        <v>8</v>
      </c>
      <c r="G26" s="3">
        <v>4</v>
      </c>
      <c r="H26" s="6">
        <v>12</v>
      </c>
      <c r="I26" s="6">
        <v>4</v>
      </c>
      <c r="J26" s="6">
        <v>1</v>
      </c>
      <c r="K26" s="3">
        <v>8</v>
      </c>
      <c r="L26" s="3">
        <v>7</v>
      </c>
      <c r="M26" s="3">
        <v>4</v>
      </c>
      <c r="N26" s="3">
        <v>17</v>
      </c>
    </row>
    <row r="27" spans="2:14" ht="15" customHeight="1">
      <c r="B27" s="1" t="s">
        <v>5</v>
      </c>
      <c r="C27" s="3">
        <v>13</v>
      </c>
      <c r="D27" s="3">
        <v>9</v>
      </c>
      <c r="E27" s="3">
        <v>6</v>
      </c>
      <c r="F27" s="3">
        <v>5</v>
      </c>
      <c r="G27" s="3">
        <v>11</v>
      </c>
      <c r="H27" s="6">
        <v>13</v>
      </c>
      <c r="I27" s="6">
        <v>7</v>
      </c>
      <c r="J27" s="6">
        <v>9</v>
      </c>
      <c r="K27" s="3">
        <v>16</v>
      </c>
      <c r="L27" s="3">
        <v>8</v>
      </c>
      <c r="M27" s="3">
        <v>13</v>
      </c>
      <c r="N27" s="3">
        <v>9</v>
      </c>
    </row>
    <row r="28" spans="2:14" ht="15" customHeight="1">
      <c r="B28" s="1" t="s">
        <v>6</v>
      </c>
      <c r="C28" s="3">
        <v>26</v>
      </c>
      <c r="D28" s="3">
        <v>35</v>
      </c>
      <c r="E28" s="3">
        <v>19</v>
      </c>
      <c r="F28" s="3">
        <v>32</v>
      </c>
      <c r="G28" s="3">
        <v>23</v>
      </c>
      <c r="H28" s="6">
        <v>22</v>
      </c>
      <c r="I28" s="6">
        <v>18</v>
      </c>
      <c r="J28" s="6">
        <v>33</v>
      </c>
      <c r="K28" s="3">
        <v>18</v>
      </c>
      <c r="L28" s="3">
        <v>13</v>
      </c>
      <c r="M28" s="3">
        <v>26</v>
      </c>
      <c r="N28" s="3">
        <v>43</v>
      </c>
    </row>
    <row r="30" spans="2:14" ht="15" customHeight="1">
      <c r="B30" s="139" t="s">
        <v>1075</v>
      </c>
    </row>
    <row r="31" spans="2:14" ht="15" customHeight="1">
      <c r="B31" s="1" t="s">
        <v>3</v>
      </c>
      <c r="C31" s="2">
        <v>1</v>
      </c>
      <c r="D31" s="2">
        <v>2</v>
      </c>
      <c r="E31" s="2">
        <v>3</v>
      </c>
      <c r="F31" s="2">
        <v>4</v>
      </c>
      <c r="G31" s="2">
        <v>5</v>
      </c>
      <c r="H31" s="4">
        <v>6</v>
      </c>
      <c r="I31" s="4">
        <v>7</v>
      </c>
      <c r="J31" s="4">
        <v>8</v>
      </c>
      <c r="K31" s="2">
        <v>9</v>
      </c>
      <c r="L31" s="2">
        <v>10</v>
      </c>
      <c r="M31" s="2">
        <v>11</v>
      </c>
      <c r="N31" s="2">
        <v>12</v>
      </c>
    </row>
    <row r="32" spans="2:14" ht="15" customHeight="1">
      <c r="B32" s="1" t="s">
        <v>4</v>
      </c>
      <c r="C32" s="140">
        <f>C26*$H18</f>
        <v>34361.68</v>
      </c>
      <c r="D32" s="140">
        <f t="shared" ref="D32:N32" si="1">D26*$H18</f>
        <v>68723.360000000001</v>
      </c>
      <c r="E32" s="140">
        <f t="shared" si="1"/>
        <v>68723.360000000001</v>
      </c>
      <c r="F32" s="140">
        <f t="shared" si="1"/>
        <v>68723.360000000001</v>
      </c>
      <c r="G32" s="140">
        <f t="shared" si="1"/>
        <v>34361.68</v>
      </c>
      <c r="H32" s="140">
        <f t="shared" si="1"/>
        <v>103085.04000000001</v>
      </c>
      <c r="I32" s="140">
        <f t="shared" si="1"/>
        <v>34361.68</v>
      </c>
      <c r="J32" s="140">
        <f t="shared" si="1"/>
        <v>8590.42</v>
      </c>
      <c r="K32" s="140">
        <f t="shared" si="1"/>
        <v>68723.360000000001</v>
      </c>
      <c r="L32" s="140">
        <f t="shared" si="1"/>
        <v>60132.94</v>
      </c>
      <c r="M32" s="140">
        <f t="shared" si="1"/>
        <v>34361.68</v>
      </c>
      <c r="N32" s="140">
        <f t="shared" si="1"/>
        <v>146037.14000000001</v>
      </c>
    </row>
    <row r="33" spans="2:14" ht="15" customHeight="1">
      <c r="B33" s="1" t="s">
        <v>5</v>
      </c>
      <c r="C33" s="140">
        <f t="shared" ref="C33:N33" si="2">C27*$H19</f>
        <v>59145.71</v>
      </c>
      <c r="D33" s="140">
        <f t="shared" si="2"/>
        <v>40947.03</v>
      </c>
      <c r="E33" s="140">
        <f t="shared" si="2"/>
        <v>27298.02</v>
      </c>
      <c r="F33" s="140">
        <f t="shared" si="2"/>
        <v>22748.35</v>
      </c>
      <c r="G33" s="140">
        <f t="shared" si="2"/>
        <v>50046.37</v>
      </c>
      <c r="H33" s="140">
        <f t="shared" si="2"/>
        <v>59145.71</v>
      </c>
      <c r="I33" s="140">
        <f t="shared" si="2"/>
        <v>31847.690000000002</v>
      </c>
      <c r="J33" s="140">
        <f t="shared" si="2"/>
        <v>40947.03</v>
      </c>
      <c r="K33" s="140">
        <f t="shared" si="2"/>
        <v>72794.720000000001</v>
      </c>
      <c r="L33" s="140">
        <f t="shared" si="2"/>
        <v>36397.360000000001</v>
      </c>
      <c r="M33" s="140">
        <f t="shared" si="2"/>
        <v>59145.71</v>
      </c>
      <c r="N33" s="140">
        <f t="shared" si="2"/>
        <v>40947.03</v>
      </c>
    </row>
    <row r="34" spans="2:14" ht="15" customHeight="1">
      <c r="B34" s="1" t="s">
        <v>6</v>
      </c>
      <c r="C34" s="140">
        <f t="shared" ref="C34:N34" si="3">C28*$H20</f>
        <v>16351.14</v>
      </c>
      <c r="D34" s="140">
        <f t="shared" si="3"/>
        <v>22011.149999999998</v>
      </c>
      <c r="E34" s="140">
        <f t="shared" si="3"/>
        <v>11948.91</v>
      </c>
      <c r="F34" s="140">
        <f t="shared" si="3"/>
        <v>20124.48</v>
      </c>
      <c r="G34" s="140">
        <f t="shared" si="3"/>
        <v>14464.47</v>
      </c>
      <c r="H34" s="140">
        <f t="shared" si="3"/>
        <v>13835.58</v>
      </c>
      <c r="I34" s="140">
        <f t="shared" si="3"/>
        <v>11320.02</v>
      </c>
      <c r="J34" s="140">
        <f t="shared" si="3"/>
        <v>20753.37</v>
      </c>
      <c r="K34" s="140">
        <f t="shared" si="3"/>
        <v>11320.02</v>
      </c>
      <c r="L34" s="140">
        <f t="shared" si="3"/>
        <v>8175.57</v>
      </c>
      <c r="M34" s="140">
        <f t="shared" si="3"/>
        <v>16351.14</v>
      </c>
      <c r="N34" s="140">
        <f t="shared" si="3"/>
        <v>27042.27</v>
      </c>
    </row>
    <row r="42" spans="2:14" ht="15" customHeight="1">
      <c r="E42" s="115"/>
    </row>
  </sheetData>
  <mergeCells count="4">
    <mergeCell ref="B4:M4"/>
    <mergeCell ref="B7:E7"/>
    <mergeCell ref="J7:M7"/>
    <mergeCell ref="G16:H16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6396A-27A6-4F31-90A0-9C4655901063}">
  <dimension ref="A1:B3"/>
  <sheetViews>
    <sheetView zoomScale="205" zoomScaleNormal="205" workbookViewId="0">
      <selection activeCell="B1" sqref="B1"/>
    </sheetView>
  </sheetViews>
  <sheetFormatPr defaultRowHeight="14.4"/>
  <cols>
    <col min="1" max="1" width="14.5546875" bestFit="1" customWidth="1"/>
  </cols>
  <sheetData>
    <row r="1" spans="1:2">
      <c r="A1" s="138" t="s">
        <v>8</v>
      </c>
      <c r="B1">
        <v>220000</v>
      </c>
    </row>
    <row r="2" spans="1:2">
      <c r="A2" s="138" t="s">
        <v>1077</v>
      </c>
      <c r="B2">
        <v>23000</v>
      </c>
    </row>
    <row r="3" spans="1:2">
      <c r="A3" s="138" t="s">
        <v>1076</v>
      </c>
      <c r="B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O507"/>
  <sheetViews>
    <sheetView topLeftCell="J52" zoomScale="250" zoomScaleNormal="250" workbookViewId="0">
      <selection activeCell="O58" sqref="O58"/>
    </sheetView>
  </sheetViews>
  <sheetFormatPr defaultColWidth="12.6640625" defaultRowHeight="15" customHeight="1"/>
  <cols>
    <col min="1" max="1" width="8.6640625" customWidth="1"/>
    <col min="2" max="2" width="19.44140625" customWidth="1"/>
    <col min="3" max="3" width="19.44140625" bestFit="1" customWidth="1"/>
    <col min="4" max="4" width="10.33203125" customWidth="1"/>
    <col min="5" max="5" width="10.21875" bestFit="1" customWidth="1"/>
    <col min="6" max="6" width="10.88671875" customWidth="1"/>
    <col min="7" max="7" width="8.6640625" customWidth="1"/>
    <col min="8" max="8" width="16.33203125" customWidth="1"/>
    <col min="9" max="11" width="8.6640625" customWidth="1"/>
    <col min="12" max="12" width="14.6640625" customWidth="1"/>
    <col min="13" max="13" width="10.21875" bestFit="1" customWidth="1"/>
    <col min="14" max="26" width="8.6640625" customWidth="1"/>
  </cols>
  <sheetData>
    <row r="3" spans="2:14" ht="14.25" customHeight="1">
      <c r="C3" s="10"/>
      <c r="F3" s="10"/>
    </row>
    <row r="4" spans="2:14" ht="14.25" customHeight="1">
      <c r="C4" s="10"/>
      <c r="F4" s="10"/>
    </row>
    <row r="5" spans="2:14" ht="14.25" customHeight="1">
      <c r="C5" s="10"/>
      <c r="F5" s="10"/>
    </row>
    <row r="6" spans="2:14" ht="14.25" customHeight="1">
      <c r="C6" s="10"/>
      <c r="F6" s="10"/>
    </row>
    <row r="7" spans="2:14" ht="14.25" customHeight="1">
      <c r="B7" s="134" t="s">
        <v>516</v>
      </c>
      <c r="C7" s="134" t="s">
        <v>267</v>
      </c>
      <c r="D7" s="134" t="s">
        <v>237</v>
      </c>
      <c r="E7" s="134" t="s">
        <v>517</v>
      </c>
      <c r="F7" s="134" t="s">
        <v>264</v>
      </c>
      <c r="G7" s="134" t="s">
        <v>383</v>
      </c>
      <c r="H7" s="134" t="s">
        <v>518</v>
      </c>
      <c r="I7" s="134" t="s">
        <v>241</v>
      </c>
      <c r="J7" s="134" t="s">
        <v>519</v>
      </c>
    </row>
    <row r="8" spans="2:14" ht="14.25" customHeight="1">
      <c r="B8" s="105">
        <v>1</v>
      </c>
      <c r="C8" s="135">
        <v>45197</v>
      </c>
      <c r="D8" s="105" t="s">
        <v>243</v>
      </c>
      <c r="E8" s="105" t="s">
        <v>520</v>
      </c>
      <c r="F8" s="105" t="s">
        <v>521</v>
      </c>
      <c r="G8" s="105">
        <v>7</v>
      </c>
      <c r="H8" s="105">
        <v>400.31</v>
      </c>
      <c r="I8" s="105">
        <v>2802.17</v>
      </c>
      <c r="J8" s="105" t="s">
        <v>522</v>
      </c>
    </row>
    <row r="9" spans="2:14" ht="14.25" customHeight="1">
      <c r="B9" s="105">
        <v>2</v>
      </c>
      <c r="C9" s="135">
        <v>45029</v>
      </c>
      <c r="D9" s="105" t="s">
        <v>252</v>
      </c>
      <c r="E9" s="105" t="s">
        <v>523</v>
      </c>
      <c r="F9" s="105" t="s">
        <v>524</v>
      </c>
      <c r="G9" s="105">
        <v>8</v>
      </c>
      <c r="H9" s="105">
        <v>303.33999999999997</v>
      </c>
      <c r="I9" s="105">
        <v>2426.7199999999998</v>
      </c>
      <c r="J9" s="105" t="s">
        <v>525</v>
      </c>
    </row>
    <row r="10" spans="2:14" ht="14.25" customHeight="1">
      <c r="B10" s="105">
        <v>3</v>
      </c>
      <c r="C10" s="135">
        <v>45014</v>
      </c>
      <c r="D10" s="105" t="s">
        <v>243</v>
      </c>
      <c r="E10" s="105" t="s">
        <v>520</v>
      </c>
      <c r="F10" s="105" t="s">
        <v>521</v>
      </c>
      <c r="G10" s="105">
        <v>3</v>
      </c>
      <c r="H10" s="105">
        <v>58.99</v>
      </c>
      <c r="I10" s="105">
        <v>176.97</v>
      </c>
      <c r="J10" s="105" t="s">
        <v>525</v>
      </c>
    </row>
    <row r="11" spans="2:14" ht="14.25" customHeight="1">
      <c r="B11" s="105">
        <v>4</v>
      </c>
      <c r="C11" s="135">
        <v>45078</v>
      </c>
      <c r="D11" s="105" t="s">
        <v>526</v>
      </c>
      <c r="E11" s="105" t="s">
        <v>527</v>
      </c>
      <c r="F11" s="105" t="s">
        <v>528</v>
      </c>
      <c r="G11" s="105">
        <v>5</v>
      </c>
      <c r="H11" s="105">
        <v>304.55</v>
      </c>
      <c r="I11" s="105">
        <v>1522.75</v>
      </c>
      <c r="J11" s="105" t="s">
        <v>529</v>
      </c>
    </row>
    <row r="12" spans="2:14" ht="14.25" customHeight="1">
      <c r="B12" s="105">
        <v>5</v>
      </c>
      <c r="C12" s="135">
        <v>45184</v>
      </c>
      <c r="D12" s="105" t="s">
        <v>530</v>
      </c>
      <c r="E12" s="105" t="s">
        <v>523</v>
      </c>
      <c r="F12" s="105" t="s">
        <v>531</v>
      </c>
      <c r="G12" s="105">
        <v>3</v>
      </c>
      <c r="H12" s="105">
        <v>20.09</v>
      </c>
      <c r="I12" s="105">
        <v>60.27</v>
      </c>
      <c r="J12" s="105" t="s">
        <v>532</v>
      </c>
    </row>
    <row r="13" spans="2:14" ht="14.25" customHeight="1">
      <c r="B13" s="105">
        <v>6</v>
      </c>
      <c r="C13" s="135">
        <v>45220</v>
      </c>
      <c r="D13" s="105" t="s">
        <v>530</v>
      </c>
      <c r="E13" s="105" t="s">
        <v>523</v>
      </c>
      <c r="F13" s="105" t="s">
        <v>531</v>
      </c>
      <c r="G13" s="105">
        <v>8</v>
      </c>
      <c r="H13" s="105">
        <v>417.9</v>
      </c>
      <c r="I13" s="105">
        <v>3343.2</v>
      </c>
      <c r="J13" s="105" t="s">
        <v>533</v>
      </c>
      <c r="L13" s="142" t="s">
        <v>1078</v>
      </c>
    </row>
    <row r="14" spans="2:14" ht="14.25" customHeight="1">
      <c r="B14" s="105">
        <v>7</v>
      </c>
      <c r="C14" s="135">
        <v>45203</v>
      </c>
      <c r="D14" s="105" t="s">
        <v>526</v>
      </c>
      <c r="E14" s="105" t="s">
        <v>520</v>
      </c>
      <c r="F14" s="105" t="s">
        <v>193</v>
      </c>
      <c r="G14" s="105">
        <v>2</v>
      </c>
      <c r="H14" s="105">
        <v>99.09</v>
      </c>
      <c r="I14" s="105">
        <v>198.18</v>
      </c>
      <c r="J14" s="105" t="s">
        <v>534</v>
      </c>
      <c r="L14" s="142"/>
      <c r="N14">
        <f>COUNT(L13:L18)</f>
        <v>2</v>
      </c>
    </row>
    <row r="15" spans="2:14" ht="14.25" customHeight="1">
      <c r="B15" s="105">
        <v>8</v>
      </c>
      <c r="C15" s="135">
        <v>44948</v>
      </c>
      <c r="D15" s="105" t="s">
        <v>252</v>
      </c>
      <c r="E15" s="105" t="s">
        <v>535</v>
      </c>
      <c r="F15" s="105" t="s">
        <v>536</v>
      </c>
      <c r="G15" s="105">
        <v>1</v>
      </c>
      <c r="H15" s="105">
        <v>159.08000000000001</v>
      </c>
      <c r="I15" s="105">
        <v>159.08000000000001</v>
      </c>
      <c r="J15" s="105" t="s">
        <v>532</v>
      </c>
      <c r="L15" s="142" t="s">
        <v>1079</v>
      </c>
      <c r="N15">
        <f>COUNTA(L13:L18)</f>
        <v>5</v>
      </c>
    </row>
    <row r="16" spans="2:14" ht="14.25" customHeight="1">
      <c r="B16" s="105">
        <v>9</v>
      </c>
      <c r="C16" s="135">
        <v>44985</v>
      </c>
      <c r="D16" s="105" t="s">
        <v>252</v>
      </c>
      <c r="E16" s="105" t="s">
        <v>527</v>
      </c>
      <c r="F16" s="105" t="s">
        <v>261</v>
      </c>
      <c r="G16" s="105">
        <v>9</v>
      </c>
      <c r="H16" s="105">
        <v>152.69999999999999</v>
      </c>
      <c r="I16" s="105">
        <v>1374.3</v>
      </c>
      <c r="J16" s="105" t="s">
        <v>532</v>
      </c>
      <c r="L16" s="143">
        <v>22</v>
      </c>
      <c r="N16">
        <f>COUNTBLANK(L13:L18)</f>
        <v>1</v>
      </c>
    </row>
    <row r="17" spans="2:12" ht="14.25" customHeight="1">
      <c r="B17" s="105">
        <v>10</v>
      </c>
      <c r="C17" s="135">
        <v>45170</v>
      </c>
      <c r="D17" s="105" t="s">
        <v>526</v>
      </c>
      <c r="E17" s="105" t="s">
        <v>520</v>
      </c>
      <c r="F17" s="105" t="s">
        <v>537</v>
      </c>
      <c r="G17" s="105">
        <v>3</v>
      </c>
      <c r="H17" s="105">
        <v>197.41</v>
      </c>
      <c r="I17" s="105">
        <v>592.23</v>
      </c>
      <c r="J17" s="105" t="s">
        <v>529</v>
      </c>
      <c r="L17" s="143">
        <v>33</v>
      </c>
    </row>
    <row r="18" spans="2:12" ht="14.25" customHeight="1">
      <c r="B18" s="105">
        <v>11</v>
      </c>
      <c r="C18" s="135">
        <v>45233</v>
      </c>
      <c r="D18" s="105" t="s">
        <v>526</v>
      </c>
      <c r="E18" s="105" t="s">
        <v>535</v>
      </c>
      <c r="F18" s="105" t="s">
        <v>538</v>
      </c>
      <c r="G18" s="105">
        <v>9</v>
      </c>
      <c r="H18" s="105">
        <v>32.76</v>
      </c>
      <c r="I18" s="105">
        <v>294.83999999999997</v>
      </c>
      <c r="J18" s="105" t="s">
        <v>525</v>
      </c>
      <c r="L18" s="142" t="s">
        <v>1080</v>
      </c>
    </row>
    <row r="19" spans="2:12" ht="14.25" customHeight="1">
      <c r="B19" s="105">
        <v>12</v>
      </c>
      <c r="C19" s="135">
        <v>45093</v>
      </c>
      <c r="D19" s="105" t="s">
        <v>530</v>
      </c>
      <c r="E19" s="105" t="s">
        <v>527</v>
      </c>
      <c r="F19" s="105" t="s">
        <v>539</v>
      </c>
      <c r="G19" s="105">
        <v>7</v>
      </c>
      <c r="H19" s="105">
        <v>93.56</v>
      </c>
      <c r="I19" s="105">
        <v>654.92000000000007</v>
      </c>
      <c r="J19" s="105" t="s">
        <v>525</v>
      </c>
    </row>
    <row r="20" spans="2:12" ht="14.25" customHeight="1">
      <c r="B20" s="105">
        <v>13</v>
      </c>
      <c r="C20" s="135">
        <v>45242</v>
      </c>
      <c r="D20" s="105" t="s">
        <v>243</v>
      </c>
      <c r="E20" s="105" t="s">
        <v>535</v>
      </c>
      <c r="F20" s="105" t="s">
        <v>536</v>
      </c>
      <c r="G20" s="105">
        <v>2</v>
      </c>
      <c r="H20" s="105">
        <v>474.95</v>
      </c>
      <c r="I20" s="105">
        <v>949.9</v>
      </c>
      <c r="J20" s="105" t="s">
        <v>534</v>
      </c>
      <c r="L20" s="144" t="s">
        <v>1081</v>
      </c>
    </row>
    <row r="21" spans="2:12" ht="14.25" customHeight="1">
      <c r="B21" s="105">
        <v>14</v>
      </c>
      <c r="C21" s="135">
        <v>45272</v>
      </c>
      <c r="D21" s="105" t="s">
        <v>252</v>
      </c>
      <c r="E21" s="105" t="s">
        <v>535</v>
      </c>
      <c r="F21" s="105" t="s">
        <v>540</v>
      </c>
      <c r="G21" s="105">
        <v>2</v>
      </c>
      <c r="H21" s="105">
        <v>198.85</v>
      </c>
      <c r="I21" s="105">
        <v>397.7</v>
      </c>
      <c r="J21" s="105" t="s">
        <v>522</v>
      </c>
    </row>
    <row r="22" spans="2:12" ht="14.25" customHeight="1">
      <c r="B22" s="105">
        <v>15</v>
      </c>
      <c r="C22" s="135">
        <v>45018</v>
      </c>
      <c r="D22" s="105" t="s">
        <v>530</v>
      </c>
      <c r="E22" s="105" t="s">
        <v>535</v>
      </c>
      <c r="F22" s="105" t="s">
        <v>540</v>
      </c>
      <c r="G22" s="105">
        <v>5</v>
      </c>
      <c r="H22" s="105">
        <v>123.14</v>
      </c>
      <c r="I22" s="105">
        <v>615.70000000000005</v>
      </c>
      <c r="J22" s="105" t="s">
        <v>534</v>
      </c>
      <c r="L22">
        <f>COUNTIF(D8:D507,"east")</f>
        <v>125</v>
      </c>
    </row>
    <row r="23" spans="2:12" ht="14.25" customHeight="1">
      <c r="B23" s="105">
        <v>16</v>
      </c>
      <c r="C23" s="135">
        <v>45190</v>
      </c>
      <c r="D23" s="105" t="s">
        <v>243</v>
      </c>
      <c r="E23" s="105" t="s">
        <v>527</v>
      </c>
      <c r="F23" s="105" t="s">
        <v>539</v>
      </c>
      <c r="G23" s="105">
        <v>7</v>
      </c>
      <c r="H23" s="105">
        <v>308.89999999999998</v>
      </c>
      <c r="I23" s="105">
        <v>2162.3000000000002</v>
      </c>
      <c r="J23" s="105" t="s">
        <v>532</v>
      </c>
    </row>
    <row r="24" spans="2:12" ht="14.25" customHeight="1">
      <c r="B24" s="105">
        <v>17</v>
      </c>
      <c r="C24" s="135">
        <v>44976</v>
      </c>
      <c r="D24" s="105" t="s">
        <v>530</v>
      </c>
      <c r="E24" s="105" t="s">
        <v>520</v>
      </c>
      <c r="F24" s="105" t="s">
        <v>537</v>
      </c>
      <c r="G24" s="105">
        <v>3</v>
      </c>
      <c r="H24" s="105">
        <v>455.57</v>
      </c>
      <c r="I24" s="105">
        <v>1366.71</v>
      </c>
      <c r="J24" s="105" t="s">
        <v>533</v>
      </c>
      <c r="L24" s="144" t="s">
        <v>1082</v>
      </c>
    </row>
    <row r="25" spans="2:12" ht="14.25" customHeight="1">
      <c r="B25" s="105">
        <v>18</v>
      </c>
      <c r="C25" s="135">
        <v>44980</v>
      </c>
      <c r="D25" s="105" t="s">
        <v>526</v>
      </c>
      <c r="E25" s="105" t="s">
        <v>535</v>
      </c>
      <c r="F25" s="105" t="s">
        <v>541</v>
      </c>
      <c r="G25" s="105">
        <v>8</v>
      </c>
      <c r="H25" s="105">
        <v>380.13</v>
      </c>
      <c r="I25" s="105">
        <v>3041.04</v>
      </c>
      <c r="J25" s="105" t="s">
        <v>534</v>
      </c>
    </row>
    <row r="26" spans="2:12" ht="14.25" customHeight="1">
      <c r="B26" s="105">
        <v>19</v>
      </c>
      <c r="C26" s="135">
        <v>45117</v>
      </c>
      <c r="D26" s="105" t="s">
        <v>243</v>
      </c>
      <c r="E26" s="105" t="s">
        <v>520</v>
      </c>
      <c r="F26" s="105" t="s">
        <v>193</v>
      </c>
      <c r="G26" s="105">
        <v>4</v>
      </c>
      <c r="H26" s="105">
        <v>100.58</v>
      </c>
      <c r="I26" s="105">
        <v>402.32</v>
      </c>
      <c r="J26" s="105" t="s">
        <v>525</v>
      </c>
      <c r="L26">
        <f>COUNTIFS(D8:D507,"east",E8:E507,"food")</f>
        <v>26</v>
      </c>
    </row>
    <row r="27" spans="2:12" ht="14.25" customHeight="1">
      <c r="B27" s="105">
        <v>20</v>
      </c>
      <c r="C27" s="135">
        <v>45088</v>
      </c>
      <c r="D27" s="105" t="s">
        <v>243</v>
      </c>
      <c r="E27" s="105" t="s">
        <v>527</v>
      </c>
      <c r="F27" s="105" t="s">
        <v>261</v>
      </c>
      <c r="G27" s="105">
        <v>2</v>
      </c>
      <c r="H27" s="105">
        <v>389.82</v>
      </c>
      <c r="I27" s="105">
        <v>779.64</v>
      </c>
      <c r="J27" s="105" t="s">
        <v>525</v>
      </c>
    </row>
    <row r="28" spans="2:12" ht="14.25" customHeight="1">
      <c r="B28" s="105">
        <v>21</v>
      </c>
      <c r="C28" s="135">
        <v>45230</v>
      </c>
      <c r="D28" s="105" t="s">
        <v>243</v>
      </c>
      <c r="E28" s="105" t="s">
        <v>520</v>
      </c>
      <c r="F28" s="105" t="s">
        <v>193</v>
      </c>
      <c r="G28" s="105">
        <v>4</v>
      </c>
      <c r="H28" s="105">
        <v>302.97000000000003</v>
      </c>
      <c r="I28" s="105">
        <v>1211.8800000000001</v>
      </c>
      <c r="J28" s="105" t="s">
        <v>522</v>
      </c>
      <c r="L28" s="144" t="s">
        <v>1083</v>
      </c>
    </row>
    <row r="29" spans="2:12" ht="14.25" customHeight="1">
      <c r="B29" s="105">
        <v>22</v>
      </c>
      <c r="C29" s="135">
        <v>45178</v>
      </c>
      <c r="D29" s="105" t="s">
        <v>530</v>
      </c>
      <c r="E29" s="105" t="s">
        <v>527</v>
      </c>
      <c r="F29" s="105" t="s">
        <v>539</v>
      </c>
      <c r="G29" s="105">
        <v>8</v>
      </c>
      <c r="H29" s="105">
        <v>289.52</v>
      </c>
      <c r="I29" s="105">
        <v>2316.16</v>
      </c>
      <c r="J29" s="105" t="s">
        <v>532</v>
      </c>
    </row>
    <row r="30" spans="2:12" ht="14.25" customHeight="1">
      <c r="B30" s="105">
        <v>23</v>
      </c>
      <c r="C30" s="135">
        <v>45139</v>
      </c>
      <c r="D30" s="105" t="s">
        <v>530</v>
      </c>
      <c r="E30" s="105" t="s">
        <v>523</v>
      </c>
      <c r="F30" s="105" t="s">
        <v>542</v>
      </c>
      <c r="G30" s="105">
        <v>9</v>
      </c>
      <c r="H30" s="105">
        <v>480.97</v>
      </c>
      <c r="I30" s="105">
        <v>4328.7299999999996</v>
      </c>
      <c r="J30" s="105" t="s">
        <v>543</v>
      </c>
      <c r="L30">
        <f>SUMIF(D8:D507,"east",G8:G507)</f>
        <v>628</v>
      </c>
    </row>
    <row r="31" spans="2:12" ht="14.25" customHeight="1">
      <c r="B31" s="105">
        <v>24</v>
      </c>
      <c r="C31" s="135">
        <v>45206</v>
      </c>
      <c r="D31" s="105" t="s">
        <v>526</v>
      </c>
      <c r="E31" s="105" t="s">
        <v>527</v>
      </c>
      <c r="F31" s="105" t="s">
        <v>544</v>
      </c>
      <c r="G31" s="105">
        <v>2</v>
      </c>
      <c r="H31" s="105">
        <v>274.45</v>
      </c>
      <c r="I31" s="105">
        <v>548.9</v>
      </c>
      <c r="J31" s="105" t="s">
        <v>525</v>
      </c>
    </row>
    <row r="32" spans="2:12" ht="14.25" customHeight="1">
      <c r="B32" s="105">
        <v>25</v>
      </c>
      <c r="C32" s="135">
        <v>44967</v>
      </c>
      <c r="D32" s="105" t="s">
        <v>526</v>
      </c>
      <c r="E32" s="105" t="s">
        <v>523</v>
      </c>
      <c r="F32" s="105" t="s">
        <v>545</v>
      </c>
      <c r="G32" s="105">
        <v>9</v>
      </c>
      <c r="H32" s="105">
        <v>147.66</v>
      </c>
      <c r="I32" s="105">
        <v>1328.94</v>
      </c>
      <c r="J32" s="105" t="s">
        <v>534</v>
      </c>
      <c r="L32" s="144" t="s">
        <v>1084</v>
      </c>
    </row>
    <row r="33" spans="2:13" ht="14.25" customHeight="1">
      <c r="B33" s="105">
        <v>26</v>
      </c>
      <c r="C33" s="135">
        <v>44935</v>
      </c>
      <c r="D33" s="105" t="s">
        <v>243</v>
      </c>
      <c r="E33" s="105" t="s">
        <v>523</v>
      </c>
      <c r="F33" s="105" t="s">
        <v>542</v>
      </c>
      <c r="G33" s="105">
        <v>1</v>
      </c>
      <c r="H33" s="105">
        <v>17.66</v>
      </c>
      <c r="I33" s="105">
        <v>17.66</v>
      </c>
      <c r="J33" s="105" t="s">
        <v>543</v>
      </c>
    </row>
    <row r="34" spans="2:13" ht="14.25" customHeight="1">
      <c r="B34" s="105">
        <v>27</v>
      </c>
      <c r="C34" s="135">
        <v>45062</v>
      </c>
      <c r="D34" s="105" t="s">
        <v>526</v>
      </c>
      <c r="E34" s="105" t="s">
        <v>527</v>
      </c>
      <c r="F34" s="105" t="s">
        <v>539</v>
      </c>
      <c r="G34" s="105">
        <v>8</v>
      </c>
      <c r="H34" s="105">
        <v>203.49</v>
      </c>
      <c r="I34" s="105">
        <v>1627.92</v>
      </c>
      <c r="J34" s="105" t="s">
        <v>522</v>
      </c>
      <c r="L34">
        <f>SUMIFS(G8:G507,D8:D507,"east",E8:E507,"food")</f>
        <v>135</v>
      </c>
    </row>
    <row r="35" spans="2:13" ht="14.25" customHeight="1">
      <c r="B35" s="105">
        <v>28</v>
      </c>
      <c r="C35" s="135">
        <v>45007</v>
      </c>
      <c r="D35" s="105" t="s">
        <v>243</v>
      </c>
      <c r="E35" s="105" t="s">
        <v>520</v>
      </c>
      <c r="F35" s="105" t="s">
        <v>193</v>
      </c>
      <c r="G35" s="105">
        <v>8</v>
      </c>
      <c r="H35" s="105">
        <v>16.899999999999999</v>
      </c>
      <c r="I35" s="105">
        <v>135.19999999999999</v>
      </c>
      <c r="J35" s="105" t="s">
        <v>533</v>
      </c>
    </row>
    <row r="36" spans="2:13" ht="14.25" customHeight="1">
      <c r="B36" s="105">
        <v>29</v>
      </c>
      <c r="C36" s="135">
        <v>45215</v>
      </c>
      <c r="D36" s="105" t="s">
        <v>526</v>
      </c>
      <c r="E36" s="105" t="s">
        <v>520</v>
      </c>
      <c r="F36" s="105" t="s">
        <v>546</v>
      </c>
      <c r="G36" s="105">
        <v>8</v>
      </c>
      <c r="H36" s="105">
        <v>367.21</v>
      </c>
      <c r="I36" s="105">
        <v>2937.68</v>
      </c>
      <c r="J36" s="105" t="s">
        <v>522</v>
      </c>
      <c r="L36" s="144" t="s">
        <v>1085</v>
      </c>
    </row>
    <row r="37" spans="2:13" ht="14.25" customHeight="1">
      <c r="B37" s="105">
        <v>30</v>
      </c>
      <c r="C37" s="135">
        <v>44967</v>
      </c>
      <c r="D37" s="105" t="s">
        <v>252</v>
      </c>
      <c r="E37" s="105" t="s">
        <v>523</v>
      </c>
      <c r="F37" s="105" t="s">
        <v>545</v>
      </c>
      <c r="G37" s="105">
        <v>5</v>
      </c>
      <c r="H37" s="105">
        <v>463.89</v>
      </c>
      <c r="I37" s="105">
        <v>2319.4499999999998</v>
      </c>
      <c r="J37" s="105" t="s">
        <v>533</v>
      </c>
    </row>
    <row r="38" spans="2:13" ht="14.25" customHeight="1">
      <c r="B38" s="105">
        <v>31</v>
      </c>
      <c r="C38" s="135">
        <v>45194</v>
      </c>
      <c r="D38" s="105" t="s">
        <v>530</v>
      </c>
      <c r="E38" s="105" t="s">
        <v>535</v>
      </c>
      <c r="F38" s="105" t="s">
        <v>540</v>
      </c>
      <c r="G38" s="105">
        <v>7</v>
      </c>
      <c r="H38" s="105">
        <v>426.52</v>
      </c>
      <c r="I38" s="105">
        <v>2985.64</v>
      </c>
      <c r="J38" s="105" t="s">
        <v>532</v>
      </c>
      <c r="L38" t="str" cm="1">
        <f t="array" ref="L38:M43">_xlfn.GROUPBY(D7:D507,G7:G507,_xleta.SUM,3,1,-2)</f>
        <v>Region</v>
      </c>
      <c r="M38" t="str">
        <v>Quantity</v>
      </c>
    </row>
    <row r="39" spans="2:13" ht="14.25" customHeight="1">
      <c r="B39" s="105">
        <v>32</v>
      </c>
      <c r="C39" s="135">
        <v>44988</v>
      </c>
      <c r="D39" s="105" t="s">
        <v>526</v>
      </c>
      <c r="E39" s="105" t="s">
        <v>520</v>
      </c>
      <c r="F39" s="105" t="s">
        <v>537</v>
      </c>
      <c r="G39" s="105">
        <v>2</v>
      </c>
      <c r="H39" s="105">
        <v>56.75</v>
      </c>
      <c r="I39" s="105">
        <v>113.5</v>
      </c>
      <c r="J39" s="105" t="s">
        <v>522</v>
      </c>
      <c r="L39" t="str">
        <v>North</v>
      </c>
      <c r="M39">
        <v>666</v>
      </c>
    </row>
    <row r="40" spans="2:13" ht="14.25" customHeight="1">
      <c r="B40" s="105">
        <v>33</v>
      </c>
      <c r="C40" s="135">
        <v>45098</v>
      </c>
      <c r="D40" s="105" t="s">
        <v>530</v>
      </c>
      <c r="E40" s="105" t="s">
        <v>520</v>
      </c>
      <c r="F40" s="105" t="s">
        <v>537</v>
      </c>
      <c r="G40" s="105">
        <v>8</v>
      </c>
      <c r="H40" s="105">
        <v>336.3</v>
      </c>
      <c r="I40" s="105">
        <v>2690.4</v>
      </c>
      <c r="J40" s="105" t="s">
        <v>522</v>
      </c>
      <c r="L40" t="str">
        <v>South</v>
      </c>
      <c r="M40">
        <v>653</v>
      </c>
    </row>
    <row r="41" spans="2:13" ht="15" customHeight="1">
      <c r="B41" s="105">
        <v>34</v>
      </c>
      <c r="C41" s="135">
        <v>44961</v>
      </c>
      <c r="D41" s="105" t="s">
        <v>252</v>
      </c>
      <c r="E41" s="105" t="s">
        <v>523</v>
      </c>
      <c r="F41" s="105" t="s">
        <v>531</v>
      </c>
      <c r="G41" s="105">
        <v>8</v>
      </c>
      <c r="H41" s="105">
        <v>144.61000000000001</v>
      </c>
      <c r="I41" s="105">
        <v>1156.8800000000001</v>
      </c>
      <c r="J41" s="105" t="s">
        <v>522</v>
      </c>
      <c r="L41" t="str">
        <v>East</v>
      </c>
      <c r="M41">
        <v>628</v>
      </c>
    </row>
    <row r="42" spans="2:13" ht="15" customHeight="1">
      <c r="B42" s="105">
        <v>35</v>
      </c>
      <c r="C42" s="135">
        <v>45057</v>
      </c>
      <c r="D42" s="105" t="s">
        <v>526</v>
      </c>
      <c r="E42" s="105" t="s">
        <v>535</v>
      </c>
      <c r="F42" s="105" t="s">
        <v>540</v>
      </c>
      <c r="G42" s="105">
        <v>1</v>
      </c>
      <c r="H42" s="105">
        <v>197.63</v>
      </c>
      <c r="I42" s="105">
        <v>197.63</v>
      </c>
      <c r="J42" s="105" t="s">
        <v>522</v>
      </c>
      <c r="L42" t="str">
        <v>West</v>
      </c>
      <c r="M42">
        <v>510</v>
      </c>
    </row>
    <row r="43" spans="2:13" ht="15" customHeight="1">
      <c r="B43" s="105">
        <v>36</v>
      </c>
      <c r="C43" s="135">
        <v>45181</v>
      </c>
      <c r="D43" s="105" t="s">
        <v>526</v>
      </c>
      <c r="E43" s="105" t="s">
        <v>535</v>
      </c>
      <c r="F43" s="105" t="s">
        <v>538</v>
      </c>
      <c r="G43" s="105">
        <v>1</v>
      </c>
      <c r="H43" s="105">
        <v>363.65</v>
      </c>
      <c r="I43" s="105">
        <v>363.65</v>
      </c>
      <c r="J43" s="105" t="s">
        <v>543</v>
      </c>
      <c r="L43" t="str">
        <v>Total</v>
      </c>
      <c r="M43">
        <v>2457</v>
      </c>
    </row>
    <row r="44" spans="2:13" ht="15" customHeight="1">
      <c r="B44" s="105">
        <v>37</v>
      </c>
      <c r="C44" s="135">
        <v>45133</v>
      </c>
      <c r="D44" s="105" t="s">
        <v>252</v>
      </c>
      <c r="E44" s="105" t="s">
        <v>527</v>
      </c>
      <c r="F44" s="105" t="s">
        <v>539</v>
      </c>
      <c r="G44" s="105">
        <v>7</v>
      </c>
      <c r="H44" s="105">
        <v>29.81</v>
      </c>
      <c r="I44" s="105">
        <v>208.67</v>
      </c>
      <c r="J44" s="105" t="s">
        <v>529</v>
      </c>
    </row>
    <row r="45" spans="2:13" ht="15" customHeight="1">
      <c r="B45" s="105">
        <v>38</v>
      </c>
      <c r="C45" s="135">
        <v>45157</v>
      </c>
      <c r="D45" s="105" t="s">
        <v>243</v>
      </c>
      <c r="E45" s="105" t="s">
        <v>523</v>
      </c>
      <c r="F45" s="105" t="s">
        <v>542</v>
      </c>
      <c r="G45" s="105">
        <v>3</v>
      </c>
      <c r="H45" s="105">
        <v>25.4</v>
      </c>
      <c r="I45" s="105">
        <v>76.199999999999989</v>
      </c>
      <c r="J45" s="105" t="s">
        <v>532</v>
      </c>
      <c r="L45" s="141" t="s">
        <v>1086</v>
      </c>
    </row>
    <row r="46" spans="2:13" ht="15" customHeight="1">
      <c r="B46" s="105">
        <v>39</v>
      </c>
      <c r="C46" s="135">
        <v>45022</v>
      </c>
      <c r="D46" s="105" t="s">
        <v>526</v>
      </c>
      <c r="E46" s="105" t="s">
        <v>527</v>
      </c>
      <c r="F46" s="105" t="s">
        <v>528</v>
      </c>
      <c r="G46" s="105">
        <v>1</v>
      </c>
      <c r="H46" s="105">
        <v>164.03</v>
      </c>
      <c r="I46" s="105">
        <v>164.03</v>
      </c>
      <c r="J46" s="105" t="s">
        <v>532</v>
      </c>
    </row>
    <row r="47" spans="2:13" ht="15" customHeight="1">
      <c r="B47" s="105">
        <v>40</v>
      </c>
      <c r="C47" s="135">
        <v>45157</v>
      </c>
      <c r="D47" s="105" t="s">
        <v>243</v>
      </c>
      <c r="E47" s="105" t="s">
        <v>527</v>
      </c>
      <c r="F47" s="105" t="s">
        <v>261</v>
      </c>
      <c r="G47" s="105">
        <v>4</v>
      </c>
      <c r="H47" s="105">
        <v>454.71</v>
      </c>
      <c r="I47" s="105">
        <v>1818.84</v>
      </c>
      <c r="J47" s="105" t="s">
        <v>534</v>
      </c>
      <c r="L47" s="146" t="s">
        <v>237</v>
      </c>
      <c r="M47" s="146" t="s">
        <v>517</v>
      </c>
    </row>
    <row r="48" spans="2:13" ht="15" customHeight="1">
      <c r="B48" s="105">
        <v>41</v>
      </c>
      <c r="C48" s="135">
        <v>45253</v>
      </c>
      <c r="D48" s="105" t="s">
        <v>252</v>
      </c>
      <c r="E48" s="105" t="s">
        <v>535</v>
      </c>
      <c r="F48" s="105" t="s">
        <v>541</v>
      </c>
      <c r="G48" s="105">
        <v>4</v>
      </c>
      <c r="H48" s="105">
        <v>472</v>
      </c>
      <c r="I48" s="105">
        <v>1888</v>
      </c>
      <c r="J48" s="105" t="s">
        <v>533</v>
      </c>
      <c r="L48" s="145" t="s">
        <v>243</v>
      </c>
      <c r="M48" s="145" t="s">
        <v>535</v>
      </c>
    </row>
    <row r="49" spans="2:15" ht="15" customHeight="1">
      <c r="B49" s="105">
        <v>42</v>
      </c>
      <c r="C49" s="135">
        <v>44992</v>
      </c>
      <c r="D49" s="105" t="s">
        <v>252</v>
      </c>
      <c r="E49" s="105" t="s">
        <v>527</v>
      </c>
      <c r="F49" s="105" t="s">
        <v>539</v>
      </c>
      <c r="G49" s="105">
        <v>3</v>
      </c>
      <c r="H49" s="105">
        <v>89</v>
      </c>
      <c r="I49" s="105">
        <v>267</v>
      </c>
      <c r="J49" s="105" t="s">
        <v>532</v>
      </c>
    </row>
    <row r="50" spans="2:15" ht="15" customHeight="1">
      <c r="B50" s="105">
        <v>43</v>
      </c>
      <c r="C50" s="135">
        <v>45210</v>
      </c>
      <c r="D50" s="105" t="s">
        <v>530</v>
      </c>
      <c r="E50" s="105" t="s">
        <v>527</v>
      </c>
      <c r="F50" s="105" t="s">
        <v>528</v>
      </c>
      <c r="G50" s="105">
        <v>9</v>
      </c>
      <c r="H50" s="105">
        <v>61.69</v>
      </c>
      <c r="I50" s="105">
        <v>555.21</v>
      </c>
      <c r="J50" s="105" t="s">
        <v>522</v>
      </c>
      <c r="L50">
        <f>DSUM(B7:J507,G7,L47:M48)</f>
        <v>135</v>
      </c>
    </row>
    <row r="51" spans="2:15" ht="15" customHeight="1">
      <c r="B51" s="105">
        <v>44</v>
      </c>
      <c r="C51" s="135">
        <v>45257</v>
      </c>
      <c r="D51" s="105" t="s">
        <v>252</v>
      </c>
      <c r="E51" s="105" t="s">
        <v>535</v>
      </c>
      <c r="F51" s="105" t="s">
        <v>541</v>
      </c>
      <c r="G51" s="105">
        <v>4</v>
      </c>
      <c r="H51" s="105">
        <v>447.35</v>
      </c>
      <c r="I51" s="105">
        <v>1789.4</v>
      </c>
      <c r="J51" s="105" t="s">
        <v>543</v>
      </c>
    </row>
    <row r="52" spans="2:15" ht="15" customHeight="1">
      <c r="B52" s="105">
        <v>45</v>
      </c>
      <c r="C52" s="135">
        <v>45157</v>
      </c>
      <c r="D52" s="105" t="s">
        <v>243</v>
      </c>
      <c r="E52" s="105" t="s">
        <v>523</v>
      </c>
      <c r="F52" s="105" t="s">
        <v>545</v>
      </c>
      <c r="G52" s="105">
        <v>7</v>
      </c>
      <c r="H52" s="105">
        <v>449.08</v>
      </c>
      <c r="I52" s="105">
        <v>3143.56</v>
      </c>
      <c r="J52" s="105" t="s">
        <v>529</v>
      </c>
      <c r="L52">
        <f>DCOUNTA(B7:J507,E7,L47:M48)</f>
        <v>26</v>
      </c>
    </row>
    <row r="53" spans="2:15" ht="15" customHeight="1">
      <c r="B53" s="105">
        <v>46</v>
      </c>
      <c r="C53" s="135">
        <v>45209</v>
      </c>
      <c r="D53" s="105" t="s">
        <v>243</v>
      </c>
      <c r="E53" s="105" t="s">
        <v>520</v>
      </c>
      <c r="F53" s="105" t="s">
        <v>193</v>
      </c>
      <c r="G53" s="105">
        <v>1</v>
      </c>
      <c r="H53" s="105">
        <v>143.34</v>
      </c>
      <c r="I53" s="105">
        <v>143.34</v>
      </c>
      <c r="J53" s="105" t="s">
        <v>532</v>
      </c>
    </row>
    <row r="54" spans="2:15" ht="15" customHeight="1">
      <c r="B54" s="105">
        <v>47</v>
      </c>
      <c r="C54" s="135">
        <v>45159</v>
      </c>
      <c r="D54" s="105" t="s">
        <v>243</v>
      </c>
      <c r="E54" s="105" t="s">
        <v>520</v>
      </c>
      <c r="F54" s="105" t="s">
        <v>193</v>
      </c>
      <c r="G54" s="105">
        <v>9</v>
      </c>
      <c r="H54" s="105">
        <v>410.83</v>
      </c>
      <c r="I54" s="105">
        <v>3697.47</v>
      </c>
      <c r="J54" s="105" t="s">
        <v>543</v>
      </c>
    </row>
    <row r="55" spans="2:15" ht="15" customHeight="1">
      <c r="B55" s="105">
        <v>48</v>
      </c>
      <c r="C55" s="135">
        <v>45063</v>
      </c>
      <c r="D55" s="105" t="s">
        <v>526</v>
      </c>
      <c r="E55" s="105" t="s">
        <v>535</v>
      </c>
      <c r="F55" s="105" t="s">
        <v>538</v>
      </c>
      <c r="G55" s="105">
        <v>3</v>
      </c>
      <c r="H55" s="105">
        <v>13.41</v>
      </c>
      <c r="I55" s="105">
        <v>40.229999999999997</v>
      </c>
      <c r="J55" s="105" t="s">
        <v>522</v>
      </c>
      <c r="L55" s="144" t="s">
        <v>1072</v>
      </c>
      <c r="M55" s="144" t="s">
        <v>73</v>
      </c>
    </row>
    <row r="56" spans="2:15" ht="15" customHeight="1">
      <c r="B56" s="105">
        <v>49</v>
      </c>
      <c r="C56" s="135">
        <v>45160</v>
      </c>
      <c r="D56" s="105" t="s">
        <v>530</v>
      </c>
      <c r="E56" s="105" t="s">
        <v>535</v>
      </c>
      <c r="F56" s="105" t="s">
        <v>536</v>
      </c>
      <c r="G56" s="105">
        <v>5</v>
      </c>
      <c r="H56" s="105">
        <v>349.29</v>
      </c>
      <c r="I56" s="105">
        <v>1746.45</v>
      </c>
      <c r="J56" s="105" t="s">
        <v>534</v>
      </c>
      <c r="L56" s="178" t="s">
        <v>1120</v>
      </c>
      <c r="M56">
        <v>10</v>
      </c>
      <c r="O56">
        <f>COUNTIF(L56:L59,"*Selangor")</f>
        <v>2</v>
      </c>
    </row>
    <row r="57" spans="2:15" ht="15" customHeight="1">
      <c r="B57" s="105">
        <v>50</v>
      </c>
      <c r="C57" s="135">
        <v>45086</v>
      </c>
      <c r="D57" s="105" t="s">
        <v>243</v>
      </c>
      <c r="E57" s="105" t="s">
        <v>523</v>
      </c>
      <c r="F57" s="105" t="s">
        <v>545</v>
      </c>
      <c r="G57" s="105">
        <v>8</v>
      </c>
      <c r="H57" s="105">
        <v>472.03</v>
      </c>
      <c r="I57" s="105">
        <v>3776.24</v>
      </c>
      <c r="J57" s="105" t="s">
        <v>534</v>
      </c>
      <c r="L57" s="178" t="s">
        <v>1121</v>
      </c>
      <c r="M57">
        <v>10</v>
      </c>
      <c r="O57">
        <f>SUMIF(L56:L59,"*selangor*",M56:M59)</f>
        <v>30</v>
      </c>
    </row>
    <row r="58" spans="2:15" ht="15" customHeight="1">
      <c r="B58" s="105">
        <v>51</v>
      </c>
      <c r="C58" s="135">
        <v>45039</v>
      </c>
      <c r="D58" s="105" t="s">
        <v>530</v>
      </c>
      <c r="E58" s="105" t="s">
        <v>527</v>
      </c>
      <c r="F58" s="105" t="s">
        <v>528</v>
      </c>
      <c r="G58" s="105">
        <v>8</v>
      </c>
      <c r="H58" s="105">
        <v>354.48</v>
      </c>
      <c r="I58" s="105">
        <v>2835.84</v>
      </c>
      <c r="J58" s="105" t="s">
        <v>525</v>
      </c>
      <c r="L58" s="178" t="s">
        <v>1122</v>
      </c>
      <c r="M58">
        <v>10</v>
      </c>
    </row>
    <row r="59" spans="2:15" ht="15" customHeight="1">
      <c r="B59" s="105">
        <v>52</v>
      </c>
      <c r="C59" s="135">
        <v>45194</v>
      </c>
      <c r="D59" s="105" t="s">
        <v>252</v>
      </c>
      <c r="E59" s="105" t="s">
        <v>523</v>
      </c>
      <c r="F59" s="105" t="s">
        <v>542</v>
      </c>
      <c r="G59" s="105">
        <v>1</v>
      </c>
      <c r="H59" s="105">
        <v>134.41999999999999</v>
      </c>
      <c r="I59" s="105">
        <v>134.41999999999999</v>
      </c>
      <c r="J59" s="105" t="s">
        <v>534</v>
      </c>
      <c r="L59" s="178" t="s">
        <v>1123</v>
      </c>
      <c r="M59">
        <v>10</v>
      </c>
    </row>
    <row r="60" spans="2:15" ht="15" customHeight="1">
      <c r="B60" s="105">
        <v>53</v>
      </c>
      <c r="C60" s="135">
        <v>45039</v>
      </c>
      <c r="D60" s="105" t="s">
        <v>243</v>
      </c>
      <c r="E60" s="105" t="s">
        <v>535</v>
      </c>
      <c r="F60" s="105" t="s">
        <v>538</v>
      </c>
      <c r="G60" s="105">
        <v>7</v>
      </c>
      <c r="H60" s="105">
        <v>253.65</v>
      </c>
      <c r="I60" s="105">
        <v>1775.55</v>
      </c>
      <c r="J60" s="105" t="s">
        <v>532</v>
      </c>
    </row>
    <row r="61" spans="2:15" ht="15" customHeight="1">
      <c r="B61" s="105">
        <v>54</v>
      </c>
      <c r="C61" s="135">
        <v>45007</v>
      </c>
      <c r="D61" s="105" t="s">
        <v>526</v>
      </c>
      <c r="E61" s="105" t="s">
        <v>527</v>
      </c>
      <c r="F61" s="105" t="s">
        <v>261</v>
      </c>
      <c r="G61" s="105">
        <v>5</v>
      </c>
      <c r="H61" s="105">
        <v>149.57</v>
      </c>
      <c r="I61" s="105">
        <v>747.84999999999991</v>
      </c>
      <c r="J61" s="105" t="s">
        <v>534</v>
      </c>
    </row>
    <row r="62" spans="2:15" ht="15" customHeight="1">
      <c r="B62" s="105">
        <v>55</v>
      </c>
      <c r="C62" s="135">
        <v>45146</v>
      </c>
      <c r="D62" s="105" t="s">
        <v>243</v>
      </c>
      <c r="E62" s="105" t="s">
        <v>535</v>
      </c>
      <c r="F62" s="105" t="s">
        <v>541</v>
      </c>
      <c r="G62" s="105">
        <v>1</v>
      </c>
      <c r="H62" s="105">
        <v>488.54</v>
      </c>
      <c r="I62" s="105">
        <v>488.54</v>
      </c>
      <c r="J62" s="105" t="s">
        <v>543</v>
      </c>
    </row>
    <row r="63" spans="2:15" ht="15" customHeight="1">
      <c r="B63" s="105">
        <v>56</v>
      </c>
      <c r="C63" s="135">
        <v>45150</v>
      </c>
      <c r="D63" s="105" t="s">
        <v>526</v>
      </c>
      <c r="E63" s="105" t="s">
        <v>527</v>
      </c>
      <c r="F63" s="105" t="s">
        <v>539</v>
      </c>
      <c r="G63" s="105">
        <v>6</v>
      </c>
      <c r="H63" s="105">
        <v>26.19</v>
      </c>
      <c r="I63" s="105">
        <v>157.13999999999999</v>
      </c>
      <c r="J63" s="105" t="s">
        <v>534</v>
      </c>
    </row>
    <row r="64" spans="2:15" ht="15" customHeight="1">
      <c r="B64" s="105">
        <v>57</v>
      </c>
      <c r="C64" s="135">
        <v>45052</v>
      </c>
      <c r="D64" s="105" t="s">
        <v>530</v>
      </c>
      <c r="E64" s="105" t="s">
        <v>523</v>
      </c>
      <c r="F64" s="105" t="s">
        <v>531</v>
      </c>
      <c r="G64" s="105">
        <v>1</v>
      </c>
      <c r="H64" s="105">
        <v>320.83</v>
      </c>
      <c r="I64" s="105">
        <v>320.83</v>
      </c>
      <c r="J64" s="105" t="s">
        <v>533</v>
      </c>
    </row>
    <row r="65" spans="2:10" ht="15" customHeight="1">
      <c r="B65" s="105">
        <v>58</v>
      </c>
      <c r="C65" s="135">
        <v>45144</v>
      </c>
      <c r="D65" s="105" t="s">
        <v>243</v>
      </c>
      <c r="E65" s="105" t="s">
        <v>535</v>
      </c>
      <c r="F65" s="105" t="s">
        <v>540</v>
      </c>
      <c r="G65" s="105">
        <v>2</v>
      </c>
      <c r="H65" s="105">
        <v>270.16000000000003</v>
      </c>
      <c r="I65" s="105">
        <v>540.32000000000005</v>
      </c>
      <c r="J65" s="105" t="s">
        <v>525</v>
      </c>
    </row>
    <row r="66" spans="2:10" ht="15" customHeight="1">
      <c r="B66" s="105">
        <v>59</v>
      </c>
      <c r="C66" s="135">
        <v>45250</v>
      </c>
      <c r="D66" s="105" t="s">
        <v>526</v>
      </c>
      <c r="E66" s="105" t="s">
        <v>520</v>
      </c>
      <c r="F66" s="105" t="s">
        <v>546</v>
      </c>
      <c r="G66" s="105">
        <v>6</v>
      </c>
      <c r="H66" s="105">
        <v>128.61000000000001</v>
      </c>
      <c r="I66" s="105">
        <v>771.66000000000008</v>
      </c>
      <c r="J66" s="105" t="s">
        <v>543</v>
      </c>
    </row>
    <row r="67" spans="2:10" ht="15" customHeight="1">
      <c r="B67" s="105">
        <v>60</v>
      </c>
      <c r="C67" s="135">
        <v>45049</v>
      </c>
      <c r="D67" s="105" t="s">
        <v>243</v>
      </c>
      <c r="E67" s="105" t="s">
        <v>527</v>
      </c>
      <c r="F67" s="105" t="s">
        <v>544</v>
      </c>
      <c r="G67" s="105">
        <v>7</v>
      </c>
      <c r="H67" s="105">
        <v>383.19</v>
      </c>
      <c r="I67" s="105">
        <v>2682.33</v>
      </c>
      <c r="J67" s="105" t="s">
        <v>533</v>
      </c>
    </row>
    <row r="68" spans="2:10" ht="15" customHeight="1">
      <c r="B68" s="105">
        <v>61</v>
      </c>
      <c r="C68" s="135">
        <v>45206</v>
      </c>
      <c r="D68" s="105" t="s">
        <v>530</v>
      </c>
      <c r="E68" s="105" t="s">
        <v>520</v>
      </c>
      <c r="F68" s="105" t="s">
        <v>193</v>
      </c>
      <c r="G68" s="105">
        <v>1</v>
      </c>
      <c r="H68" s="105">
        <v>366.83</v>
      </c>
      <c r="I68" s="105">
        <v>366.83</v>
      </c>
      <c r="J68" s="105" t="s">
        <v>525</v>
      </c>
    </row>
    <row r="69" spans="2:10" ht="15" customHeight="1">
      <c r="B69" s="105">
        <v>62</v>
      </c>
      <c r="C69" s="135">
        <v>45124</v>
      </c>
      <c r="D69" s="105" t="s">
        <v>526</v>
      </c>
      <c r="E69" s="105" t="s">
        <v>527</v>
      </c>
      <c r="F69" s="105" t="s">
        <v>539</v>
      </c>
      <c r="G69" s="105">
        <v>5</v>
      </c>
      <c r="H69" s="105">
        <v>319.83</v>
      </c>
      <c r="I69" s="105">
        <v>1599.15</v>
      </c>
      <c r="J69" s="105" t="s">
        <v>529</v>
      </c>
    </row>
    <row r="70" spans="2:10" ht="15" customHeight="1">
      <c r="B70" s="105">
        <v>63</v>
      </c>
      <c r="C70" s="135">
        <v>45166</v>
      </c>
      <c r="D70" s="105" t="s">
        <v>252</v>
      </c>
      <c r="E70" s="105" t="s">
        <v>520</v>
      </c>
      <c r="F70" s="105" t="s">
        <v>537</v>
      </c>
      <c r="G70" s="105">
        <v>6</v>
      </c>
      <c r="H70" s="105">
        <v>272.52999999999997</v>
      </c>
      <c r="I70" s="105">
        <v>1635.18</v>
      </c>
      <c r="J70" s="105" t="s">
        <v>532</v>
      </c>
    </row>
    <row r="71" spans="2:10" ht="15" customHeight="1">
      <c r="B71" s="105">
        <v>64</v>
      </c>
      <c r="C71" s="135">
        <v>45113</v>
      </c>
      <c r="D71" s="105" t="s">
        <v>252</v>
      </c>
      <c r="E71" s="105" t="s">
        <v>535</v>
      </c>
      <c r="F71" s="105" t="s">
        <v>536</v>
      </c>
      <c r="G71" s="105">
        <v>1</v>
      </c>
      <c r="H71" s="105">
        <v>83.85</v>
      </c>
      <c r="I71" s="105">
        <v>83.85</v>
      </c>
      <c r="J71" s="105" t="s">
        <v>529</v>
      </c>
    </row>
    <row r="72" spans="2:10" ht="15" customHeight="1">
      <c r="B72" s="105">
        <v>65</v>
      </c>
      <c r="C72" s="135">
        <v>45185</v>
      </c>
      <c r="D72" s="105" t="s">
        <v>252</v>
      </c>
      <c r="E72" s="105" t="s">
        <v>535</v>
      </c>
      <c r="F72" s="105" t="s">
        <v>538</v>
      </c>
      <c r="G72" s="105">
        <v>6</v>
      </c>
      <c r="H72" s="105">
        <v>350.95</v>
      </c>
      <c r="I72" s="105">
        <v>2105.6999999999998</v>
      </c>
      <c r="J72" s="105" t="s">
        <v>534</v>
      </c>
    </row>
    <row r="73" spans="2:10" ht="15" customHeight="1">
      <c r="B73" s="105">
        <v>66</v>
      </c>
      <c r="C73" s="135">
        <v>45272</v>
      </c>
      <c r="D73" s="105" t="s">
        <v>252</v>
      </c>
      <c r="E73" s="105" t="s">
        <v>535</v>
      </c>
      <c r="F73" s="105" t="s">
        <v>540</v>
      </c>
      <c r="G73" s="105">
        <v>4</v>
      </c>
      <c r="H73" s="105">
        <v>169.72</v>
      </c>
      <c r="I73" s="105">
        <v>678.88</v>
      </c>
      <c r="J73" s="105" t="s">
        <v>532</v>
      </c>
    </row>
    <row r="74" spans="2:10" ht="15" customHeight="1">
      <c r="B74" s="105">
        <v>67</v>
      </c>
      <c r="C74" s="135">
        <v>45074</v>
      </c>
      <c r="D74" s="105" t="s">
        <v>530</v>
      </c>
      <c r="E74" s="105" t="s">
        <v>535</v>
      </c>
      <c r="F74" s="105" t="s">
        <v>536</v>
      </c>
      <c r="G74" s="105">
        <v>3</v>
      </c>
      <c r="H74" s="105">
        <v>406.66</v>
      </c>
      <c r="I74" s="105">
        <v>1219.98</v>
      </c>
      <c r="J74" s="105" t="s">
        <v>543</v>
      </c>
    </row>
    <row r="75" spans="2:10" ht="15" customHeight="1">
      <c r="B75" s="105">
        <v>68</v>
      </c>
      <c r="C75" s="135">
        <v>45054</v>
      </c>
      <c r="D75" s="105" t="s">
        <v>530</v>
      </c>
      <c r="E75" s="105" t="s">
        <v>527</v>
      </c>
      <c r="F75" s="105" t="s">
        <v>539</v>
      </c>
      <c r="G75" s="105">
        <v>7</v>
      </c>
      <c r="H75" s="105">
        <v>95.44</v>
      </c>
      <c r="I75" s="105">
        <v>668.07999999999993</v>
      </c>
      <c r="J75" s="105" t="s">
        <v>522</v>
      </c>
    </row>
    <row r="76" spans="2:10" ht="15" customHeight="1">
      <c r="B76" s="105">
        <v>69</v>
      </c>
      <c r="C76" s="135">
        <v>45055</v>
      </c>
      <c r="D76" s="105" t="s">
        <v>526</v>
      </c>
      <c r="E76" s="105" t="s">
        <v>535</v>
      </c>
      <c r="F76" s="105" t="s">
        <v>540</v>
      </c>
      <c r="G76" s="105">
        <v>7</v>
      </c>
      <c r="H76" s="105">
        <v>469</v>
      </c>
      <c r="I76" s="105">
        <v>3283</v>
      </c>
      <c r="J76" s="105" t="s">
        <v>533</v>
      </c>
    </row>
    <row r="77" spans="2:10" ht="15" customHeight="1">
      <c r="B77" s="105">
        <v>70</v>
      </c>
      <c r="C77" s="135">
        <v>45077</v>
      </c>
      <c r="D77" s="105" t="s">
        <v>243</v>
      </c>
      <c r="E77" s="105" t="s">
        <v>523</v>
      </c>
      <c r="F77" s="105" t="s">
        <v>545</v>
      </c>
      <c r="G77" s="105">
        <v>9</v>
      </c>
      <c r="H77" s="105">
        <v>65.599999999999994</v>
      </c>
      <c r="I77" s="105">
        <v>590.4</v>
      </c>
      <c r="J77" s="105" t="s">
        <v>525</v>
      </c>
    </row>
    <row r="78" spans="2:10" ht="15" customHeight="1">
      <c r="B78" s="105">
        <v>71</v>
      </c>
      <c r="C78" s="135">
        <v>45070</v>
      </c>
      <c r="D78" s="105" t="s">
        <v>252</v>
      </c>
      <c r="E78" s="105" t="s">
        <v>535</v>
      </c>
      <c r="F78" s="105" t="s">
        <v>536</v>
      </c>
      <c r="G78" s="105">
        <v>3</v>
      </c>
      <c r="H78" s="105">
        <v>121.99</v>
      </c>
      <c r="I78" s="105">
        <v>365.97</v>
      </c>
      <c r="J78" s="105" t="s">
        <v>543</v>
      </c>
    </row>
    <row r="79" spans="2:10" ht="15" customHeight="1">
      <c r="B79" s="105">
        <v>72</v>
      </c>
      <c r="C79" s="135">
        <v>44928</v>
      </c>
      <c r="D79" s="105" t="s">
        <v>252</v>
      </c>
      <c r="E79" s="105" t="s">
        <v>523</v>
      </c>
      <c r="F79" s="105" t="s">
        <v>545</v>
      </c>
      <c r="G79" s="105">
        <v>9</v>
      </c>
      <c r="H79" s="105">
        <v>263.14999999999998</v>
      </c>
      <c r="I79" s="105">
        <v>2368.35</v>
      </c>
      <c r="J79" s="105" t="s">
        <v>529</v>
      </c>
    </row>
    <row r="80" spans="2:10" ht="15" customHeight="1">
      <c r="B80" s="105">
        <v>73</v>
      </c>
      <c r="C80" s="135">
        <v>45066</v>
      </c>
      <c r="D80" s="105" t="s">
        <v>530</v>
      </c>
      <c r="E80" s="105" t="s">
        <v>520</v>
      </c>
      <c r="F80" s="105" t="s">
        <v>537</v>
      </c>
      <c r="G80" s="105">
        <v>1</v>
      </c>
      <c r="H80" s="105">
        <v>55.62</v>
      </c>
      <c r="I80" s="105">
        <v>55.62</v>
      </c>
      <c r="J80" s="105" t="s">
        <v>529</v>
      </c>
    </row>
    <row r="81" spans="2:10" ht="15" customHeight="1">
      <c r="B81" s="105">
        <v>74</v>
      </c>
      <c r="C81" s="135">
        <v>44935</v>
      </c>
      <c r="D81" s="105" t="s">
        <v>530</v>
      </c>
      <c r="E81" s="105" t="s">
        <v>523</v>
      </c>
      <c r="F81" s="105" t="s">
        <v>524</v>
      </c>
      <c r="G81" s="105">
        <v>5</v>
      </c>
      <c r="H81" s="105">
        <v>451.2</v>
      </c>
      <c r="I81" s="105">
        <v>2256</v>
      </c>
      <c r="J81" s="105" t="s">
        <v>522</v>
      </c>
    </row>
    <row r="82" spans="2:10" ht="15" customHeight="1">
      <c r="B82" s="105">
        <v>75</v>
      </c>
      <c r="C82" s="135">
        <v>45230</v>
      </c>
      <c r="D82" s="105" t="s">
        <v>243</v>
      </c>
      <c r="E82" s="105" t="s">
        <v>535</v>
      </c>
      <c r="F82" s="105" t="s">
        <v>538</v>
      </c>
      <c r="G82" s="105">
        <v>9</v>
      </c>
      <c r="H82" s="105">
        <v>181.11</v>
      </c>
      <c r="I82" s="105">
        <v>1629.99</v>
      </c>
      <c r="J82" s="105" t="s">
        <v>532</v>
      </c>
    </row>
    <row r="83" spans="2:10" ht="15" customHeight="1">
      <c r="B83" s="105">
        <v>76</v>
      </c>
      <c r="C83" s="135">
        <v>44980</v>
      </c>
      <c r="D83" s="105" t="s">
        <v>526</v>
      </c>
      <c r="E83" s="105" t="s">
        <v>520</v>
      </c>
      <c r="F83" s="105" t="s">
        <v>546</v>
      </c>
      <c r="G83" s="105">
        <v>3</v>
      </c>
      <c r="H83" s="105">
        <v>429.6</v>
      </c>
      <c r="I83" s="105">
        <v>1288.8</v>
      </c>
      <c r="J83" s="105" t="s">
        <v>533</v>
      </c>
    </row>
    <row r="84" spans="2:10" ht="15" customHeight="1">
      <c r="B84" s="105">
        <v>77</v>
      </c>
      <c r="C84" s="135">
        <v>45042</v>
      </c>
      <c r="D84" s="105" t="s">
        <v>526</v>
      </c>
      <c r="E84" s="105" t="s">
        <v>535</v>
      </c>
      <c r="F84" s="105" t="s">
        <v>541</v>
      </c>
      <c r="G84" s="105">
        <v>8</v>
      </c>
      <c r="H84" s="105">
        <v>445.01</v>
      </c>
      <c r="I84" s="105">
        <v>3560.08</v>
      </c>
      <c r="J84" s="105" t="s">
        <v>532</v>
      </c>
    </row>
    <row r="85" spans="2:10" ht="15" customHeight="1">
      <c r="B85" s="105">
        <v>78</v>
      </c>
      <c r="C85" s="135">
        <v>45030</v>
      </c>
      <c r="D85" s="105" t="s">
        <v>243</v>
      </c>
      <c r="E85" s="105" t="s">
        <v>527</v>
      </c>
      <c r="F85" s="105" t="s">
        <v>544</v>
      </c>
      <c r="G85" s="105">
        <v>1</v>
      </c>
      <c r="H85" s="105">
        <v>89.2</v>
      </c>
      <c r="I85" s="105">
        <v>89.2</v>
      </c>
      <c r="J85" s="105" t="s">
        <v>533</v>
      </c>
    </row>
    <row r="86" spans="2:10" ht="15" customHeight="1">
      <c r="B86" s="105">
        <v>79</v>
      </c>
      <c r="C86" s="135">
        <v>45038</v>
      </c>
      <c r="D86" s="105" t="s">
        <v>243</v>
      </c>
      <c r="E86" s="105" t="s">
        <v>523</v>
      </c>
      <c r="F86" s="105" t="s">
        <v>524</v>
      </c>
      <c r="G86" s="105">
        <v>4</v>
      </c>
      <c r="H86" s="105">
        <v>294.54000000000002</v>
      </c>
      <c r="I86" s="105">
        <v>1178.1600000000001</v>
      </c>
      <c r="J86" s="105" t="s">
        <v>529</v>
      </c>
    </row>
    <row r="87" spans="2:10" ht="15" customHeight="1">
      <c r="B87" s="105">
        <v>80</v>
      </c>
      <c r="C87" s="135">
        <v>45275</v>
      </c>
      <c r="D87" s="105" t="s">
        <v>526</v>
      </c>
      <c r="E87" s="105" t="s">
        <v>535</v>
      </c>
      <c r="F87" s="105" t="s">
        <v>538</v>
      </c>
      <c r="G87" s="105">
        <v>9</v>
      </c>
      <c r="H87" s="105">
        <v>335.12</v>
      </c>
      <c r="I87" s="105">
        <v>3016.08</v>
      </c>
      <c r="J87" s="105" t="s">
        <v>522</v>
      </c>
    </row>
    <row r="88" spans="2:10" ht="15" customHeight="1">
      <c r="B88" s="105">
        <v>81</v>
      </c>
      <c r="C88" s="135">
        <v>45264</v>
      </c>
      <c r="D88" s="105" t="s">
        <v>243</v>
      </c>
      <c r="E88" s="105" t="s">
        <v>535</v>
      </c>
      <c r="F88" s="105" t="s">
        <v>538</v>
      </c>
      <c r="G88" s="105">
        <v>2</v>
      </c>
      <c r="H88" s="105">
        <v>88.8</v>
      </c>
      <c r="I88" s="105">
        <v>177.6</v>
      </c>
      <c r="J88" s="105" t="s">
        <v>532</v>
      </c>
    </row>
    <row r="89" spans="2:10" ht="15" customHeight="1">
      <c r="B89" s="105">
        <v>82</v>
      </c>
      <c r="C89" s="135">
        <v>45134</v>
      </c>
      <c r="D89" s="105" t="s">
        <v>243</v>
      </c>
      <c r="E89" s="105" t="s">
        <v>520</v>
      </c>
      <c r="F89" s="105" t="s">
        <v>521</v>
      </c>
      <c r="G89" s="105">
        <v>2</v>
      </c>
      <c r="H89" s="105">
        <v>349.03</v>
      </c>
      <c r="I89" s="105">
        <v>698.06</v>
      </c>
      <c r="J89" s="105" t="s">
        <v>534</v>
      </c>
    </row>
    <row r="90" spans="2:10" ht="15" customHeight="1">
      <c r="B90" s="105">
        <v>83</v>
      </c>
      <c r="C90" s="135">
        <v>44994</v>
      </c>
      <c r="D90" s="105" t="s">
        <v>530</v>
      </c>
      <c r="E90" s="105" t="s">
        <v>527</v>
      </c>
      <c r="F90" s="105" t="s">
        <v>539</v>
      </c>
      <c r="G90" s="105">
        <v>9</v>
      </c>
      <c r="H90" s="105">
        <v>96.2</v>
      </c>
      <c r="I90" s="105">
        <v>865.80000000000007</v>
      </c>
      <c r="J90" s="105" t="s">
        <v>534</v>
      </c>
    </row>
    <row r="91" spans="2:10" ht="15" customHeight="1">
      <c r="B91" s="105">
        <v>84</v>
      </c>
      <c r="C91" s="135">
        <v>45230</v>
      </c>
      <c r="D91" s="105" t="s">
        <v>243</v>
      </c>
      <c r="E91" s="105" t="s">
        <v>523</v>
      </c>
      <c r="F91" s="105" t="s">
        <v>545</v>
      </c>
      <c r="G91" s="105">
        <v>1</v>
      </c>
      <c r="H91" s="105">
        <v>252.01</v>
      </c>
      <c r="I91" s="105">
        <v>252.01</v>
      </c>
      <c r="J91" s="105" t="s">
        <v>543</v>
      </c>
    </row>
    <row r="92" spans="2:10" ht="15" customHeight="1">
      <c r="B92" s="105">
        <v>85</v>
      </c>
      <c r="C92" s="135">
        <v>45061</v>
      </c>
      <c r="D92" s="105" t="s">
        <v>530</v>
      </c>
      <c r="E92" s="105" t="s">
        <v>520</v>
      </c>
      <c r="F92" s="105" t="s">
        <v>193</v>
      </c>
      <c r="G92" s="105">
        <v>4</v>
      </c>
      <c r="H92" s="105">
        <v>189.57</v>
      </c>
      <c r="I92" s="105">
        <v>758.28</v>
      </c>
      <c r="J92" s="105" t="s">
        <v>529</v>
      </c>
    </row>
    <row r="93" spans="2:10" ht="15" customHeight="1">
      <c r="B93" s="105">
        <v>86</v>
      </c>
      <c r="C93" s="135">
        <v>44959</v>
      </c>
      <c r="D93" s="105" t="s">
        <v>243</v>
      </c>
      <c r="E93" s="105" t="s">
        <v>535</v>
      </c>
      <c r="F93" s="105" t="s">
        <v>536</v>
      </c>
      <c r="G93" s="105">
        <v>3</v>
      </c>
      <c r="H93" s="105">
        <v>332.23</v>
      </c>
      <c r="I93" s="105">
        <v>996.69</v>
      </c>
      <c r="J93" s="105" t="s">
        <v>533</v>
      </c>
    </row>
    <row r="94" spans="2:10" ht="15" customHeight="1">
      <c r="B94" s="105">
        <v>87</v>
      </c>
      <c r="C94" s="135">
        <v>44948</v>
      </c>
      <c r="D94" s="105" t="s">
        <v>526</v>
      </c>
      <c r="E94" s="105" t="s">
        <v>535</v>
      </c>
      <c r="F94" s="105" t="s">
        <v>538</v>
      </c>
      <c r="G94" s="105">
        <v>3</v>
      </c>
      <c r="H94" s="105">
        <v>321.8</v>
      </c>
      <c r="I94" s="105">
        <v>965.40000000000009</v>
      </c>
      <c r="J94" s="105" t="s">
        <v>532</v>
      </c>
    </row>
    <row r="95" spans="2:10" ht="15" customHeight="1">
      <c r="B95" s="105">
        <v>88</v>
      </c>
      <c r="C95" s="135">
        <v>44977</v>
      </c>
      <c r="D95" s="105" t="s">
        <v>526</v>
      </c>
      <c r="E95" s="105" t="s">
        <v>527</v>
      </c>
      <c r="F95" s="105" t="s">
        <v>544</v>
      </c>
      <c r="G95" s="105">
        <v>6</v>
      </c>
      <c r="H95" s="105">
        <v>489.66</v>
      </c>
      <c r="I95" s="105">
        <v>2937.96</v>
      </c>
      <c r="J95" s="105" t="s">
        <v>533</v>
      </c>
    </row>
    <row r="96" spans="2:10" ht="15" customHeight="1">
      <c r="B96" s="105">
        <v>89</v>
      </c>
      <c r="C96" s="135">
        <v>44953</v>
      </c>
      <c r="D96" s="105" t="s">
        <v>526</v>
      </c>
      <c r="E96" s="105" t="s">
        <v>535</v>
      </c>
      <c r="F96" s="105" t="s">
        <v>541</v>
      </c>
      <c r="G96" s="105">
        <v>6</v>
      </c>
      <c r="H96" s="105">
        <v>453.99</v>
      </c>
      <c r="I96" s="105">
        <v>2723.94</v>
      </c>
      <c r="J96" s="105" t="s">
        <v>534</v>
      </c>
    </row>
    <row r="97" spans="2:10" ht="15" customHeight="1">
      <c r="B97" s="105">
        <v>90</v>
      </c>
      <c r="C97" s="135">
        <v>45023</v>
      </c>
      <c r="D97" s="105" t="s">
        <v>526</v>
      </c>
      <c r="E97" s="105" t="s">
        <v>527</v>
      </c>
      <c r="F97" s="105" t="s">
        <v>539</v>
      </c>
      <c r="G97" s="105">
        <v>2</v>
      </c>
      <c r="H97" s="105">
        <v>181.54</v>
      </c>
      <c r="I97" s="105">
        <v>363.08</v>
      </c>
      <c r="J97" s="105" t="s">
        <v>534</v>
      </c>
    </row>
    <row r="98" spans="2:10" ht="15" customHeight="1">
      <c r="B98" s="105">
        <v>91</v>
      </c>
      <c r="C98" s="135">
        <v>45243</v>
      </c>
      <c r="D98" s="105" t="s">
        <v>252</v>
      </c>
      <c r="E98" s="105" t="s">
        <v>527</v>
      </c>
      <c r="F98" s="105" t="s">
        <v>544</v>
      </c>
      <c r="G98" s="105">
        <v>1</v>
      </c>
      <c r="H98" s="105">
        <v>105.67</v>
      </c>
      <c r="I98" s="105">
        <v>105.67</v>
      </c>
      <c r="J98" s="105" t="s">
        <v>534</v>
      </c>
    </row>
    <row r="99" spans="2:10" ht="15" customHeight="1">
      <c r="B99" s="105">
        <v>92</v>
      </c>
      <c r="C99" s="135">
        <v>45118</v>
      </c>
      <c r="D99" s="105" t="s">
        <v>252</v>
      </c>
      <c r="E99" s="105" t="s">
        <v>535</v>
      </c>
      <c r="F99" s="105" t="s">
        <v>538</v>
      </c>
      <c r="G99" s="105">
        <v>3</v>
      </c>
      <c r="H99" s="105">
        <v>290.27999999999997</v>
      </c>
      <c r="I99" s="105">
        <v>870.83999999999992</v>
      </c>
      <c r="J99" s="105" t="s">
        <v>529</v>
      </c>
    </row>
    <row r="100" spans="2:10" ht="15" customHeight="1">
      <c r="B100" s="105">
        <v>93</v>
      </c>
      <c r="C100" s="135">
        <v>45098</v>
      </c>
      <c r="D100" s="105" t="s">
        <v>243</v>
      </c>
      <c r="E100" s="105" t="s">
        <v>523</v>
      </c>
      <c r="F100" s="105" t="s">
        <v>545</v>
      </c>
      <c r="G100" s="105">
        <v>1</v>
      </c>
      <c r="H100" s="105">
        <v>31.37</v>
      </c>
      <c r="I100" s="105">
        <v>31.37</v>
      </c>
      <c r="J100" s="105" t="s">
        <v>543</v>
      </c>
    </row>
    <row r="101" spans="2:10" ht="15" customHeight="1">
      <c r="B101" s="105">
        <v>94</v>
      </c>
      <c r="C101" s="135">
        <v>45159</v>
      </c>
      <c r="D101" s="105" t="s">
        <v>252</v>
      </c>
      <c r="E101" s="105" t="s">
        <v>520</v>
      </c>
      <c r="F101" s="105" t="s">
        <v>521</v>
      </c>
      <c r="G101" s="105">
        <v>5</v>
      </c>
      <c r="H101" s="105">
        <v>442.91</v>
      </c>
      <c r="I101" s="105">
        <v>2214.5500000000002</v>
      </c>
      <c r="J101" s="105" t="s">
        <v>525</v>
      </c>
    </row>
    <row r="102" spans="2:10" ht="15" customHeight="1">
      <c r="B102" s="105">
        <v>95</v>
      </c>
      <c r="C102" s="135">
        <v>45228</v>
      </c>
      <c r="D102" s="105" t="s">
        <v>530</v>
      </c>
      <c r="E102" s="105" t="s">
        <v>527</v>
      </c>
      <c r="F102" s="105" t="s">
        <v>261</v>
      </c>
      <c r="G102" s="105">
        <v>5</v>
      </c>
      <c r="H102" s="105">
        <v>464.88</v>
      </c>
      <c r="I102" s="105">
        <v>2324.4</v>
      </c>
      <c r="J102" s="105" t="s">
        <v>529</v>
      </c>
    </row>
    <row r="103" spans="2:10" ht="15" customHeight="1">
      <c r="B103" s="105">
        <v>96</v>
      </c>
      <c r="C103" s="135">
        <v>45114</v>
      </c>
      <c r="D103" s="105" t="s">
        <v>526</v>
      </c>
      <c r="E103" s="105" t="s">
        <v>535</v>
      </c>
      <c r="F103" s="105" t="s">
        <v>540</v>
      </c>
      <c r="G103" s="105">
        <v>5</v>
      </c>
      <c r="H103" s="105">
        <v>290.42</v>
      </c>
      <c r="I103" s="105">
        <v>1452.1</v>
      </c>
      <c r="J103" s="105" t="s">
        <v>543</v>
      </c>
    </row>
    <row r="104" spans="2:10" ht="15" customHeight="1">
      <c r="B104" s="105">
        <v>97</v>
      </c>
      <c r="C104" s="135">
        <v>45179</v>
      </c>
      <c r="D104" s="105" t="s">
        <v>243</v>
      </c>
      <c r="E104" s="105" t="s">
        <v>535</v>
      </c>
      <c r="F104" s="105" t="s">
        <v>540</v>
      </c>
      <c r="G104" s="105">
        <v>1</v>
      </c>
      <c r="H104" s="105">
        <v>46.92</v>
      </c>
      <c r="I104" s="105">
        <v>46.92</v>
      </c>
      <c r="J104" s="105" t="s">
        <v>534</v>
      </c>
    </row>
    <row r="105" spans="2:10" ht="15" customHeight="1">
      <c r="B105" s="105">
        <v>98</v>
      </c>
      <c r="C105" s="135">
        <v>45087</v>
      </c>
      <c r="D105" s="105" t="s">
        <v>252</v>
      </c>
      <c r="E105" s="105" t="s">
        <v>520</v>
      </c>
      <c r="F105" s="105" t="s">
        <v>546</v>
      </c>
      <c r="G105" s="105">
        <v>5</v>
      </c>
      <c r="H105" s="105">
        <v>103.55</v>
      </c>
      <c r="I105" s="105">
        <v>517.75</v>
      </c>
      <c r="J105" s="105" t="s">
        <v>543</v>
      </c>
    </row>
    <row r="106" spans="2:10" ht="15" customHeight="1">
      <c r="B106" s="105">
        <v>99</v>
      </c>
      <c r="C106" s="135">
        <v>45207</v>
      </c>
      <c r="D106" s="105" t="s">
        <v>252</v>
      </c>
      <c r="E106" s="105" t="s">
        <v>520</v>
      </c>
      <c r="F106" s="105" t="s">
        <v>193</v>
      </c>
      <c r="G106" s="105">
        <v>3</v>
      </c>
      <c r="H106" s="105">
        <v>93.05</v>
      </c>
      <c r="I106" s="105">
        <v>279.14999999999998</v>
      </c>
      <c r="J106" s="105" t="s">
        <v>534</v>
      </c>
    </row>
    <row r="107" spans="2:10" ht="15" customHeight="1">
      <c r="B107" s="105">
        <v>100</v>
      </c>
      <c r="C107" s="135">
        <v>45286</v>
      </c>
      <c r="D107" s="105" t="s">
        <v>252</v>
      </c>
      <c r="E107" s="105" t="s">
        <v>520</v>
      </c>
      <c r="F107" s="105" t="s">
        <v>521</v>
      </c>
      <c r="G107" s="105">
        <v>6</v>
      </c>
      <c r="H107" s="105">
        <v>351.05</v>
      </c>
      <c r="I107" s="105">
        <v>2106.3000000000002</v>
      </c>
      <c r="J107" s="105" t="s">
        <v>543</v>
      </c>
    </row>
    <row r="108" spans="2:10" ht="15" customHeight="1">
      <c r="B108" s="105">
        <v>101</v>
      </c>
      <c r="C108" s="135">
        <v>45268</v>
      </c>
      <c r="D108" s="105" t="s">
        <v>252</v>
      </c>
      <c r="E108" s="105" t="s">
        <v>523</v>
      </c>
      <c r="F108" s="105" t="s">
        <v>524</v>
      </c>
      <c r="G108" s="105">
        <v>8</v>
      </c>
      <c r="H108" s="105">
        <v>112.37</v>
      </c>
      <c r="I108" s="105">
        <v>898.96</v>
      </c>
      <c r="J108" s="105" t="s">
        <v>543</v>
      </c>
    </row>
    <row r="109" spans="2:10" ht="15" customHeight="1">
      <c r="B109" s="105">
        <v>102</v>
      </c>
      <c r="C109" s="135">
        <v>45081</v>
      </c>
      <c r="D109" s="105" t="s">
        <v>243</v>
      </c>
      <c r="E109" s="105" t="s">
        <v>527</v>
      </c>
      <c r="F109" s="105" t="s">
        <v>544</v>
      </c>
      <c r="G109" s="105">
        <v>7</v>
      </c>
      <c r="H109" s="105">
        <v>78.64</v>
      </c>
      <c r="I109" s="105">
        <v>550.48</v>
      </c>
      <c r="J109" s="105" t="s">
        <v>529</v>
      </c>
    </row>
    <row r="110" spans="2:10" ht="15" customHeight="1">
      <c r="B110" s="105">
        <v>103</v>
      </c>
      <c r="C110" s="135">
        <v>45030</v>
      </c>
      <c r="D110" s="105" t="s">
        <v>530</v>
      </c>
      <c r="E110" s="105" t="s">
        <v>523</v>
      </c>
      <c r="F110" s="105" t="s">
        <v>542</v>
      </c>
      <c r="G110" s="105">
        <v>2</v>
      </c>
      <c r="H110" s="105">
        <v>168.05</v>
      </c>
      <c r="I110" s="105">
        <v>336.1</v>
      </c>
      <c r="J110" s="105" t="s">
        <v>543</v>
      </c>
    </row>
    <row r="111" spans="2:10" ht="15" customHeight="1">
      <c r="B111" s="105">
        <v>104</v>
      </c>
      <c r="C111" s="135">
        <v>45172</v>
      </c>
      <c r="D111" s="105" t="s">
        <v>243</v>
      </c>
      <c r="E111" s="105" t="s">
        <v>520</v>
      </c>
      <c r="F111" s="105" t="s">
        <v>521</v>
      </c>
      <c r="G111" s="105">
        <v>1</v>
      </c>
      <c r="H111" s="105">
        <v>76.94</v>
      </c>
      <c r="I111" s="105">
        <v>76.94</v>
      </c>
      <c r="J111" s="105" t="s">
        <v>525</v>
      </c>
    </row>
    <row r="112" spans="2:10" ht="15" customHeight="1">
      <c r="B112" s="105">
        <v>105</v>
      </c>
      <c r="C112" s="135">
        <v>45173</v>
      </c>
      <c r="D112" s="105" t="s">
        <v>530</v>
      </c>
      <c r="E112" s="105" t="s">
        <v>535</v>
      </c>
      <c r="F112" s="105" t="s">
        <v>536</v>
      </c>
      <c r="G112" s="105">
        <v>7</v>
      </c>
      <c r="H112" s="105">
        <v>153.86000000000001</v>
      </c>
      <c r="I112" s="105">
        <v>1077.02</v>
      </c>
      <c r="J112" s="105" t="s">
        <v>522</v>
      </c>
    </row>
    <row r="113" spans="2:10" ht="15" customHeight="1">
      <c r="B113" s="105">
        <v>106</v>
      </c>
      <c r="C113" s="135">
        <v>44939</v>
      </c>
      <c r="D113" s="105" t="s">
        <v>243</v>
      </c>
      <c r="E113" s="105" t="s">
        <v>527</v>
      </c>
      <c r="F113" s="105" t="s">
        <v>261</v>
      </c>
      <c r="G113" s="105">
        <v>3</v>
      </c>
      <c r="H113" s="105">
        <v>135.54</v>
      </c>
      <c r="I113" s="105">
        <v>406.62</v>
      </c>
      <c r="J113" s="105" t="s">
        <v>532</v>
      </c>
    </row>
    <row r="114" spans="2:10" ht="15" customHeight="1">
      <c r="B114" s="105">
        <v>107</v>
      </c>
      <c r="C114" s="135">
        <v>45099</v>
      </c>
      <c r="D114" s="105" t="s">
        <v>526</v>
      </c>
      <c r="E114" s="105" t="s">
        <v>535</v>
      </c>
      <c r="F114" s="105" t="s">
        <v>540</v>
      </c>
      <c r="G114" s="105">
        <v>7</v>
      </c>
      <c r="H114" s="105">
        <v>255.74</v>
      </c>
      <c r="I114" s="105">
        <v>1790.18</v>
      </c>
      <c r="J114" s="105" t="s">
        <v>532</v>
      </c>
    </row>
    <row r="115" spans="2:10" ht="15" customHeight="1">
      <c r="B115" s="105">
        <v>108</v>
      </c>
      <c r="C115" s="135">
        <v>45068</v>
      </c>
      <c r="D115" s="105" t="s">
        <v>252</v>
      </c>
      <c r="E115" s="105" t="s">
        <v>523</v>
      </c>
      <c r="F115" s="105" t="s">
        <v>542</v>
      </c>
      <c r="G115" s="105">
        <v>4</v>
      </c>
      <c r="H115" s="105">
        <v>328.48</v>
      </c>
      <c r="I115" s="105">
        <v>1313.92</v>
      </c>
      <c r="J115" s="105" t="s">
        <v>534</v>
      </c>
    </row>
    <row r="116" spans="2:10" ht="15" customHeight="1">
      <c r="B116" s="105">
        <v>109</v>
      </c>
      <c r="C116" s="135">
        <v>45018</v>
      </c>
      <c r="D116" s="105" t="s">
        <v>243</v>
      </c>
      <c r="E116" s="105" t="s">
        <v>535</v>
      </c>
      <c r="F116" s="105" t="s">
        <v>541</v>
      </c>
      <c r="G116" s="105">
        <v>3</v>
      </c>
      <c r="H116" s="105">
        <v>175.62</v>
      </c>
      <c r="I116" s="105">
        <v>526.86</v>
      </c>
      <c r="J116" s="105" t="s">
        <v>522</v>
      </c>
    </row>
    <row r="117" spans="2:10" ht="15" customHeight="1">
      <c r="B117" s="105">
        <v>110</v>
      </c>
      <c r="C117" s="135">
        <v>45141</v>
      </c>
      <c r="D117" s="105" t="s">
        <v>243</v>
      </c>
      <c r="E117" s="105" t="s">
        <v>520</v>
      </c>
      <c r="F117" s="105" t="s">
        <v>537</v>
      </c>
      <c r="G117" s="105">
        <v>2</v>
      </c>
      <c r="H117" s="105">
        <v>56.05</v>
      </c>
      <c r="I117" s="105">
        <v>112.1</v>
      </c>
      <c r="J117" s="105" t="s">
        <v>532</v>
      </c>
    </row>
    <row r="118" spans="2:10" ht="15" customHeight="1">
      <c r="B118" s="105">
        <v>111</v>
      </c>
      <c r="C118" s="135">
        <v>45112</v>
      </c>
      <c r="D118" s="105" t="s">
        <v>252</v>
      </c>
      <c r="E118" s="105" t="s">
        <v>520</v>
      </c>
      <c r="F118" s="105" t="s">
        <v>193</v>
      </c>
      <c r="G118" s="105">
        <v>6</v>
      </c>
      <c r="H118" s="105">
        <v>170.79</v>
      </c>
      <c r="I118" s="105">
        <v>1024.74</v>
      </c>
      <c r="J118" s="105" t="s">
        <v>529</v>
      </c>
    </row>
    <row r="119" spans="2:10" ht="15" customHeight="1">
      <c r="B119" s="105">
        <v>112</v>
      </c>
      <c r="C119" s="135">
        <v>45268</v>
      </c>
      <c r="D119" s="105" t="s">
        <v>243</v>
      </c>
      <c r="E119" s="105" t="s">
        <v>523</v>
      </c>
      <c r="F119" s="105" t="s">
        <v>542</v>
      </c>
      <c r="G119" s="105">
        <v>6</v>
      </c>
      <c r="H119" s="105">
        <v>299.51</v>
      </c>
      <c r="I119" s="105">
        <v>1797.06</v>
      </c>
      <c r="J119" s="105" t="s">
        <v>529</v>
      </c>
    </row>
    <row r="120" spans="2:10" ht="15" customHeight="1">
      <c r="B120" s="105">
        <v>113</v>
      </c>
      <c r="C120" s="135">
        <v>45252</v>
      </c>
      <c r="D120" s="105" t="s">
        <v>530</v>
      </c>
      <c r="E120" s="105" t="s">
        <v>523</v>
      </c>
      <c r="F120" s="105" t="s">
        <v>531</v>
      </c>
      <c r="G120" s="105">
        <v>1</v>
      </c>
      <c r="H120" s="105">
        <v>28.3</v>
      </c>
      <c r="I120" s="105">
        <v>28.3</v>
      </c>
      <c r="J120" s="105" t="s">
        <v>522</v>
      </c>
    </row>
    <row r="121" spans="2:10" ht="15" customHeight="1">
      <c r="B121" s="105">
        <v>114</v>
      </c>
      <c r="C121" s="135">
        <v>45027</v>
      </c>
      <c r="D121" s="105" t="s">
        <v>526</v>
      </c>
      <c r="E121" s="105" t="s">
        <v>535</v>
      </c>
      <c r="F121" s="105" t="s">
        <v>541</v>
      </c>
      <c r="G121" s="105">
        <v>6</v>
      </c>
      <c r="H121" s="105">
        <v>273.17</v>
      </c>
      <c r="I121" s="105">
        <v>1639.02</v>
      </c>
      <c r="J121" s="105" t="s">
        <v>522</v>
      </c>
    </row>
    <row r="122" spans="2:10" ht="15" customHeight="1">
      <c r="B122" s="105">
        <v>115</v>
      </c>
      <c r="C122" s="135">
        <v>44986</v>
      </c>
      <c r="D122" s="105" t="s">
        <v>243</v>
      </c>
      <c r="E122" s="105" t="s">
        <v>523</v>
      </c>
      <c r="F122" s="105" t="s">
        <v>531</v>
      </c>
      <c r="G122" s="105">
        <v>1</v>
      </c>
      <c r="H122" s="105">
        <v>415.66</v>
      </c>
      <c r="I122" s="105">
        <v>415.66</v>
      </c>
      <c r="J122" s="105" t="s">
        <v>522</v>
      </c>
    </row>
    <row r="123" spans="2:10" ht="15" customHeight="1">
      <c r="B123" s="105">
        <v>116</v>
      </c>
      <c r="C123" s="135">
        <v>45188</v>
      </c>
      <c r="D123" s="105" t="s">
        <v>243</v>
      </c>
      <c r="E123" s="105" t="s">
        <v>523</v>
      </c>
      <c r="F123" s="105" t="s">
        <v>531</v>
      </c>
      <c r="G123" s="105">
        <v>5</v>
      </c>
      <c r="H123" s="105">
        <v>234.06</v>
      </c>
      <c r="I123" s="105">
        <v>1170.3</v>
      </c>
      <c r="J123" s="105" t="s">
        <v>533</v>
      </c>
    </row>
    <row r="124" spans="2:10" ht="15" customHeight="1">
      <c r="B124" s="105">
        <v>117</v>
      </c>
      <c r="C124" s="135">
        <v>45281</v>
      </c>
      <c r="D124" s="105" t="s">
        <v>526</v>
      </c>
      <c r="E124" s="105" t="s">
        <v>527</v>
      </c>
      <c r="F124" s="105" t="s">
        <v>539</v>
      </c>
      <c r="G124" s="105">
        <v>4</v>
      </c>
      <c r="H124" s="105">
        <v>211.56</v>
      </c>
      <c r="I124" s="105">
        <v>846.24</v>
      </c>
      <c r="J124" s="105" t="s">
        <v>532</v>
      </c>
    </row>
    <row r="125" spans="2:10" ht="15" customHeight="1">
      <c r="B125" s="105">
        <v>118</v>
      </c>
      <c r="C125" s="135">
        <v>45070</v>
      </c>
      <c r="D125" s="105" t="s">
        <v>252</v>
      </c>
      <c r="E125" s="105" t="s">
        <v>527</v>
      </c>
      <c r="F125" s="105" t="s">
        <v>261</v>
      </c>
      <c r="G125" s="105">
        <v>7</v>
      </c>
      <c r="H125" s="105">
        <v>77.790000000000006</v>
      </c>
      <c r="I125" s="105">
        <v>544.53000000000009</v>
      </c>
      <c r="J125" s="105" t="s">
        <v>522</v>
      </c>
    </row>
    <row r="126" spans="2:10" ht="15" customHeight="1">
      <c r="B126" s="105">
        <v>119</v>
      </c>
      <c r="C126" s="135">
        <v>45084</v>
      </c>
      <c r="D126" s="105" t="s">
        <v>530</v>
      </c>
      <c r="E126" s="105" t="s">
        <v>520</v>
      </c>
      <c r="F126" s="105" t="s">
        <v>546</v>
      </c>
      <c r="G126" s="105">
        <v>2</v>
      </c>
      <c r="H126" s="105">
        <v>262.99</v>
      </c>
      <c r="I126" s="105">
        <v>525.98</v>
      </c>
      <c r="J126" s="105" t="s">
        <v>525</v>
      </c>
    </row>
    <row r="127" spans="2:10" ht="15" customHeight="1">
      <c r="B127" s="105">
        <v>120</v>
      </c>
      <c r="C127" s="135">
        <v>45245</v>
      </c>
      <c r="D127" s="105" t="s">
        <v>530</v>
      </c>
      <c r="E127" s="105" t="s">
        <v>527</v>
      </c>
      <c r="F127" s="105" t="s">
        <v>544</v>
      </c>
      <c r="G127" s="105">
        <v>3</v>
      </c>
      <c r="H127" s="105">
        <v>399.64</v>
      </c>
      <c r="I127" s="105">
        <v>1198.92</v>
      </c>
      <c r="J127" s="105" t="s">
        <v>533</v>
      </c>
    </row>
    <row r="128" spans="2:10" ht="15" customHeight="1">
      <c r="B128" s="105">
        <v>121</v>
      </c>
      <c r="C128" s="135">
        <v>45272</v>
      </c>
      <c r="D128" s="105" t="s">
        <v>252</v>
      </c>
      <c r="E128" s="105" t="s">
        <v>523</v>
      </c>
      <c r="F128" s="105" t="s">
        <v>545</v>
      </c>
      <c r="G128" s="105">
        <v>3</v>
      </c>
      <c r="H128" s="105">
        <v>225.1</v>
      </c>
      <c r="I128" s="105">
        <v>675.3</v>
      </c>
      <c r="J128" s="105" t="s">
        <v>529</v>
      </c>
    </row>
    <row r="129" spans="2:10" ht="15" customHeight="1">
      <c r="B129" s="105">
        <v>122</v>
      </c>
      <c r="C129" s="135">
        <v>45244</v>
      </c>
      <c r="D129" s="105" t="s">
        <v>243</v>
      </c>
      <c r="E129" s="105" t="s">
        <v>527</v>
      </c>
      <c r="F129" s="105" t="s">
        <v>261</v>
      </c>
      <c r="G129" s="105">
        <v>5</v>
      </c>
      <c r="H129" s="105">
        <v>100.32</v>
      </c>
      <c r="I129" s="105">
        <v>501.6</v>
      </c>
      <c r="J129" s="105" t="s">
        <v>525</v>
      </c>
    </row>
    <row r="130" spans="2:10" ht="15" customHeight="1">
      <c r="B130" s="105">
        <v>123</v>
      </c>
      <c r="C130" s="135">
        <v>45055</v>
      </c>
      <c r="D130" s="105" t="s">
        <v>243</v>
      </c>
      <c r="E130" s="105" t="s">
        <v>527</v>
      </c>
      <c r="F130" s="105" t="s">
        <v>539</v>
      </c>
      <c r="G130" s="105">
        <v>7</v>
      </c>
      <c r="H130" s="105">
        <v>219.87</v>
      </c>
      <c r="I130" s="105">
        <v>1539.09</v>
      </c>
      <c r="J130" s="105" t="s">
        <v>533</v>
      </c>
    </row>
    <row r="131" spans="2:10" ht="15" customHeight="1">
      <c r="B131" s="105">
        <v>124</v>
      </c>
      <c r="C131" s="135">
        <v>45022</v>
      </c>
      <c r="D131" s="105" t="s">
        <v>530</v>
      </c>
      <c r="E131" s="105" t="s">
        <v>527</v>
      </c>
      <c r="F131" s="105" t="s">
        <v>261</v>
      </c>
      <c r="G131" s="105">
        <v>1</v>
      </c>
      <c r="H131" s="105">
        <v>226.75</v>
      </c>
      <c r="I131" s="105">
        <v>226.75</v>
      </c>
      <c r="J131" s="105" t="s">
        <v>534</v>
      </c>
    </row>
    <row r="132" spans="2:10" ht="15" customHeight="1">
      <c r="B132" s="105">
        <v>125</v>
      </c>
      <c r="C132" s="135">
        <v>45163</v>
      </c>
      <c r="D132" s="105" t="s">
        <v>243</v>
      </c>
      <c r="E132" s="105" t="s">
        <v>535</v>
      </c>
      <c r="F132" s="105" t="s">
        <v>536</v>
      </c>
      <c r="G132" s="105">
        <v>6</v>
      </c>
      <c r="H132" s="105">
        <v>360.15</v>
      </c>
      <c r="I132" s="105">
        <v>2160.9</v>
      </c>
      <c r="J132" s="105" t="s">
        <v>543</v>
      </c>
    </row>
    <row r="133" spans="2:10" ht="15" customHeight="1">
      <c r="B133" s="105">
        <v>126</v>
      </c>
      <c r="C133" s="135">
        <v>45115</v>
      </c>
      <c r="D133" s="105" t="s">
        <v>526</v>
      </c>
      <c r="E133" s="105" t="s">
        <v>527</v>
      </c>
      <c r="F133" s="105" t="s">
        <v>528</v>
      </c>
      <c r="G133" s="105">
        <v>5</v>
      </c>
      <c r="H133" s="105">
        <v>322.75</v>
      </c>
      <c r="I133" s="105">
        <v>1613.75</v>
      </c>
      <c r="J133" s="105" t="s">
        <v>534</v>
      </c>
    </row>
    <row r="134" spans="2:10" ht="15" customHeight="1">
      <c r="B134" s="105">
        <v>127</v>
      </c>
      <c r="C134" s="135">
        <v>44995</v>
      </c>
      <c r="D134" s="105" t="s">
        <v>243</v>
      </c>
      <c r="E134" s="105" t="s">
        <v>520</v>
      </c>
      <c r="F134" s="105" t="s">
        <v>193</v>
      </c>
      <c r="G134" s="105">
        <v>7</v>
      </c>
      <c r="H134" s="105">
        <v>331.98</v>
      </c>
      <c r="I134" s="105">
        <v>2323.86</v>
      </c>
      <c r="J134" s="105" t="s">
        <v>525</v>
      </c>
    </row>
    <row r="135" spans="2:10" ht="15" customHeight="1">
      <c r="B135" s="105">
        <v>128</v>
      </c>
      <c r="C135" s="135">
        <v>45002</v>
      </c>
      <c r="D135" s="105" t="s">
        <v>526</v>
      </c>
      <c r="E135" s="105" t="s">
        <v>523</v>
      </c>
      <c r="F135" s="105" t="s">
        <v>531</v>
      </c>
      <c r="G135" s="105">
        <v>6</v>
      </c>
      <c r="H135" s="105">
        <v>367.72</v>
      </c>
      <c r="I135" s="105">
        <v>2206.3200000000002</v>
      </c>
      <c r="J135" s="105" t="s">
        <v>529</v>
      </c>
    </row>
    <row r="136" spans="2:10" ht="15" customHeight="1">
      <c r="B136" s="105">
        <v>129</v>
      </c>
      <c r="C136" s="135">
        <v>45111</v>
      </c>
      <c r="D136" s="105" t="s">
        <v>526</v>
      </c>
      <c r="E136" s="105" t="s">
        <v>527</v>
      </c>
      <c r="F136" s="105" t="s">
        <v>544</v>
      </c>
      <c r="G136" s="105">
        <v>3</v>
      </c>
      <c r="H136" s="105">
        <v>381.34</v>
      </c>
      <c r="I136" s="105">
        <v>1144.02</v>
      </c>
      <c r="J136" s="105" t="s">
        <v>534</v>
      </c>
    </row>
    <row r="137" spans="2:10" ht="15" customHeight="1">
      <c r="B137" s="105">
        <v>130</v>
      </c>
      <c r="C137" s="135">
        <v>45020</v>
      </c>
      <c r="D137" s="105" t="s">
        <v>526</v>
      </c>
      <c r="E137" s="105" t="s">
        <v>535</v>
      </c>
      <c r="F137" s="105" t="s">
        <v>536</v>
      </c>
      <c r="G137" s="105">
        <v>5</v>
      </c>
      <c r="H137" s="105">
        <v>56.14</v>
      </c>
      <c r="I137" s="105">
        <v>280.7</v>
      </c>
      <c r="J137" s="105" t="s">
        <v>529</v>
      </c>
    </row>
    <row r="138" spans="2:10" ht="15" customHeight="1">
      <c r="B138" s="105">
        <v>131</v>
      </c>
      <c r="C138" s="135">
        <v>45144</v>
      </c>
      <c r="D138" s="105" t="s">
        <v>252</v>
      </c>
      <c r="E138" s="105" t="s">
        <v>523</v>
      </c>
      <c r="F138" s="105" t="s">
        <v>542</v>
      </c>
      <c r="G138" s="105">
        <v>4</v>
      </c>
      <c r="H138" s="105">
        <v>95.91</v>
      </c>
      <c r="I138" s="105">
        <v>383.64</v>
      </c>
      <c r="J138" s="105" t="s">
        <v>543</v>
      </c>
    </row>
    <row r="139" spans="2:10" ht="15" customHeight="1">
      <c r="B139" s="105">
        <v>132</v>
      </c>
      <c r="C139" s="135">
        <v>45215</v>
      </c>
      <c r="D139" s="105" t="s">
        <v>252</v>
      </c>
      <c r="E139" s="105" t="s">
        <v>527</v>
      </c>
      <c r="F139" s="105" t="s">
        <v>261</v>
      </c>
      <c r="G139" s="105">
        <v>5</v>
      </c>
      <c r="H139" s="105">
        <v>242</v>
      </c>
      <c r="I139" s="105">
        <v>1210</v>
      </c>
      <c r="J139" s="105" t="s">
        <v>525</v>
      </c>
    </row>
    <row r="140" spans="2:10" ht="15" customHeight="1">
      <c r="B140" s="105">
        <v>133</v>
      </c>
      <c r="C140" s="135">
        <v>44936</v>
      </c>
      <c r="D140" s="105" t="s">
        <v>530</v>
      </c>
      <c r="E140" s="105" t="s">
        <v>523</v>
      </c>
      <c r="F140" s="105" t="s">
        <v>524</v>
      </c>
      <c r="G140" s="105">
        <v>5</v>
      </c>
      <c r="H140" s="105">
        <v>205.27</v>
      </c>
      <c r="I140" s="105">
        <v>1026.3499999999999</v>
      </c>
      <c r="J140" s="105" t="s">
        <v>534</v>
      </c>
    </row>
    <row r="141" spans="2:10" ht="15" customHeight="1">
      <c r="B141" s="105">
        <v>134</v>
      </c>
      <c r="C141" s="135">
        <v>45216</v>
      </c>
      <c r="D141" s="105" t="s">
        <v>252</v>
      </c>
      <c r="E141" s="105" t="s">
        <v>523</v>
      </c>
      <c r="F141" s="105" t="s">
        <v>545</v>
      </c>
      <c r="G141" s="105">
        <v>6</v>
      </c>
      <c r="H141" s="105">
        <v>321.2</v>
      </c>
      <c r="I141" s="105">
        <v>1927.2</v>
      </c>
      <c r="J141" s="105" t="s">
        <v>534</v>
      </c>
    </row>
    <row r="142" spans="2:10" ht="15" customHeight="1">
      <c r="B142" s="105">
        <v>135</v>
      </c>
      <c r="C142" s="135">
        <v>45176</v>
      </c>
      <c r="D142" s="105" t="s">
        <v>252</v>
      </c>
      <c r="E142" s="105" t="s">
        <v>535</v>
      </c>
      <c r="F142" s="105" t="s">
        <v>540</v>
      </c>
      <c r="G142" s="105">
        <v>4</v>
      </c>
      <c r="H142" s="105">
        <v>193.56</v>
      </c>
      <c r="I142" s="105">
        <v>774.24</v>
      </c>
      <c r="J142" s="105" t="s">
        <v>532</v>
      </c>
    </row>
    <row r="143" spans="2:10" ht="15" customHeight="1">
      <c r="B143" s="105">
        <v>136</v>
      </c>
      <c r="C143" s="135">
        <v>45183</v>
      </c>
      <c r="D143" s="105" t="s">
        <v>526</v>
      </c>
      <c r="E143" s="105" t="s">
        <v>520</v>
      </c>
      <c r="F143" s="105" t="s">
        <v>521</v>
      </c>
      <c r="G143" s="105">
        <v>3</v>
      </c>
      <c r="H143" s="105">
        <v>256.54000000000002</v>
      </c>
      <c r="I143" s="105">
        <v>769.62000000000012</v>
      </c>
      <c r="J143" s="105" t="s">
        <v>525</v>
      </c>
    </row>
    <row r="144" spans="2:10" ht="15" customHeight="1">
      <c r="B144" s="105">
        <v>137</v>
      </c>
      <c r="C144" s="135">
        <v>44930</v>
      </c>
      <c r="D144" s="105" t="s">
        <v>252</v>
      </c>
      <c r="E144" s="105" t="s">
        <v>523</v>
      </c>
      <c r="F144" s="105" t="s">
        <v>531</v>
      </c>
      <c r="G144" s="105">
        <v>8</v>
      </c>
      <c r="H144" s="105">
        <v>332.76</v>
      </c>
      <c r="I144" s="105">
        <v>2662.08</v>
      </c>
      <c r="J144" s="105" t="s">
        <v>543</v>
      </c>
    </row>
    <row r="145" spans="2:10" ht="15" customHeight="1">
      <c r="B145" s="105">
        <v>138</v>
      </c>
      <c r="C145" s="135">
        <v>45184</v>
      </c>
      <c r="D145" s="105" t="s">
        <v>243</v>
      </c>
      <c r="E145" s="105" t="s">
        <v>520</v>
      </c>
      <c r="F145" s="105" t="s">
        <v>537</v>
      </c>
      <c r="G145" s="105">
        <v>8</v>
      </c>
      <c r="H145" s="105">
        <v>472.51</v>
      </c>
      <c r="I145" s="105">
        <v>3780.08</v>
      </c>
      <c r="J145" s="105" t="s">
        <v>543</v>
      </c>
    </row>
    <row r="146" spans="2:10" ht="15" customHeight="1">
      <c r="B146" s="105">
        <v>139</v>
      </c>
      <c r="C146" s="135">
        <v>45086</v>
      </c>
      <c r="D146" s="105" t="s">
        <v>243</v>
      </c>
      <c r="E146" s="105" t="s">
        <v>535</v>
      </c>
      <c r="F146" s="105" t="s">
        <v>536</v>
      </c>
      <c r="G146" s="105">
        <v>1</v>
      </c>
      <c r="H146" s="105">
        <v>434.93</v>
      </c>
      <c r="I146" s="105">
        <v>434.93</v>
      </c>
      <c r="J146" s="105" t="s">
        <v>532</v>
      </c>
    </row>
    <row r="147" spans="2:10" ht="15" customHeight="1">
      <c r="B147" s="105">
        <v>140</v>
      </c>
      <c r="C147" s="135">
        <v>45104</v>
      </c>
      <c r="D147" s="105" t="s">
        <v>252</v>
      </c>
      <c r="E147" s="105" t="s">
        <v>520</v>
      </c>
      <c r="F147" s="105" t="s">
        <v>537</v>
      </c>
      <c r="G147" s="105">
        <v>4</v>
      </c>
      <c r="H147" s="105">
        <v>291.98</v>
      </c>
      <c r="I147" s="105">
        <v>1167.92</v>
      </c>
      <c r="J147" s="105" t="s">
        <v>522</v>
      </c>
    </row>
    <row r="148" spans="2:10" ht="15" customHeight="1">
      <c r="B148" s="105">
        <v>141</v>
      </c>
      <c r="C148" s="135">
        <v>45105</v>
      </c>
      <c r="D148" s="105" t="s">
        <v>526</v>
      </c>
      <c r="E148" s="105" t="s">
        <v>520</v>
      </c>
      <c r="F148" s="105" t="s">
        <v>546</v>
      </c>
      <c r="G148" s="105">
        <v>3</v>
      </c>
      <c r="H148" s="105">
        <v>325.20999999999998</v>
      </c>
      <c r="I148" s="105">
        <v>975.62999999999988</v>
      </c>
      <c r="J148" s="105" t="s">
        <v>534</v>
      </c>
    </row>
    <row r="149" spans="2:10" ht="15" customHeight="1">
      <c r="B149" s="105">
        <v>142</v>
      </c>
      <c r="C149" s="135">
        <v>44991</v>
      </c>
      <c r="D149" s="105" t="s">
        <v>526</v>
      </c>
      <c r="E149" s="105" t="s">
        <v>535</v>
      </c>
      <c r="F149" s="105" t="s">
        <v>540</v>
      </c>
      <c r="G149" s="105">
        <v>5</v>
      </c>
      <c r="H149" s="105">
        <v>316.70999999999998</v>
      </c>
      <c r="I149" s="105">
        <v>1583.55</v>
      </c>
      <c r="J149" s="105" t="s">
        <v>534</v>
      </c>
    </row>
    <row r="150" spans="2:10" ht="15" customHeight="1">
      <c r="B150" s="105">
        <v>143</v>
      </c>
      <c r="C150" s="135">
        <v>44969</v>
      </c>
      <c r="D150" s="105" t="s">
        <v>243</v>
      </c>
      <c r="E150" s="105" t="s">
        <v>523</v>
      </c>
      <c r="F150" s="105" t="s">
        <v>545</v>
      </c>
      <c r="G150" s="105">
        <v>1</v>
      </c>
      <c r="H150" s="105">
        <v>329.23</v>
      </c>
      <c r="I150" s="105">
        <v>329.23</v>
      </c>
      <c r="J150" s="105" t="s">
        <v>529</v>
      </c>
    </row>
    <row r="151" spans="2:10" ht="15" customHeight="1">
      <c r="B151" s="105">
        <v>144</v>
      </c>
      <c r="C151" s="135">
        <v>45168</v>
      </c>
      <c r="D151" s="105" t="s">
        <v>252</v>
      </c>
      <c r="E151" s="105" t="s">
        <v>523</v>
      </c>
      <c r="F151" s="105" t="s">
        <v>542</v>
      </c>
      <c r="G151" s="105">
        <v>2</v>
      </c>
      <c r="H151" s="105">
        <v>29.09</v>
      </c>
      <c r="I151" s="105">
        <v>58.18</v>
      </c>
      <c r="J151" s="105" t="s">
        <v>534</v>
      </c>
    </row>
    <row r="152" spans="2:10" ht="15" customHeight="1">
      <c r="B152" s="105">
        <v>145</v>
      </c>
      <c r="C152" s="135">
        <v>45016</v>
      </c>
      <c r="D152" s="105" t="s">
        <v>530</v>
      </c>
      <c r="E152" s="105" t="s">
        <v>520</v>
      </c>
      <c r="F152" s="105" t="s">
        <v>537</v>
      </c>
      <c r="G152" s="105">
        <v>3</v>
      </c>
      <c r="H152" s="105">
        <v>174.91</v>
      </c>
      <c r="I152" s="105">
        <v>524.73</v>
      </c>
      <c r="J152" s="105" t="s">
        <v>534</v>
      </c>
    </row>
    <row r="153" spans="2:10" ht="15" customHeight="1">
      <c r="B153" s="105">
        <v>146</v>
      </c>
      <c r="C153" s="135">
        <v>45016</v>
      </c>
      <c r="D153" s="105" t="s">
        <v>530</v>
      </c>
      <c r="E153" s="105" t="s">
        <v>520</v>
      </c>
      <c r="F153" s="105" t="s">
        <v>193</v>
      </c>
      <c r="G153" s="105">
        <v>8</v>
      </c>
      <c r="H153" s="105">
        <v>198.84</v>
      </c>
      <c r="I153" s="105">
        <v>1590.72</v>
      </c>
      <c r="J153" s="105" t="s">
        <v>532</v>
      </c>
    </row>
    <row r="154" spans="2:10" ht="15" customHeight="1">
      <c r="B154" s="105">
        <v>147</v>
      </c>
      <c r="C154" s="135">
        <v>45122</v>
      </c>
      <c r="D154" s="105" t="s">
        <v>252</v>
      </c>
      <c r="E154" s="105" t="s">
        <v>523</v>
      </c>
      <c r="F154" s="105" t="s">
        <v>524</v>
      </c>
      <c r="G154" s="105">
        <v>2</v>
      </c>
      <c r="H154" s="105">
        <v>137.74</v>
      </c>
      <c r="I154" s="105">
        <v>275.48</v>
      </c>
      <c r="J154" s="105" t="s">
        <v>529</v>
      </c>
    </row>
    <row r="155" spans="2:10" ht="15" customHeight="1">
      <c r="B155" s="105">
        <v>148</v>
      </c>
      <c r="C155" s="135">
        <v>45001</v>
      </c>
      <c r="D155" s="105" t="s">
        <v>530</v>
      </c>
      <c r="E155" s="105" t="s">
        <v>520</v>
      </c>
      <c r="F155" s="105" t="s">
        <v>546</v>
      </c>
      <c r="G155" s="105">
        <v>5</v>
      </c>
      <c r="H155" s="105">
        <v>180.68</v>
      </c>
      <c r="I155" s="105">
        <v>903.40000000000009</v>
      </c>
      <c r="J155" s="105" t="s">
        <v>533</v>
      </c>
    </row>
    <row r="156" spans="2:10" ht="15" customHeight="1">
      <c r="B156" s="105">
        <v>149</v>
      </c>
      <c r="C156" s="135">
        <v>45203</v>
      </c>
      <c r="D156" s="105" t="s">
        <v>530</v>
      </c>
      <c r="E156" s="105" t="s">
        <v>520</v>
      </c>
      <c r="F156" s="105" t="s">
        <v>537</v>
      </c>
      <c r="G156" s="105">
        <v>8</v>
      </c>
      <c r="H156" s="105">
        <v>370.18</v>
      </c>
      <c r="I156" s="105">
        <v>2961.44</v>
      </c>
      <c r="J156" s="105" t="s">
        <v>534</v>
      </c>
    </row>
    <row r="157" spans="2:10" ht="15" customHeight="1">
      <c r="B157" s="105">
        <v>150</v>
      </c>
      <c r="C157" s="135">
        <v>45283</v>
      </c>
      <c r="D157" s="105" t="s">
        <v>243</v>
      </c>
      <c r="E157" s="105" t="s">
        <v>523</v>
      </c>
      <c r="F157" s="105" t="s">
        <v>545</v>
      </c>
      <c r="G157" s="105">
        <v>9</v>
      </c>
      <c r="H157" s="105">
        <v>278.51</v>
      </c>
      <c r="I157" s="105">
        <v>2506.59</v>
      </c>
      <c r="J157" s="105" t="s">
        <v>543</v>
      </c>
    </row>
    <row r="158" spans="2:10" ht="15" customHeight="1">
      <c r="B158" s="105">
        <v>151</v>
      </c>
      <c r="C158" s="135">
        <v>45153</v>
      </c>
      <c r="D158" s="105" t="s">
        <v>243</v>
      </c>
      <c r="E158" s="105" t="s">
        <v>527</v>
      </c>
      <c r="F158" s="105" t="s">
        <v>539</v>
      </c>
      <c r="G158" s="105">
        <v>9</v>
      </c>
      <c r="H158" s="105">
        <v>288.57</v>
      </c>
      <c r="I158" s="105">
        <v>2597.13</v>
      </c>
      <c r="J158" s="105" t="s">
        <v>522</v>
      </c>
    </row>
    <row r="159" spans="2:10" ht="15" customHeight="1">
      <c r="B159" s="105">
        <v>152</v>
      </c>
      <c r="C159" s="135">
        <v>44962</v>
      </c>
      <c r="D159" s="105" t="s">
        <v>526</v>
      </c>
      <c r="E159" s="105" t="s">
        <v>523</v>
      </c>
      <c r="F159" s="105" t="s">
        <v>524</v>
      </c>
      <c r="G159" s="105">
        <v>1</v>
      </c>
      <c r="H159" s="105">
        <v>368.51</v>
      </c>
      <c r="I159" s="105">
        <v>368.51</v>
      </c>
      <c r="J159" s="105" t="s">
        <v>534</v>
      </c>
    </row>
    <row r="160" spans="2:10" ht="15" customHeight="1">
      <c r="B160" s="105">
        <v>153</v>
      </c>
      <c r="C160" s="135">
        <v>45022</v>
      </c>
      <c r="D160" s="105" t="s">
        <v>526</v>
      </c>
      <c r="E160" s="105" t="s">
        <v>527</v>
      </c>
      <c r="F160" s="105" t="s">
        <v>539</v>
      </c>
      <c r="G160" s="105">
        <v>2</v>
      </c>
      <c r="H160" s="105">
        <v>132.51</v>
      </c>
      <c r="I160" s="105">
        <v>265.02</v>
      </c>
      <c r="J160" s="105" t="s">
        <v>532</v>
      </c>
    </row>
    <row r="161" spans="2:10" ht="15" customHeight="1">
      <c r="B161" s="105">
        <v>154</v>
      </c>
      <c r="C161" s="135">
        <v>45150</v>
      </c>
      <c r="D161" s="105" t="s">
        <v>243</v>
      </c>
      <c r="E161" s="105" t="s">
        <v>527</v>
      </c>
      <c r="F161" s="105" t="s">
        <v>539</v>
      </c>
      <c r="G161" s="105">
        <v>8</v>
      </c>
      <c r="H161" s="105">
        <v>434.89</v>
      </c>
      <c r="I161" s="105">
        <v>3479.12</v>
      </c>
      <c r="J161" s="105" t="s">
        <v>529</v>
      </c>
    </row>
    <row r="162" spans="2:10" ht="15" customHeight="1">
      <c r="B162" s="105">
        <v>155</v>
      </c>
      <c r="C162" s="135">
        <v>45109</v>
      </c>
      <c r="D162" s="105" t="s">
        <v>526</v>
      </c>
      <c r="E162" s="105" t="s">
        <v>523</v>
      </c>
      <c r="F162" s="105" t="s">
        <v>531</v>
      </c>
      <c r="G162" s="105">
        <v>5</v>
      </c>
      <c r="H162" s="105">
        <v>126.91</v>
      </c>
      <c r="I162" s="105">
        <v>634.54999999999995</v>
      </c>
      <c r="J162" s="105" t="s">
        <v>522</v>
      </c>
    </row>
    <row r="163" spans="2:10" ht="15" customHeight="1">
      <c r="B163" s="105">
        <v>156</v>
      </c>
      <c r="C163" s="135">
        <v>45287</v>
      </c>
      <c r="D163" s="105" t="s">
        <v>252</v>
      </c>
      <c r="E163" s="105" t="s">
        <v>520</v>
      </c>
      <c r="F163" s="105" t="s">
        <v>521</v>
      </c>
      <c r="G163" s="105">
        <v>7</v>
      </c>
      <c r="H163" s="105">
        <v>379.73</v>
      </c>
      <c r="I163" s="105">
        <v>2658.11</v>
      </c>
      <c r="J163" s="105" t="s">
        <v>533</v>
      </c>
    </row>
    <row r="164" spans="2:10" ht="15" customHeight="1">
      <c r="B164" s="105">
        <v>157</v>
      </c>
      <c r="C164" s="135">
        <v>45010</v>
      </c>
      <c r="D164" s="105" t="s">
        <v>530</v>
      </c>
      <c r="E164" s="105" t="s">
        <v>520</v>
      </c>
      <c r="F164" s="105" t="s">
        <v>537</v>
      </c>
      <c r="G164" s="105">
        <v>1</v>
      </c>
      <c r="H164" s="105">
        <v>271.82</v>
      </c>
      <c r="I164" s="105">
        <v>271.82</v>
      </c>
      <c r="J164" s="105" t="s">
        <v>543</v>
      </c>
    </row>
    <row r="165" spans="2:10" ht="15" customHeight="1">
      <c r="B165" s="105">
        <v>158</v>
      </c>
      <c r="C165" s="135">
        <v>45113</v>
      </c>
      <c r="D165" s="105" t="s">
        <v>530</v>
      </c>
      <c r="E165" s="105" t="s">
        <v>520</v>
      </c>
      <c r="F165" s="105" t="s">
        <v>521</v>
      </c>
      <c r="G165" s="105">
        <v>9</v>
      </c>
      <c r="H165" s="105">
        <v>166.82</v>
      </c>
      <c r="I165" s="105">
        <v>1501.38</v>
      </c>
      <c r="J165" s="105" t="s">
        <v>522</v>
      </c>
    </row>
    <row r="166" spans="2:10" ht="15" customHeight="1">
      <c r="B166" s="105">
        <v>159</v>
      </c>
      <c r="C166" s="135">
        <v>45159</v>
      </c>
      <c r="D166" s="105" t="s">
        <v>530</v>
      </c>
      <c r="E166" s="105" t="s">
        <v>520</v>
      </c>
      <c r="F166" s="105" t="s">
        <v>521</v>
      </c>
      <c r="G166" s="105">
        <v>3</v>
      </c>
      <c r="H166" s="105">
        <v>200.71</v>
      </c>
      <c r="I166" s="105">
        <v>602.13</v>
      </c>
      <c r="J166" s="105" t="s">
        <v>532</v>
      </c>
    </row>
    <row r="167" spans="2:10" ht="15" customHeight="1">
      <c r="B167" s="105">
        <v>160</v>
      </c>
      <c r="C167" s="135">
        <v>45210</v>
      </c>
      <c r="D167" s="105" t="s">
        <v>530</v>
      </c>
      <c r="E167" s="105" t="s">
        <v>535</v>
      </c>
      <c r="F167" s="105" t="s">
        <v>536</v>
      </c>
      <c r="G167" s="105">
        <v>3</v>
      </c>
      <c r="H167" s="105">
        <v>54.73</v>
      </c>
      <c r="I167" s="105">
        <v>164.19</v>
      </c>
      <c r="J167" s="105" t="s">
        <v>522</v>
      </c>
    </row>
    <row r="168" spans="2:10" ht="15" customHeight="1">
      <c r="B168" s="105">
        <v>161</v>
      </c>
      <c r="C168" s="135">
        <v>45070</v>
      </c>
      <c r="D168" s="105" t="s">
        <v>526</v>
      </c>
      <c r="E168" s="105" t="s">
        <v>527</v>
      </c>
      <c r="F168" s="105" t="s">
        <v>528</v>
      </c>
      <c r="G168" s="105">
        <v>4</v>
      </c>
      <c r="H168" s="105">
        <v>290.98</v>
      </c>
      <c r="I168" s="105">
        <v>1163.92</v>
      </c>
      <c r="J168" s="105" t="s">
        <v>543</v>
      </c>
    </row>
    <row r="169" spans="2:10" ht="15" customHeight="1">
      <c r="B169" s="105">
        <v>162</v>
      </c>
      <c r="C169" s="135">
        <v>44951</v>
      </c>
      <c r="D169" s="105" t="s">
        <v>243</v>
      </c>
      <c r="E169" s="105" t="s">
        <v>523</v>
      </c>
      <c r="F169" s="105" t="s">
        <v>531</v>
      </c>
      <c r="G169" s="105">
        <v>5</v>
      </c>
      <c r="H169" s="105">
        <v>54.94</v>
      </c>
      <c r="I169" s="105">
        <v>274.7</v>
      </c>
      <c r="J169" s="105" t="s">
        <v>522</v>
      </c>
    </row>
    <row r="170" spans="2:10" ht="15" customHeight="1">
      <c r="B170" s="105">
        <v>163</v>
      </c>
      <c r="C170" s="135">
        <v>44979</v>
      </c>
      <c r="D170" s="105" t="s">
        <v>526</v>
      </c>
      <c r="E170" s="105" t="s">
        <v>520</v>
      </c>
      <c r="F170" s="105" t="s">
        <v>521</v>
      </c>
      <c r="G170" s="105">
        <v>4</v>
      </c>
      <c r="H170" s="105">
        <v>339.53</v>
      </c>
      <c r="I170" s="105">
        <v>1358.12</v>
      </c>
      <c r="J170" s="105" t="s">
        <v>522</v>
      </c>
    </row>
    <row r="171" spans="2:10" ht="15" customHeight="1">
      <c r="B171" s="105">
        <v>164</v>
      </c>
      <c r="C171" s="135">
        <v>44965</v>
      </c>
      <c r="D171" s="105" t="s">
        <v>530</v>
      </c>
      <c r="E171" s="105" t="s">
        <v>523</v>
      </c>
      <c r="F171" s="105" t="s">
        <v>542</v>
      </c>
      <c r="G171" s="105">
        <v>7</v>
      </c>
      <c r="H171" s="105">
        <v>392.84</v>
      </c>
      <c r="I171" s="105">
        <v>2749.88</v>
      </c>
      <c r="J171" s="105" t="s">
        <v>534</v>
      </c>
    </row>
    <row r="172" spans="2:10" ht="15" customHeight="1">
      <c r="B172" s="105">
        <v>165</v>
      </c>
      <c r="C172" s="135">
        <v>45149</v>
      </c>
      <c r="D172" s="105" t="s">
        <v>526</v>
      </c>
      <c r="E172" s="105" t="s">
        <v>527</v>
      </c>
      <c r="F172" s="105" t="s">
        <v>539</v>
      </c>
      <c r="G172" s="105">
        <v>5</v>
      </c>
      <c r="H172" s="105">
        <v>252.27</v>
      </c>
      <c r="I172" s="105">
        <v>1261.3499999999999</v>
      </c>
      <c r="J172" s="105" t="s">
        <v>525</v>
      </c>
    </row>
    <row r="173" spans="2:10" ht="15" customHeight="1">
      <c r="B173" s="105">
        <v>166</v>
      </c>
      <c r="C173" s="135">
        <v>45147</v>
      </c>
      <c r="D173" s="105" t="s">
        <v>526</v>
      </c>
      <c r="E173" s="105" t="s">
        <v>520</v>
      </c>
      <c r="F173" s="105" t="s">
        <v>546</v>
      </c>
      <c r="G173" s="105">
        <v>5</v>
      </c>
      <c r="H173" s="105">
        <v>371.15</v>
      </c>
      <c r="I173" s="105">
        <v>1855.75</v>
      </c>
      <c r="J173" s="105" t="s">
        <v>529</v>
      </c>
    </row>
    <row r="174" spans="2:10" ht="15" customHeight="1">
      <c r="B174" s="105">
        <v>167</v>
      </c>
      <c r="C174" s="135">
        <v>44935</v>
      </c>
      <c r="D174" s="105" t="s">
        <v>526</v>
      </c>
      <c r="E174" s="105" t="s">
        <v>535</v>
      </c>
      <c r="F174" s="105" t="s">
        <v>536</v>
      </c>
      <c r="G174" s="105">
        <v>2</v>
      </c>
      <c r="H174" s="105">
        <v>484.64</v>
      </c>
      <c r="I174" s="105">
        <v>969.28</v>
      </c>
      <c r="J174" s="105" t="s">
        <v>529</v>
      </c>
    </row>
    <row r="175" spans="2:10" ht="15" customHeight="1">
      <c r="B175" s="105">
        <v>168</v>
      </c>
      <c r="C175" s="135">
        <v>44933</v>
      </c>
      <c r="D175" s="105" t="s">
        <v>252</v>
      </c>
      <c r="E175" s="105" t="s">
        <v>520</v>
      </c>
      <c r="F175" s="105" t="s">
        <v>521</v>
      </c>
      <c r="G175" s="105">
        <v>1</v>
      </c>
      <c r="H175" s="105">
        <v>59.55</v>
      </c>
      <c r="I175" s="105">
        <v>59.55</v>
      </c>
      <c r="J175" s="105" t="s">
        <v>529</v>
      </c>
    </row>
    <row r="176" spans="2:10" ht="15" customHeight="1">
      <c r="B176" s="105">
        <v>169</v>
      </c>
      <c r="C176" s="135">
        <v>45209</v>
      </c>
      <c r="D176" s="105" t="s">
        <v>252</v>
      </c>
      <c r="E176" s="105" t="s">
        <v>523</v>
      </c>
      <c r="F176" s="105" t="s">
        <v>524</v>
      </c>
      <c r="G176" s="105">
        <v>8</v>
      </c>
      <c r="H176" s="105">
        <v>45.65</v>
      </c>
      <c r="I176" s="105">
        <v>365.2</v>
      </c>
      <c r="J176" s="105" t="s">
        <v>529</v>
      </c>
    </row>
    <row r="177" spans="2:10" ht="15" customHeight="1">
      <c r="B177" s="105">
        <v>170</v>
      </c>
      <c r="C177" s="135">
        <v>45091</v>
      </c>
      <c r="D177" s="105" t="s">
        <v>243</v>
      </c>
      <c r="E177" s="105" t="s">
        <v>520</v>
      </c>
      <c r="F177" s="105" t="s">
        <v>193</v>
      </c>
      <c r="G177" s="105">
        <v>2</v>
      </c>
      <c r="H177" s="105">
        <v>49.86</v>
      </c>
      <c r="I177" s="105">
        <v>99.72</v>
      </c>
      <c r="J177" s="105" t="s">
        <v>529</v>
      </c>
    </row>
    <row r="178" spans="2:10" ht="15" customHeight="1">
      <c r="B178" s="105">
        <v>171</v>
      </c>
      <c r="C178" s="135">
        <v>45291</v>
      </c>
      <c r="D178" s="105" t="s">
        <v>526</v>
      </c>
      <c r="E178" s="105" t="s">
        <v>523</v>
      </c>
      <c r="F178" s="105" t="s">
        <v>524</v>
      </c>
      <c r="G178" s="105">
        <v>6</v>
      </c>
      <c r="H178" s="105">
        <v>493.45</v>
      </c>
      <c r="I178" s="105">
        <v>2960.7</v>
      </c>
      <c r="J178" s="105" t="s">
        <v>543</v>
      </c>
    </row>
    <row r="179" spans="2:10" ht="15" customHeight="1">
      <c r="B179" s="105">
        <v>172</v>
      </c>
      <c r="C179" s="135">
        <v>45071</v>
      </c>
      <c r="D179" s="105" t="s">
        <v>243</v>
      </c>
      <c r="E179" s="105" t="s">
        <v>527</v>
      </c>
      <c r="F179" s="105" t="s">
        <v>261</v>
      </c>
      <c r="G179" s="105">
        <v>1</v>
      </c>
      <c r="H179" s="105">
        <v>441.38</v>
      </c>
      <c r="I179" s="105">
        <v>441.38</v>
      </c>
      <c r="J179" s="105" t="s">
        <v>534</v>
      </c>
    </row>
    <row r="180" spans="2:10" ht="15" customHeight="1">
      <c r="B180" s="105">
        <v>173</v>
      </c>
      <c r="C180" s="135">
        <v>45058</v>
      </c>
      <c r="D180" s="105" t="s">
        <v>530</v>
      </c>
      <c r="E180" s="105" t="s">
        <v>523</v>
      </c>
      <c r="F180" s="105" t="s">
        <v>542</v>
      </c>
      <c r="G180" s="105">
        <v>7</v>
      </c>
      <c r="H180" s="105">
        <v>493.14</v>
      </c>
      <c r="I180" s="105">
        <v>3451.98</v>
      </c>
      <c r="J180" s="105" t="s">
        <v>543</v>
      </c>
    </row>
    <row r="181" spans="2:10" ht="15" customHeight="1">
      <c r="B181" s="105">
        <v>174</v>
      </c>
      <c r="C181" s="135">
        <v>45201</v>
      </c>
      <c r="D181" s="105" t="s">
        <v>243</v>
      </c>
      <c r="E181" s="105" t="s">
        <v>520</v>
      </c>
      <c r="F181" s="105" t="s">
        <v>537</v>
      </c>
      <c r="G181" s="105">
        <v>4</v>
      </c>
      <c r="H181" s="105">
        <v>194.37</v>
      </c>
      <c r="I181" s="105">
        <v>777.48</v>
      </c>
      <c r="J181" s="105" t="s">
        <v>529</v>
      </c>
    </row>
    <row r="182" spans="2:10" ht="15" customHeight="1">
      <c r="B182" s="105">
        <v>175</v>
      </c>
      <c r="C182" s="135">
        <v>45128</v>
      </c>
      <c r="D182" s="105" t="s">
        <v>526</v>
      </c>
      <c r="E182" s="105" t="s">
        <v>527</v>
      </c>
      <c r="F182" s="105" t="s">
        <v>261</v>
      </c>
      <c r="G182" s="105">
        <v>6</v>
      </c>
      <c r="H182" s="105">
        <v>355.49</v>
      </c>
      <c r="I182" s="105">
        <v>2132.94</v>
      </c>
      <c r="J182" s="105" t="s">
        <v>543</v>
      </c>
    </row>
    <row r="183" spans="2:10" ht="15" customHeight="1">
      <c r="B183" s="105">
        <v>176</v>
      </c>
      <c r="C183" s="135">
        <v>45099</v>
      </c>
      <c r="D183" s="105" t="s">
        <v>243</v>
      </c>
      <c r="E183" s="105" t="s">
        <v>527</v>
      </c>
      <c r="F183" s="105" t="s">
        <v>261</v>
      </c>
      <c r="G183" s="105">
        <v>3</v>
      </c>
      <c r="H183" s="105">
        <v>64.489999999999995</v>
      </c>
      <c r="I183" s="105">
        <v>193.47</v>
      </c>
      <c r="J183" s="105" t="s">
        <v>533</v>
      </c>
    </row>
    <row r="184" spans="2:10" ht="15" customHeight="1">
      <c r="B184" s="105">
        <v>177</v>
      </c>
      <c r="C184" s="135">
        <v>44984</v>
      </c>
      <c r="D184" s="105" t="s">
        <v>243</v>
      </c>
      <c r="E184" s="105" t="s">
        <v>527</v>
      </c>
      <c r="F184" s="105" t="s">
        <v>528</v>
      </c>
      <c r="G184" s="105">
        <v>2</v>
      </c>
      <c r="H184" s="105">
        <v>239.64</v>
      </c>
      <c r="I184" s="105">
        <v>479.28</v>
      </c>
      <c r="J184" s="105" t="s">
        <v>533</v>
      </c>
    </row>
    <row r="185" spans="2:10" ht="15" customHeight="1">
      <c r="B185" s="105">
        <v>178</v>
      </c>
      <c r="C185" s="135">
        <v>45243</v>
      </c>
      <c r="D185" s="105" t="s">
        <v>530</v>
      </c>
      <c r="E185" s="105" t="s">
        <v>523</v>
      </c>
      <c r="F185" s="105" t="s">
        <v>542</v>
      </c>
      <c r="G185" s="105">
        <v>4</v>
      </c>
      <c r="H185" s="105">
        <v>68.22</v>
      </c>
      <c r="I185" s="105">
        <v>272.88</v>
      </c>
      <c r="J185" s="105" t="s">
        <v>529</v>
      </c>
    </row>
    <row r="186" spans="2:10" ht="15" customHeight="1">
      <c r="B186" s="105">
        <v>179</v>
      </c>
      <c r="C186" s="135">
        <v>45274</v>
      </c>
      <c r="D186" s="105" t="s">
        <v>530</v>
      </c>
      <c r="E186" s="105" t="s">
        <v>523</v>
      </c>
      <c r="F186" s="105" t="s">
        <v>524</v>
      </c>
      <c r="G186" s="105">
        <v>9</v>
      </c>
      <c r="H186" s="105">
        <v>374.66</v>
      </c>
      <c r="I186" s="105">
        <v>3371.94</v>
      </c>
      <c r="J186" s="105" t="s">
        <v>533</v>
      </c>
    </row>
    <row r="187" spans="2:10" ht="15" customHeight="1">
      <c r="B187" s="105">
        <v>180</v>
      </c>
      <c r="C187" s="135">
        <v>45238</v>
      </c>
      <c r="D187" s="105" t="s">
        <v>526</v>
      </c>
      <c r="E187" s="105" t="s">
        <v>520</v>
      </c>
      <c r="F187" s="105" t="s">
        <v>193</v>
      </c>
      <c r="G187" s="105">
        <v>9</v>
      </c>
      <c r="H187" s="105">
        <v>193.69</v>
      </c>
      <c r="I187" s="105">
        <v>1743.21</v>
      </c>
      <c r="J187" s="105" t="s">
        <v>534</v>
      </c>
    </row>
    <row r="188" spans="2:10" ht="15" customHeight="1">
      <c r="B188" s="105">
        <v>181</v>
      </c>
      <c r="C188" s="135">
        <v>45060</v>
      </c>
      <c r="D188" s="105" t="s">
        <v>243</v>
      </c>
      <c r="E188" s="105" t="s">
        <v>523</v>
      </c>
      <c r="F188" s="105" t="s">
        <v>545</v>
      </c>
      <c r="G188" s="105">
        <v>1</v>
      </c>
      <c r="H188" s="105">
        <v>119.56</v>
      </c>
      <c r="I188" s="105">
        <v>119.56</v>
      </c>
      <c r="J188" s="105" t="s">
        <v>525</v>
      </c>
    </row>
    <row r="189" spans="2:10" ht="15" customHeight="1">
      <c r="B189" s="105">
        <v>182</v>
      </c>
      <c r="C189" s="135">
        <v>45139</v>
      </c>
      <c r="D189" s="105" t="s">
        <v>252</v>
      </c>
      <c r="E189" s="105" t="s">
        <v>523</v>
      </c>
      <c r="F189" s="105" t="s">
        <v>531</v>
      </c>
      <c r="G189" s="105">
        <v>5</v>
      </c>
      <c r="H189" s="105">
        <v>31.27</v>
      </c>
      <c r="I189" s="105">
        <v>156.35</v>
      </c>
      <c r="J189" s="105" t="s">
        <v>534</v>
      </c>
    </row>
    <row r="190" spans="2:10" ht="15" customHeight="1">
      <c r="B190" s="105">
        <v>183</v>
      </c>
      <c r="C190" s="135">
        <v>45073</v>
      </c>
      <c r="D190" s="105" t="s">
        <v>252</v>
      </c>
      <c r="E190" s="105" t="s">
        <v>520</v>
      </c>
      <c r="F190" s="105" t="s">
        <v>537</v>
      </c>
      <c r="G190" s="105">
        <v>5</v>
      </c>
      <c r="H190" s="105">
        <v>133.97</v>
      </c>
      <c r="I190" s="105">
        <v>669.85</v>
      </c>
      <c r="J190" s="105" t="s">
        <v>529</v>
      </c>
    </row>
    <row r="191" spans="2:10" ht="15" customHeight="1">
      <c r="B191" s="105">
        <v>184</v>
      </c>
      <c r="C191" s="135">
        <v>44973</v>
      </c>
      <c r="D191" s="105" t="s">
        <v>243</v>
      </c>
      <c r="E191" s="105" t="s">
        <v>523</v>
      </c>
      <c r="F191" s="105" t="s">
        <v>531</v>
      </c>
      <c r="G191" s="105">
        <v>4</v>
      </c>
      <c r="H191" s="105">
        <v>46.96</v>
      </c>
      <c r="I191" s="105">
        <v>187.84</v>
      </c>
      <c r="J191" s="105" t="s">
        <v>529</v>
      </c>
    </row>
    <row r="192" spans="2:10" ht="15" customHeight="1">
      <c r="B192" s="105">
        <v>185</v>
      </c>
      <c r="C192" s="135">
        <v>45069</v>
      </c>
      <c r="D192" s="105" t="s">
        <v>530</v>
      </c>
      <c r="E192" s="105" t="s">
        <v>520</v>
      </c>
      <c r="F192" s="105" t="s">
        <v>193</v>
      </c>
      <c r="G192" s="105">
        <v>9</v>
      </c>
      <c r="H192" s="105">
        <v>116.24</v>
      </c>
      <c r="I192" s="105">
        <v>1046.1600000000001</v>
      </c>
      <c r="J192" s="105" t="s">
        <v>534</v>
      </c>
    </row>
    <row r="193" spans="2:10" ht="15" customHeight="1">
      <c r="B193" s="105">
        <v>186</v>
      </c>
      <c r="C193" s="135">
        <v>45185</v>
      </c>
      <c r="D193" s="105" t="s">
        <v>252</v>
      </c>
      <c r="E193" s="105" t="s">
        <v>527</v>
      </c>
      <c r="F193" s="105" t="s">
        <v>528</v>
      </c>
      <c r="G193" s="105">
        <v>1</v>
      </c>
      <c r="H193" s="105">
        <v>317.5</v>
      </c>
      <c r="I193" s="105">
        <v>317.5</v>
      </c>
      <c r="J193" s="105" t="s">
        <v>534</v>
      </c>
    </row>
    <row r="194" spans="2:10" ht="15" customHeight="1">
      <c r="B194" s="105">
        <v>187</v>
      </c>
      <c r="C194" s="135">
        <v>44938</v>
      </c>
      <c r="D194" s="105" t="s">
        <v>252</v>
      </c>
      <c r="E194" s="105" t="s">
        <v>523</v>
      </c>
      <c r="F194" s="105" t="s">
        <v>545</v>
      </c>
      <c r="G194" s="105">
        <v>7</v>
      </c>
      <c r="H194" s="105">
        <v>32.270000000000003</v>
      </c>
      <c r="I194" s="105">
        <v>225.89</v>
      </c>
      <c r="J194" s="105" t="s">
        <v>525</v>
      </c>
    </row>
    <row r="195" spans="2:10" ht="15" customHeight="1">
      <c r="B195" s="105">
        <v>188</v>
      </c>
      <c r="C195" s="135">
        <v>45082</v>
      </c>
      <c r="D195" s="105" t="s">
        <v>252</v>
      </c>
      <c r="E195" s="105" t="s">
        <v>527</v>
      </c>
      <c r="F195" s="105" t="s">
        <v>539</v>
      </c>
      <c r="G195" s="105">
        <v>8</v>
      </c>
      <c r="H195" s="105">
        <v>203.32</v>
      </c>
      <c r="I195" s="105">
        <v>1626.56</v>
      </c>
      <c r="J195" s="105" t="s">
        <v>525</v>
      </c>
    </row>
    <row r="196" spans="2:10" ht="15" customHeight="1">
      <c r="B196" s="105">
        <v>189</v>
      </c>
      <c r="C196" s="135">
        <v>45274</v>
      </c>
      <c r="D196" s="105" t="s">
        <v>243</v>
      </c>
      <c r="E196" s="105" t="s">
        <v>523</v>
      </c>
      <c r="F196" s="105" t="s">
        <v>531</v>
      </c>
      <c r="G196" s="105">
        <v>5</v>
      </c>
      <c r="H196" s="105">
        <v>145.91999999999999</v>
      </c>
      <c r="I196" s="105">
        <v>729.59999999999991</v>
      </c>
      <c r="J196" s="105" t="s">
        <v>532</v>
      </c>
    </row>
    <row r="197" spans="2:10" ht="15" customHeight="1">
      <c r="B197" s="105">
        <v>190</v>
      </c>
      <c r="C197" s="135">
        <v>45112</v>
      </c>
      <c r="D197" s="105" t="s">
        <v>243</v>
      </c>
      <c r="E197" s="105" t="s">
        <v>527</v>
      </c>
      <c r="F197" s="105" t="s">
        <v>528</v>
      </c>
      <c r="G197" s="105">
        <v>4</v>
      </c>
      <c r="H197" s="105">
        <v>237.21</v>
      </c>
      <c r="I197" s="105">
        <v>948.84</v>
      </c>
      <c r="J197" s="105" t="s">
        <v>522</v>
      </c>
    </row>
    <row r="198" spans="2:10" ht="15" customHeight="1">
      <c r="B198" s="105">
        <v>191</v>
      </c>
      <c r="C198" s="135">
        <v>45283</v>
      </c>
      <c r="D198" s="105" t="s">
        <v>526</v>
      </c>
      <c r="E198" s="105" t="s">
        <v>527</v>
      </c>
      <c r="F198" s="105" t="s">
        <v>528</v>
      </c>
      <c r="G198" s="105">
        <v>2</v>
      </c>
      <c r="H198" s="105">
        <v>140.31</v>
      </c>
      <c r="I198" s="105">
        <v>280.62</v>
      </c>
      <c r="J198" s="105" t="s">
        <v>529</v>
      </c>
    </row>
    <row r="199" spans="2:10" ht="15" customHeight="1">
      <c r="B199" s="105">
        <v>192</v>
      </c>
      <c r="C199" s="135">
        <v>45071</v>
      </c>
      <c r="D199" s="105" t="s">
        <v>530</v>
      </c>
      <c r="E199" s="105" t="s">
        <v>523</v>
      </c>
      <c r="F199" s="105" t="s">
        <v>542</v>
      </c>
      <c r="G199" s="105">
        <v>9</v>
      </c>
      <c r="H199" s="105">
        <v>137.38</v>
      </c>
      <c r="I199" s="105">
        <v>1236.42</v>
      </c>
      <c r="J199" s="105" t="s">
        <v>522</v>
      </c>
    </row>
    <row r="200" spans="2:10" ht="15" customHeight="1">
      <c r="B200" s="105">
        <v>193</v>
      </c>
      <c r="C200" s="135">
        <v>45138</v>
      </c>
      <c r="D200" s="105" t="s">
        <v>243</v>
      </c>
      <c r="E200" s="105" t="s">
        <v>527</v>
      </c>
      <c r="F200" s="105" t="s">
        <v>261</v>
      </c>
      <c r="G200" s="105">
        <v>9</v>
      </c>
      <c r="H200" s="105">
        <v>161.66999999999999</v>
      </c>
      <c r="I200" s="105">
        <v>1455.03</v>
      </c>
      <c r="J200" s="105" t="s">
        <v>533</v>
      </c>
    </row>
    <row r="201" spans="2:10" ht="15" customHeight="1">
      <c r="B201" s="105">
        <v>194</v>
      </c>
      <c r="C201" s="135">
        <v>45008</v>
      </c>
      <c r="D201" s="105" t="s">
        <v>243</v>
      </c>
      <c r="E201" s="105" t="s">
        <v>527</v>
      </c>
      <c r="F201" s="105" t="s">
        <v>261</v>
      </c>
      <c r="G201" s="105">
        <v>3</v>
      </c>
      <c r="H201" s="105">
        <v>413.04</v>
      </c>
      <c r="I201" s="105">
        <v>1239.1199999999999</v>
      </c>
      <c r="J201" s="105" t="s">
        <v>534</v>
      </c>
    </row>
    <row r="202" spans="2:10" ht="15" customHeight="1">
      <c r="B202" s="105">
        <v>195</v>
      </c>
      <c r="C202" s="135">
        <v>45229</v>
      </c>
      <c r="D202" s="105" t="s">
        <v>252</v>
      </c>
      <c r="E202" s="105" t="s">
        <v>535</v>
      </c>
      <c r="F202" s="105" t="s">
        <v>541</v>
      </c>
      <c r="G202" s="105">
        <v>3</v>
      </c>
      <c r="H202" s="105">
        <v>365.6</v>
      </c>
      <c r="I202" s="105">
        <v>1096.8</v>
      </c>
      <c r="J202" s="105" t="s">
        <v>522</v>
      </c>
    </row>
    <row r="203" spans="2:10" ht="15" customHeight="1">
      <c r="B203" s="105">
        <v>196</v>
      </c>
      <c r="C203" s="135">
        <v>45238</v>
      </c>
      <c r="D203" s="105" t="s">
        <v>526</v>
      </c>
      <c r="E203" s="105" t="s">
        <v>527</v>
      </c>
      <c r="F203" s="105" t="s">
        <v>539</v>
      </c>
      <c r="G203" s="105">
        <v>9</v>
      </c>
      <c r="H203" s="105">
        <v>214.94</v>
      </c>
      <c r="I203" s="105">
        <v>1934.46</v>
      </c>
      <c r="J203" s="105" t="s">
        <v>543</v>
      </c>
    </row>
    <row r="204" spans="2:10" ht="15" customHeight="1">
      <c r="B204" s="105">
        <v>197</v>
      </c>
      <c r="C204" s="135">
        <v>44931</v>
      </c>
      <c r="D204" s="105" t="s">
        <v>526</v>
      </c>
      <c r="E204" s="105" t="s">
        <v>523</v>
      </c>
      <c r="F204" s="105" t="s">
        <v>542</v>
      </c>
      <c r="G204" s="105">
        <v>2</v>
      </c>
      <c r="H204" s="105">
        <v>280.27999999999997</v>
      </c>
      <c r="I204" s="105">
        <v>560.55999999999995</v>
      </c>
      <c r="J204" s="105" t="s">
        <v>534</v>
      </c>
    </row>
    <row r="205" spans="2:10" ht="15" customHeight="1">
      <c r="B205" s="105">
        <v>198</v>
      </c>
      <c r="C205" s="135">
        <v>44991</v>
      </c>
      <c r="D205" s="105" t="s">
        <v>530</v>
      </c>
      <c r="E205" s="105" t="s">
        <v>523</v>
      </c>
      <c r="F205" s="105" t="s">
        <v>545</v>
      </c>
      <c r="G205" s="105">
        <v>7</v>
      </c>
      <c r="H205" s="105">
        <v>211.52</v>
      </c>
      <c r="I205" s="105">
        <v>1480.64</v>
      </c>
      <c r="J205" s="105" t="s">
        <v>533</v>
      </c>
    </row>
    <row r="206" spans="2:10" ht="15" customHeight="1">
      <c r="B206" s="105">
        <v>199</v>
      </c>
      <c r="C206" s="135">
        <v>45103</v>
      </c>
      <c r="D206" s="105" t="s">
        <v>252</v>
      </c>
      <c r="E206" s="105" t="s">
        <v>527</v>
      </c>
      <c r="F206" s="105" t="s">
        <v>544</v>
      </c>
      <c r="G206" s="105">
        <v>2</v>
      </c>
      <c r="H206" s="105">
        <v>493.77</v>
      </c>
      <c r="I206" s="105">
        <v>987.54</v>
      </c>
      <c r="J206" s="105" t="s">
        <v>543</v>
      </c>
    </row>
    <row r="207" spans="2:10" ht="15" customHeight="1">
      <c r="B207" s="105">
        <v>200</v>
      </c>
      <c r="C207" s="135">
        <v>45143</v>
      </c>
      <c r="D207" s="105" t="s">
        <v>252</v>
      </c>
      <c r="E207" s="105" t="s">
        <v>527</v>
      </c>
      <c r="F207" s="105" t="s">
        <v>528</v>
      </c>
      <c r="G207" s="105">
        <v>5</v>
      </c>
      <c r="H207" s="105">
        <v>377.29</v>
      </c>
      <c r="I207" s="105">
        <v>1886.45</v>
      </c>
      <c r="J207" s="105" t="s">
        <v>532</v>
      </c>
    </row>
    <row r="208" spans="2:10" ht="15" customHeight="1">
      <c r="B208" s="105">
        <v>201</v>
      </c>
      <c r="C208" s="135">
        <v>45103</v>
      </c>
      <c r="D208" s="105" t="s">
        <v>530</v>
      </c>
      <c r="E208" s="105" t="s">
        <v>535</v>
      </c>
      <c r="F208" s="105" t="s">
        <v>536</v>
      </c>
      <c r="G208" s="105">
        <v>6</v>
      </c>
      <c r="H208" s="105">
        <v>416.29</v>
      </c>
      <c r="I208" s="105">
        <v>2497.7399999999998</v>
      </c>
      <c r="J208" s="105" t="s">
        <v>532</v>
      </c>
    </row>
    <row r="209" spans="2:10" ht="15" customHeight="1">
      <c r="B209" s="105">
        <v>202</v>
      </c>
      <c r="C209" s="135">
        <v>45025</v>
      </c>
      <c r="D209" s="105" t="s">
        <v>530</v>
      </c>
      <c r="E209" s="105" t="s">
        <v>523</v>
      </c>
      <c r="F209" s="105" t="s">
        <v>524</v>
      </c>
      <c r="G209" s="105">
        <v>1</v>
      </c>
      <c r="H209" s="105">
        <v>239.66</v>
      </c>
      <c r="I209" s="105">
        <v>239.66</v>
      </c>
      <c r="J209" s="105" t="s">
        <v>533</v>
      </c>
    </row>
    <row r="210" spans="2:10" ht="15" customHeight="1">
      <c r="B210" s="105">
        <v>203</v>
      </c>
      <c r="C210" s="135">
        <v>45237</v>
      </c>
      <c r="D210" s="105" t="s">
        <v>252</v>
      </c>
      <c r="E210" s="105" t="s">
        <v>520</v>
      </c>
      <c r="F210" s="105" t="s">
        <v>521</v>
      </c>
      <c r="G210" s="105">
        <v>1</v>
      </c>
      <c r="H210" s="105">
        <v>16.7</v>
      </c>
      <c r="I210" s="105">
        <v>16.7</v>
      </c>
      <c r="J210" s="105" t="s">
        <v>534</v>
      </c>
    </row>
    <row r="211" spans="2:10" ht="15" customHeight="1">
      <c r="B211" s="105">
        <v>204</v>
      </c>
      <c r="C211" s="135">
        <v>45123</v>
      </c>
      <c r="D211" s="105" t="s">
        <v>530</v>
      </c>
      <c r="E211" s="105" t="s">
        <v>520</v>
      </c>
      <c r="F211" s="105" t="s">
        <v>546</v>
      </c>
      <c r="G211" s="105">
        <v>6</v>
      </c>
      <c r="H211" s="105">
        <v>348.94</v>
      </c>
      <c r="I211" s="105">
        <v>2093.64</v>
      </c>
      <c r="J211" s="105" t="s">
        <v>543</v>
      </c>
    </row>
    <row r="212" spans="2:10" ht="15" customHeight="1">
      <c r="B212" s="105">
        <v>205</v>
      </c>
      <c r="C212" s="135">
        <v>44949</v>
      </c>
      <c r="D212" s="105" t="s">
        <v>526</v>
      </c>
      <c r="E212" s="105" t="s">
        <v>535</v>
      </c>
      <c r="F212" s="105" t="s">
        <v>538</v>
      </c>
      <c r="G212" s="105">
        <v>5</v>
      </c>
      <c r="H212" s="105">
        <v>498.35</v>
      </c>
      <c r="I212" s="105">
        <v>2491.75</v>
      </c>
      <c r="J212" s="105" t="s">
        <v>532</v>
      </c>
    </row>
    <row r="213" spans="2:10" ht="15" customHeight="1">
      <c r="B213" s="105">
        <v>206</v>
      </c>
      <c r="C213" s="135">
        <v>45128</v>
      </c>
      <c r="D213" s="105" t="s">
        <v>243</v>
      </c>
      <c r="E213" s="105" t="s">
        <v>527</v>
      </c>
      <c r="F213" s="105" t="s">
        <v>544</v>
      </c>
      <c r="G213" s="105">
        <v>5</v>
      </c>
      <c r="H213" s="105">
        <v>365.8</v>
      </c>
      <c r="I213" s="105">
        <v>1829</v>
      </c>
      <c r="J213" s="105" t="s">
        <v>522</v>
      </c>
    </row>
    <row r="214" spans="2:10" ht="15" customHeight="1">
      <c r="B214" s="105">
        <v>207</v>
      </c>
      <c r="C214" s="135">
        <v>45004</v>
      </c>
      <c r="D214" s="105" t="s">
        <v>243</v>
      </c>
      <c r="E214" s="105" t="s">
        <v>520</v>
      </c>
      <c r="F214" s="105" t="s">
        <v>537</v>
      </c>
      <c r="G214" s="105">
        <v>3</v>
      </c>
      <c r="H214" s="105">
        <v>131.19999999999999</v>
      </c>
      <c r="I214" s="105">
        <v>393.6</v>
      </c>
      <c r="J214" s="105" t="s">
        <v>534</v>
      </c>
    </row>
    <row r="215" spans="2:10" ht="15" customHeight="1">
      <c r="B215" s="105">
        <v>208</v>
      </c>
      <c r="C215" s="135">
        <v>44977</v>
      </c>
      <c r="D215" s="105" t="s">
        <v>530</v>
      </c>
      <c r="E215" s="105" t="s">
        <v>527</v>
      </c>
      <c r="F215" s="105" t="s">
        <v>261</v>
      </c>
      <c r="G215" s="105">
        <v>9</v>
      </c>
      <c r="H215" s="105">
        <v>73.290000000000006</v>
      </c>
      <c r="I215" s="105">
        <v>659.61</v>
      </c>
      <c r="J215" s="105" t="s">
        <v>525</v>
      </c>
    </row>
    <row r="216" spans="2:10" ht="15" customHeight="1">
      <c r="B216" s="105">
        <v>209</v>
      </c>
      <c r="C216" s="135">
        <v>45214</v>
      </c>
      <c r="D216" s="105" t="s">
        <v>530</v>
      </c>
      <c r="E216" s="105" t="s">
        <v>535</v>
      </c>
      <c r="F216" s="105" t="s">
        <v>541</v>
      </c>
      <c r="G216" s="105">
        <v>4</v>
      </c>
      <c r="H216" s="105">
        <v>122.03</v>
      </c>
      <c r="I216" s="105">
        <v>488.12</v>
      </c>
      <c r="J216" s="105" t="s">
        <v>525</v>
      </c>
    </row>
    <row r="217" spans="2:10" ht="15" customHeight="1">
      <c r="B217" s="105">
        <v>210</v>
      </c>
      <c r="C217" s="135">
        <v>44998</v>
      </c>
      <c r="D217" s="105" t="s">
        <v>530</v>
      </c>
      <c r="E217" s="105" t="s">
        <v>527</v>
      </c>
      <c r="F217" s="105" t="s">
        <v>261</v>
      </c>
      <c r="G217" s="105">
        <v>2</v>
      </c>
      <c r="H217" s="105">
        <v>185.5</v>
      </c>
      <c r="I217" s="105">
        <v>371</v>
      </c>
      <c r="J217" s="105" t="s">
        <v>529</v>
      </c>
    </row>
    <row r="218" spans="2:10" ht="15" customHeight="1">
      <c r="B218" s="105">
        <v>211</v>
      </c>
      <c r="C218" s="135">
        <v>45088</v>
      </c>
      <c r="D218" s="105" t="s">
        <v>526</v>
      </c>
      <c r="E218" s="105" t="s">
        <v>520</v>
      </c>
      <c r="F218" s="105" t="s">
        <v>193</v>
      </c>
      <c r="G218" s="105">
        <v>7</v>
      </c>
      <c r="H218" s="105">
        <v>339.07</v>
      </c>
      <c r="I218" s="105">
        <v>2373.4899999999998</v>
      </c>
      <c r="J218" s="105" t="s">
        <v>529</v>
      </c>
    </row>
    <row r="219" spans="2:10" ht="15" customHeight="1">
      <c r="B219" s="105">
        <v>212</v>
      </c>
      <c r="C219" s="135">
        <v>45232</v>
      </c>
      <c r="D219" s="105" t="s">
        <v>530</v>
      </c>
      <c r="E219" s="105" t="s">
        <v>535</v>
      </c>
      <c r="F219" s="105" t="s">
        <v>540</v>
      </c>
      <c r="G219" s="105">
        <v>6</v>
      </c>
      <c r="H219" s="105">
        <v>388.44</v>
      </c>
      <c r="I219" s="105">
        <v>2330.64</v>
      </c>
      <c r="J219" s="105" t="s">
        <v>533</v>
      </c>
    </row>
    <row r="220" spans="2:10" ht="15" customHeight="1">
      <c r="B220" s="105">
        <v>213</v>
      </c>
      <c r="C220" s="135">
        <v>45148</v>
      </c>
      <c r="D220" s="105" t="s">
        <v>252</v>
      </c>
      <c r="E220" s="105" t="s">
        <v>527</v>
      </c>
      <c r="F220" s="105" t="s">
        <v>544</v>
      </c>
      <c r="G220" s="105">
        <v>1</v>
      </c>
      <c r="H220" s="105">
        <v>280.43</v>
      </c>
      <c r="I220" s="105">
        <v>280.43</v>
      </c>
      <c r="J220" s="105" t="s">
        <v>525</v>
      </c>
    </row>
    <row r="221" spans="2:10" ht="15" customHeight="1">
      <c r="B221" s="105">
        <v>214</v>
      </c>
      <c r="C221" s="135">
        <v>45181</v>
      </c>
      <c r="D221" s="105" t="s">
        <v>252</v>
      </c>
      <c r="E221" s="105" t="s">
        <v>527</v>
      </c>
      <c r="F221" s="105" t="s">
        <v>544</v>
      </c>
      <c r="G221" s="105">
        <v>9</v>
      </c>
      <c r="H221" s="105">
        <v>299.08</v>
      </c>
      <c r="I221" s="105">
        <v>2691.72</v>
      </c>
      <c r="J221" s="105" t="s">
        <v>533</v>
      </c>
    </row>
    <row r="222" spans="2:10" ht="15" customHeight="1">
      <c r="B222" s="105">
        <v>215</v>
      </c>
      <c r="C222" s="135">
        <v>45267</v>
      </c>
      <c r="D222" s="105" t="s">
        <v>526</v>
      </c>
      <c r="E222" s="105" t="s">
        <v>523</v>
      </c>
      <c r="F222" s="105" t="s">
        <v>545</v>
      </c>
      <c r="G222" s="105">
        <v>7</v>
      </c>
      <c r="H222" s="105">
        <v>380.02</v>
      </c>
      <c r="I222" s="105">
        <v>2660.14</v>
      </c>
      <c r="J222" s="105" t="s">
        <v>529</v>
      </c>
    </row>
    <row r="223" spans="2:10" ht="15" customHeight="1">
      <c r="B223" s="105">
        <v>216</v>
      </c>
      <c r="C223" s="135">
        <v>45029</v>
      </c>
      <c r="D223" s="105" t="s">
        <v>526</v>
      </c>
      <c r="E223" s="105" t="s">
        <v>520</v>
      </c>
      <c r="F223" s="105" t="s">
        <v>546</v>
      </c>
      <c r="G223" s="105">
        <v>2</v>
      </c>
      <c r="H223" s="105">
        <v>404.47</v>
      </c>
      <c r="I223" s="105">
        <v>808.94</v>
      </c>
      <c r="J223" s="105" t="s">
        <v>543</v>
      </c>
    </row>
    <row r="224" spans="2:10" ht="15" customHeight="1">
      <c r="B224" s="105">
        <v>217</v>
      </c>
      <c r="C224" s="135">
        <v>45152</v>
      </c>
      <c r="D224" s="105" t="s">
        <v>243</v>
      </c>
      <c r="E224" s="105" t="s">
        <v>527</v>
      </c>
      <c r="F224" s="105" t="s">
        <v>261</v>
      </c>
      <c r="G224" s="105">
        <v>6</v>
      </c>
      <c r="H224" s="105">
        <v>312.45999999999998</v>
      </c>
      <c r="I224" s="105">
        <v>1874.76</v>
      </c>
      <c r="J224" s="105" t="s">
        <v>534</v>
      </c>
    </row>
    <row r="225" spans="2:10" ht="15" customHeight="1">
      <c r="B225" s="105">
        <v>218</v>
      </c>
      <c r="C225" s="135">
        <v>45264</v>
      </c>
      <c r="D225" s="105" t="s">
        <v>526</v>
      </c>
      <c r="E225" s="105" t="s">
        <v>527</v>
      </c>
      <c r="F225" s="105" t="s">
        <v>261</v>
      </c>
      <c r="G225" s="105">
        <v>6</v>
      </c>
      <c r="H225" s="105">
        <v>307.95999999999998</v>
      </c>
      <c r="I225" s="105">
        <v>1847.76</v>
      </c>
      <c r="J225" s="105" t="s">
        <v>522</v>
      </c>
    </row>
    <row r="226" spans="2:10" ht="15" customHeight="1">
      <c r="B226" s="105">
        <v>219</v>
      </c>
      <c r="C226" s="135">
        <v>45234</v>
      </c>
      <c r="D226" s="105" t="s">
        <v>530</v>
      </c>
      <c r="E226" s="105" t="s">
        <v>527</v>
      </c>
      <c r="F226" s="105" t="s">
        <v>539</v>
      </c>
      <c r="G226" s="105">
        <v>3</v>
      </c>
      <c r="H226" s="105">
        <v>453.04</v>
      </c>
      <c r="I226" s="105">
        <v>1359.12</v>
      </c>
      <c r="J226" s="105" t="s">
        <v>525</v>
      </c>
    </row>
    <row r="227" spans="2:10" ht="15" customHeight="1">
      <c r="B227" s="105">
        <v>220</v>
      </c>
      <c r="C227" s="135">
        <v>45261</v>
      </c>
      <c r="D227" s="105" t="s">
        <v>243</v>
      </c>
      <c r="E227" s="105" t="s">
        <v>535</v>
      </c>
      <c r="F227" s="105" t="s">
        <v>536</v>
      </c>
      <c r="G227" s="105">
        <v>9</v>
      </c>
      <c r="H227" s="105">
        <v>261.85000000000002</v>
      </c>
      <c r="I227" s="105">
        <v>2356.65</v>
      </c>
      <c r="J227" s="105" t="s">
        <v>543</v>
      </c>
    </row>
    <row r="228" spans="2:10" ht="15" customHeight="1">
      <c r="B228" s="105">
        <v>221</v>
      </c>
      <c r="C228" s="135">
        <v>45007</v>
      </c>
      <c r="D228" s="105" t="s">
        <v>530</v>
      </c>
      <c r="E228" s="105" t="s">
        <v>523</v>
      </c>
      <c r="F228" s="105" t="s">
        <v>545</v>
      </c>
      <c r="G228" s="105">
        <v>7</v>
      </c>
      <c r="H228" s="105">
        <v>266.57</v>
      </c>
      <c r="I228" s="105">
        <v>1865.99</v>
      </c>
      <c r="J228" s="105" t="s">
        <v>525</v>
      </c>
    </row>
    <row r="229" spans="2:10" ht="15" customHeight="1">
      <c r="B229" s="105">
        <v>222</v>
      </c>
      <c r="C229" s="135">
        <v>45064</v>
      </c>
      <c r="D229" s="105" t="s">
        <v>530</v>
      </c>
      <c r="E229" s="105" t="s">
        <v>520</v>
      </c>
      <c r="F229" s="105" t="s">
        <v>537</v>
      </c>
      <c r="G229" s="105">
        <v>5</v>
      </c>
      <c r="H229" s="105">
        <v>400.27</v>
      </c>
      <c r="I229" s="105">
        <v>2001.35</v>
      </c>
      <c r="J229" s="105" t="s">
        <v>525</v>
      </c>
    </row>
    <row r="230" spans="2:10" ht="15" customHeight="1">
      <c r="B230" s="105">
        <v>223</v>
      </c>
      <c r="C230" s="135">
        <v>45199</v>
      </c>
      <c r="D230" s="105" t="s">
        <v>252</v>
      </c>
      <c r="E230" s="105" t="s">
        <v>535</v>
      </c>
      <c r="F230" s="105" t="s">
        <v>538</v>
      </c>
      <c r="G230" s="105">
        <v>8</v>
      </c>
      <c r="H230" s="105">
        <v>422.62</v>
      </c>
      <c r="I230" s="105">
        <v>3380.96</v>
      </c>
      <c r="J230" s="105" t="s">
        <v>534</v>
      </c>
    </row>
    <row r="231" spans="2:10" ht="15" customHeight="1">
      <c r="B231" s="105">
        <v>224</v>
      </c>
      <c r="C231" s="135">
        <v>44960</v>
      </c>
      <c r="D231" s="105" t="s">
        <v>526</v>
      </c>
      <c r="E231" s="105" t="s">
        <v>523</v>
      </c>
      <c r="F231" s="105" t="s">
        <v>545</v>
      </c>
      <c r="G231" s="105">
        <v>4</v>
      </c>
      <c r="H231" s="105">
        <v>234.98</v>
      </c>
      <c r="I231" s="105">
        <v>939.92</v>
      </c>
      <c r="J231" s="105" t="s">
        <v>543</v>
      </c>
    </row>
    <row r="232" spans="2:10" ht="15" customHeight="1">
      <c r="B232" s="105">
        <v>225</v>
      </c>
      <c r="C232" s="135">
        <v>45131</v>
      </c>
      <c r="D232" s="105" t="s">
        <v>530</v>
      </c>
      <c r="E232" s="105" t="s">
        <v>535</v>
      </c>
      <c r="F232" s="105" t="s">
        <v>538</v>
      </c>
      <c r="G232" s="105">
        <v>6</v>
      </c>
      <c r="H232" s="105">
        <v>251.38</v>
      </c>
      <c r="I232" s="105">
        <v>1508.28</v>
      </c>
      <c r="J232" s="105" t="s">
        <v>534</v>
      </c>
    </row>
    <row r="233" spans="2:10" ht="15" customHeight="1">
      <c r="B233" s="105">
        <v>226</v>
      </c>
      <c r="C233" s="135">
        <v>45077</v>
      </c>
      <c r="D233" s="105" t="s">
        <v>243</v>
      </c>
      <c r="E233" s="105" t="s">
        <v>527</v>
      </c>
      <c r="F233" s="105" t="s">
        <v>539</v>
      </c>
      <c r="G233" s="105">
        <v>3</v>
      </c>
      <c r="H233" s="105">
        <v>273.26</v>
      </c>
      <c r="I233" s="105">
        <v>819.78</v>
      </c>
      <c r="J233" s="105" t="s">
        <v>543</v>
      </c>
    </row>
    <row r="234" spans="2:10" ht="15" customHeight="1">
      <c r="B234" s="105">
        <v>227</v>
      </c>
      <c r="C234" s="135">
        <v>44934</v>
      </c>
      <c r="D234" s="105" t="s">
        <v>243</v>
      </c>
      <c r="E234" s="105" t="s">
        <v>527</v>
      </c>
      <c r="F234" s="105" t="s">
        <v>528</v>
      </c>
      <c r="G234" s="105">
        <v>7</v>
      </c>
      <c r="H234" s="105">
        <v>296.54000000000002</v>
      </c>
      <c r="I234" s="105">
        <v>2075.7800000000002</v>
      </c>
      <c r="J234" s="105" t="s">
        <v>522</v>
      </c>
    </row>
    <row r="235" spans="2:10" ht="15" customHeight="1">
      <c r="B235" s="105">
        <v>228</v>
      </c>
      <c r="C235" s="135">
        <v>45110</v>
      </c>
      <c r="D235" s="105" t="s">
        <v>243</v>
      </c>
      <c r="E235" s="105" t="s">
        <v>520</v>
      </c>
      <c r="F235" s="105" t="s">
        <v>521</v>
      </c>
      <c r="G235" s="105">
        <v>4</v>
      </c>
      <c r="H235" s="105">
        <v>99.12</v>
      </c>
      <c r="I235" s="105">
        <v>396.48</v>
      </c>
      <c r="J235" s="105" t="s">
        <v>533</v>
      </c>
    </row>
    <row r="236" spans="2:10" ht="15" customHeight="1">
      <c r="B236" s="105">
        <v>229</v>
      </c>
      <c r="C236" s="135">
        <v>45121</v>
      </c>
      <c r="D236" s="105" t="s">
        <v>252</v>
      </c>
      <c r="E236" s="105" t="s">
        <v>535</v>
      </c>
      <c r="F236" s="105" t="s">
        <v>536</v>
      </c>
      <c r="G236" s="105">
        <v>9</v>
      </c>
      <c r="H236" s="105">
        <v>449.43</v>
      </c>
      <c r="I236" s="105">
        <v>4044.87</v>
      </c>
      <c r="J236" s="105" t="s">
        <v>534</v>
      </c>
    </row>
    <row r="237" spans="2:10" ht="15" customHeight="1">
      <c r="B237" s="105">
        <v>230</v>
      </c>
      <c r="C237" s="135">
        <v>44977</v>
      </c>
      <c r="D237" s="105" t="s">
        <v>252</v>
      </c>
      <c r="E237" s="105" t="s">
        <v>523</v>
      </c>
      <c r="F237" s="105" t="s">
        <v>524</v>
      </c>
      <c r="G237" s="105">
        <v>2</v>
      </c>
      <c r="H237" s="105">
        <v>304.95</v>
      </c>
      <c r="I237" s="105">
        <v>609.9</v>
      </c>
      <c r="J237" s="105" t="s">
        <v>529</v>
      </c>
    </row>
    <row r="238" spans="2:10" ht="15" customHeight="1">
      <c r="B238" s="105">
        <v>231</v>
      </c>
      <c r="C238" s="135">
        <v>45018</v>
      </c>
      <c r="D238" s="105" t="s">
        <v>530</v>
      </c>
      <c r="E238" s="105" t="s">
        <v>523</v>
      </c>
      <c r="F238" s="105" t="s">
        <v>542</v>
      </c>
      <c r="G238" s="105">
        <v>3</v>
      </c>
      <c r="H238" s="105">
        <v>412.68</v>
      </c>
      <c r="I238" s="105">
        <v>1238.04</v>
      </c>
      <c r="J238" s="105" t="s">
        <v>543</v>
      </c>
    </row>
    <row r="239" spans="2:10" ht="15" customHeight="1">
      <c r="B239" s="105">
        <v>232</v>
      </c>
      <c r="C239" s="135">
        <v>44927</v>
      </c>
      <c r="D239" s="105" t="s">
        <v>243</v>
      </c>
      <c r="E239" s="105" t="s">
        <v>523</v>
      </c>
      <c r="F239" s="105" t="s">
        <v>531</v>
      </c>
      <c r="G239" s="105">
        <v>6</v>
      </c>
      <c r="H239" s="105">
        <v>53.46</v>
      </c>
      <c r="I239" s="105">
        <v>320.76</v>
      </c>
      <c r="J239" s="105" t="s">
        <v>532</v>
      </c>
    </row>
    <row r="240" spans="2:10" ht="15" customHeight="1">
      <c r="B240" s="105">
        <v>233</v>
      </c>
      <c r="C240" s="135">
        <v>45272</v>
      </c>
      <c r="D240" s="105" t="s">
        <v>526</v>
      </c>
      <c r="E240" s="105" t="s">
        <v>527</v>
      </c>
      <c r="F240" s="105" t="s">
        <v>539</v>
      </c>
      <c r="G240" s="105">
        <v>5</v>
      </c>
      <c r="H240" s="105">
        <v>235.78</v>
      </c>
      <c r="I240" s="105">
        <v>1178.9000000000001</v>
      </c>
      <c r="J240" s="105" t="s">
        <v>533</v>
      </c>
    </row>
    <row r="241" spans="2:10" ht="15" customHeight="1">
      <c r="B241" s="105">
        <v>234</v>
      </c>
      <c r="C241" s="135">
        <v>45144</v>
      </c>
      <c r="D241" s="105" t="s">
        <v>530</v>
      </c>
      <c r="E241" s="105" t="s">
        <v>535</v>
      </c>
      <c r="F241" s="105" t="s">
        <v>538</v>
      </c>
      <c r="G241" s="105">
        <v>2</v>
      </c>
      <c r="H241" s="105">
        <v>73.09</v>
      </c>
      <c r="I241" s="105">
        <v>146.18</v>
      </c>
      <c r="J241" s="105" t="s">
        <v>532</v>
      </c>
    </row>
    <row r="242" spans="2:10" ht="15" customHeight="1">
      <c r="B242" s="105">
        <v>235</v>
      </c>
      <c r="C242" s="135">
        <v>44973</v>
      </c>
      <c r="D242" s="105" t="s">
        <v>252</v>
      </c>
      <c r="E242" s="105" t="s">
        <v>527</v>
      </c>
      <c r="F242" s="105" t="s">
        <v>261</v>
      </c>
      <c r="G242" s="105">
        <v>9</v>
      </c>
      <c r="H242" s="105">
        <v>55.22</v>
      </c>
      <c r="I242" s="105">
        <v>496.98</v>
      </c>
      <c r="J242" s="105" t="s">
        <v>543</v>
      </c>
    </row>
    <row r="243" spans="2:10" ht="15" customHeight="1">
      <c r="B243" s="105">
        <v>236</v>
      </c>
      <c r="C243" s="135">
        <v>44982</v>
      </c>
      <c r="D243" s="105" t="s">
        <v>526</v>
      </c>
      <c r="E243" s="105" t="s">
        <v>520</v>
      </c>
      <c r="F243" s="105" t="s">
        <v>546</v>
      </c>
      <c r="G243" s="105">
        <v>9</v>
      </c>
      <c r="H243" s="105">
        <v>347.01</v>
      </c>
      <c r="I243" s="105">
        <v>3123.09</v>
      </c>
      <c r="J243" s="105" t="s">
        <v>532</v>
      </c>
    </row>
    <row r="244" spans="2:10" ht="15" customHeight="1">
      <c r="B244" s="105">
        <v>237</v>
      </c>
      <c r="C244" s="135">
        <v>45183</v>
      </c>
      <c r="D244" s="105" t="s">
        <v>243</v>
      </c>
      <c r="E244" s="105" t="s">
        <v>527</v>
      </c>
      <c r="F244" s="105" t="s">
        <v>528</v>
      </c>
      <c r="G244" s="105">
        <v>1</v>
      </c>
      <c r="H244" s="105">
        <v>145.66999999999999</v>
      </c>
      <c r="I244" s="105">
        <v>145.66999999999999</v>
      </c>
      <c r="J244" s="105" t="s">
        <v>522</v>
      </c>
    </row>
    <row r="245" spans="2:10" ht="15" customHeight="1">
      <c r="B245" s="105">
        <v>238</v>
      </c>
      <c r="C245" s="135">
        <v>45179</v>
      </c>
      <c r="D245" s="105" t="s">
        <v>243</v>
      </c>
      <c r="E245" s="105" t="s">
        <v>527</v>
      </c>
      <c r="F245" s="105" t="s">
        <v>544</v>
      </c>
      <c r="G245" s="105">
        <v>8</v>
      </c>
      <c r="H245" s="105">
        <v>376.65</v>
      </c>
      <c r="I245" s="105">
        <v>3013.2</v>
      </c>
      <c r="J245" s="105" t="s">
        <v>533</v>
      </c>
    </row>
    <row r="246" spans="2:10" ht="15" customHeight="1">
      <c r="B246" s="105">
        <v>239</v>
      </c>
      <c r="C246" s="135">
        <v>45053</v>
      </c>
      <c r="D246" s="105" t="s">
        <v>252</v>
      </c>
      <c r="E246" s="105" t="s">
        <v>523</v>
      </c>
      <c r="F246" s="105" t="s">
        <v>531</v>
      </c>
      <c r="G246" s="105">
        <v>4</v>
      </c>
      <c r="H246" s="105">
        <v>112.58</v>
      </c>
      <c r="I246" s="105">
        <v>450.32</v>
      </c>
      <c r="J246" s="105" t="s">
        <v>529</v>
      </c>
    </row>
    <row r="247" spans="2:10" ht="15" customHeight="1">
      <c r="B247" s="105">
        <v>240</v>
      </c>
      <c r="C247" s="135">
        <v>44954</v>
      </c>
      <c r="D247" s="105" t="s">
        <v>526</v>
      </c>
      <c r="E247" s="105" t="s">
        <v>527</v>
      </c>
      <c r="F247" s="105" t="s">
        <v>544</v>
      </c>
      <c r="G247" s="105">
        <v>8</v>
      </c>
      <c r="H247" s="105">
        <v>247.42</v>
      </c>
      <c r="I247" s="105">
        <v>1979.36</v>
      </c>
      <c r="J247" s="105" t="s">
        <v>522</v>
      </c>
    </row>
    <row r="248" spans="2:10" ht="15" customHeight="1">
      <c r="B248" s="105">
        <v>241</v>
      </c>
      <c r="C248" s="135">
        <v>45291</v>
      </c>
      <c r="D248" s="105" t="s">
        <v>526</v>
      </c>
      <c r="E248" s="105" t="s">
        <v>527</v>
      </c>
      <c r="F248" s="105" t="s">
        <v>261</v>
      </c>
      <c r="G248" s="105">
        <v>7</v>
      </c>
      <c r="H248" s="105">
        <v>270.32</v>
      </c>
      <c r="I248" s="105">
        <v>1892.24</v>
      </c>
      <c r="J248" s="105" t="s">
        <v>533</v>
      </c>
    </row>
    <row r="249" spans="2:10" ht="15" customHeight="1">
      <c r="B249" s="105">
        <v>242</v>
      </c>
      <c r="C249" s="135">
        <v>44929</v>
      </c>
      <c r="D249" s="105" t="s">
        <v>252</v>
      </c>
      <c r="E249" s="105" t="s">
        <v>535</v>
      </c>
      <c r="F249" s="105" t="s">
        <v>540</v>
      </c>
      <c r="G249" s="105">
        <v>8</v>
      </c>
      <c r="H249" s="105">
        <v>75.23</v>
      </c>
      <c r="I249" s="105">
        <v>601.84</v>
      </c>
      <c r="J249" s="105" t="s">
        <v>533</v>
      </c>
    </row>
    <row r="250" spans="2:10" ht="15" customHeight="1">
      <c r="B250" s="105">
        <v>243</v>
      </c>
      <c r="C250" s="135">
        <v>45165</v>
      </c>
      <c r="D250" s="105" t="s">
        <v>252</v>
      </c>
      <c r="E250" s="105" t="s">
        <v>520</v>
      </c>
      <c r="F250" s="105" t="s">
        <v>546</v>
      </c>
      <c r="G250" s="105">
        <v>7</v>
      </c>
      <c r="H250" s="105">
        <v>260.72000000000003</v>
      </c>
      <c r="I250" s="105">
        <v>1825.04</v>
      </c>
      <c r="J250" s="105" t="s">
        <v>534</v>
      </c>
    </row>
    <row r="251" spans="2:10" ht="15" customHeight="1">
      <c r="B251" s="105">
        <v>244</v>
      </c>
      <c r="C251" s="135">
        <v>45153</v>
      </c>
      <c r="D251" s="105" t="s">
        <v>530</v>
      </c>
      <c r="E251" s="105" t="s">
        <v>523</v>
      </c>
      <c r="F251" s="105" t="s">
        <v>524</v>
      </c>
      <c r="G251" s="105">
        <v>2</v>
      </c>
      <c r="H251" s="105">
        <v>229.23</v>
      </c>
      <c r="I251" s="105">
        <v>458.46</v>
      </c>
      <c r="J251" s="105" t="s">
        <v>525</v>
      </c>
    </row>
    <row r="252" spans="2:10" ht="15" customHeight="1">
      <c r="B252" s="105">
        <v>245</v>
      </c>
      <c r="C252" s="135">
        <v>45045</v>
      </c>
      <c r="D252" s="105" t="s">
        <v>526</v>
      </c>
      <c r="E252" s="105" t="s">
        <v>523</v>
      </c>
      <c r="F252" s="105" t="s">
        <v>524</v>
      </c>
      <c r="G252" s="105">
        <v>3</v>
      </c>
      <c r="H252" s="105">
        <v>128.81</v>
      </c>
      <c r="I252" s="105">
        <v>386.43</v>
      </c>
      <c r="J252" s="105" t="s">
        <v>534</v>
      </c>
    </row>
    <row r="253" spans="2:10" ht="15" customHeight="1">
      <c r="B253" s="105">
        <v>246</v>
      </c>
      <c r="C253" s="135">
        <v>44965</v>
      </c>
      <c r="D253" s="105" t="s">
        <v>243</v>
      </c>
      <c r="E253" s="105" t="s">
        <v>520</v>
      </c>
      <c r="F253" s="105" t="s">
        <v>537</v>
      </c>
      <c r="G253" s="105">
        <v>5</v>
      </c>
      <c r="H253" s="105">
        <v>99.32</v>
      </c>
      <c r="I253" s="105">
        <v>496.6</v>
      </c>
      <c r="J253" s="105" t="s">
        <v>525</v>
      </c>
    </row>
    <row r="254" spans="2:10" ht="15" customHeight="1">
      <c r="B254" s="105">
        <v>247</v>
      </c>
      <c r="C254" s="135">
        <v>45012</v>
      </c>
      <c r="D254" s="105" t="s">
        <v>530</v>
      </c>
      <c r="E254" s="105" t="s">
        <v>520</v>
      </c>
      <c r="F254" s="105" t="s">
        <v>521</v>
      </c>
      <c r="G254" s="105">
        <v>9</v>
      </c>
      <c r="H254" s="105">
        <v>421.95</v>
      </c>
      <c r="I254" s="105">
        <v>3797.55</v>
      </c>
      <c r="J254" s="105" t="s">
        <v>543</v>
      </c>
    </row>
    <row r="255" spans="2:10" ht="15" customHeight="1">
      <c r="B255" s="105">
        <v>248</v>
      </c>
      <c r="C255" s="135">
        <v>45138</v>
      </c>
      <c r="D255" s="105" t="s">
        <v>243</v>
      </c>
      <c r="E255" s="105" t="s">
        <v>535</v>
      </c>
      <c r="F255" s="105" t="s">
        <v>536</v>
      </c>
      <c r="G255" s="105">
        <v>9</v>
      </c>
      <c r="H255" s="105">
        <v>446.36</v>
      </c>
      <c r="I255" s="105">
        <v>4017.24</v>
      </c>
      <c r="J255" s="105" t="s">
        <v>532</v>
      </c>
    </row>
    <row r="256" spans="2:10" ht="15" customHeight="1">
      <c r="B256" s="105">
        <v>249</v>
      </c>
      <c r="C256" s="135">
        <v>44993</v>
      </c>
      <c r="D256" s="105" t="s">
        <v>530</v>
      </c>
      <c r="E256" s="105" t="s">
        <v>523</v>
      </c>
      <c r="F256" s="105" t="s">
        <v>531</v>
      </c>
      <c r="G256" s="105">
        <v>9</v>
      </c>
      <c r="H256" s="105">
        <v>342.76</v>
      </c>
      <c r="I256" s="105">
        <v>3084.84</v>
      </c>
      <c r="J256" s="105" t="s">
        <v>543</v>
      </c>
    </row>
    <row r="257" spans="2:10" ht="15" customHeight="1">
      <c r="B257" s="105">
        <v>250</v>
      </c>
      <c r="C257" s="135">
        <v>45037</v>
      </c>
      <c r="D257" s="105" t="s">
        <v>243</v>
      </c>
      <c r="E257" s="105" t="s">
        <v>535</v>
      </c>
      <c r="F257" s="105" t="s">
        <v>540</v>
      </c>
      <c r="G257" s="105">
        <v>9</v>
      </c>
      <c r="H257" s="105">
        <v>254.24</v>
      </c>
      <c r="I257" s="105">
        <v>2288.16</v>
      </c>
      <c r="J257" s="105" t="s">
        <v>525</v>
      </c>
    </row>
    <row r="258" spans="2:10" ht="15" customHeight="1">
      <c r="B258" s="105">
        <v>251</v>
      </c>
      <c r="C258" s="135">
        <v>44960</v>
      </c>
      <c r="D258" s="105" t="s">
        <v>526</v>
      </c>
      <c r="E258" s="105" t="s">
        <v>535</v>
      </c>
      <c r="F258" s="105" t="s">
        <v>541</v>
      </c>
      <c r="G258" s="105">
        <v>4</v>
      </c>
      <c r="H258" s="105">
        <v>273.18</v>
      </c>
      <c r="I258" s="105">
        <v>1092.72</v>
      </c>
      <c r="J258" s="105" t="s">
        <v>529</v>
      </c>
    </row>
    <row r="259" spans="2:10" ht="15" customHeight="1">
      <c r="B259" s="105">
        <v>252</v>
      </c>
      <c r="C259" s="135">
        <v>45162</v>
      </c>
      <c r="D259" s="105" t="s">
        <v>243</v>
      </c>
      <c r="E259" s="105" t="s">
        <v>523</v>
      </c>
      <c r="F259" s="105" t="s">
        <v>542</v>
      </c>
      <c r="G259" s="105">
        <v>8</v>
      </c>
      <c r="H259" s="105">
        <v>297.39999999999998</v>
      </c>
      <c r="I259" s="105">
        <v>2379.1999999999998</v>
      </c>
      <c r="J259" s="105" t="s">
        <v>525</v>
      </c>
    </row>
    <row r="260" spans="2:10" ht="15" customHeight="1">
      <c r="B260" s="105">
        <v>253</v>
      </c>
      <c r="C260" s="135">
        <v>45027</v>
      </c>
      <c r="D260" s="105" t="s">
        <v>526</v>
      </c>
      <c r="E260" s="105" t="s">
        <v>527</v>
      </c>
      <c r="F260" s="105" t="s">
        <v>544</v>
      </c>
      <c r="G260" s="105">
        <v>3</v>
      </c>
      <c r="H260" s="105">
        <v>195.6</v>
      </c>
      <c r="I260" s="105">
        <v>586.79999999999995</v>
      </c>
      <c r="J260" s="105" t="s">
        <v>533</v>
      </c>
    </row>
    <row r="261" spans="2:10" ht="15" customHeight="1">
      <c r="B261" s="105">
        <v>254</v>
      </c>
      <c r="C261" s="135">
        <v>45246</v>
      </c>
      <c r="D261" s="105" t="s">
        <v>243</v>
      </c>
      <c r="E261" s="105" t="s">
        <v>523</v>
      </c>
      <c r="F261" s="105" t="s">
        <v>545</v>
      </c>
      <c r="G261" s="105">
        <v>6</v>
      </c>
      <c r="H261" s="105">
        <v>450.83</v>
      </c>
      <c r="I261" s="105">
        <v>2704.98</v>
      </c>
      <c r="J261" s="105" t="s">
        <v>525</v>
      </c>
    </row>
    <row r="262" spans="2:10" ht="15" customHeight="1">
      <c r="B262" s="105">
        <v>255</v>
      </c>
      <c r="C262" s="135">
        <v>45241</v>
      </c>
      <c r="D262" s="105" t="s">
        <v>252</v>
      </c>
      <c r="E262" s="105" t="s">
        <v>520</v>
      </c>
      <c r="F262" s="105" t="s">
        <v>193</v>
      </c>
      <c r="G262" s="105">
        <v>2</v>
      </c>
      <c r="H262" s="105">
        <v>129.72999999999999</v>
      </c>
      <c r="I262" s="105">
        <v>259.45999999999998</v>
      </c>
      <c r="J262" s="105" t="s">
        <v>529</v>
      </c>
    </row>
    <row r="263" spans="2:10" ht="15" customHeight="1">
      <c r="B263" s="105">
        <v>256</v>
      </c>
      <c r="C263" s="135">
        <v>45215</v>
      </c>
      <c r="D263" s="105" t="s">
        <v>526</v>
      </c>
      <c r="E263" s="105" t="s">
        <v>535</v>
      </c>
      <c r="F263" s="105" t="s">
        <v>541</v>
      </c>
      <c r="G263" s="105">
        <v>6</v>
      </c>
      <c r="H263" s="105">
        <v>306.83</v>
      </c>
      <c r="I263" s="105">
        <v>1840.98</v>
      </c>
      <c r="J263" s="105" t="s">
        <v>543</v>
      </c>
    </row>
    <row r="264" spans="2:10" ht="15" customHeight="1">
      <c r="B264" s="105">
        <v>257</v>
      </c>
      <c r="C264" s="135">
        <v>45124</v>
      </c>
      <c r="D264" s="105" t="s">
        <v>252</v>
      </c>
      <c r="E264" s="105" t="s">
        <v>527</v>
      </c>
      <c r="F264" s="105" t="s">
        <v>261</v>
      </c>
      <c r="G264" s="105">
        <v>5</v>
      </c>
      <c r="H264" s="105">
        <v>59.87</v>
      </c>
      <c r="I264" s="105">
        <v>299.35000000000002</v>
      </c>
      <c r="J264" s="105" t="s">
        <v>532</v>
      </c>
    </row>
    <row r="265" spans="2:10" ht="15" customHeight="1">
      <c r="B265" s="105">
        <v>258</v>
      </c>
      <c r="C265" s="135">
        <v>44930</v>
      </c>
      <c r="D265" s="105" t="s">
        <v>243</v>
      </c>
      <c r="E265" s="105" t="s">
        <v>523</v>
      </c>
      <c r="F265" s="105" t="s">
        <v>531</v>
      </c>
      <c r="G265" s="105">
        <v>6</v>
      </c>
      <c r="H265" s="105">
        <v>130.52000000000001</v>
      </c>
      <c r="I265" s="105">
        <v>783.12000000000012</v>
      </c>
      <c r="J265" s="105" t="s">
        <v>529</v>
      </c>
    </row>
    <row r="266" spans="2:10" ht="15" customHeight="1">
      <c r="B266" s="105">
        <v>259</v>
      </c>
      <c r="C266" s="135">
        <v>45173</v>
      </c>
      <c r="D266" s="105" t="s">
        <v>526</v>
      </c>
      <c r="E266" s="105" t="s">
        <v>527</v>
      </c>
      <c r="F266" s="105" t="s">
        <v>544</v>
      </c>
      <c r="G266" s="105">
        <v>8</v>
      </c>
      <c r="H266" s="105">
        <v>449.42</v>
      </c>
      <c r="I266" s="105">
        <v>3595.36</v>
      </c>
      <c r="J266" s="105" t="s">
        <v>529</v>
      </c>
    </row>
    <row r="267" spans="2:10" ht="15" customHeight="1">
      <c r="B267" s="105">
        <v>260</v>
      </c>
      <c r="C267" s="135">
        <v>44966</v>
      </c>
      <c r="D267" s="105" t="s">
        <v>243</v>
      </c>
      <c r="E267" s="105" t="s">
        <v>523</v>
      </c>
      <c r="F267" s="105" t="s">
        <v>542</v>
      </c>
      <c r="G267" s="105">
        <v>3</v>
      </c>
      <c r="H267" s="105">
        <v>267.01</v>
      </c>
      <c r="I267" s="105">
        <v>801.03</v>
      </c>
      <c r="J267" s="105" t="s">
        <v>529</v>
      </c>
    </row>
    <row r="268" spans="2:10" ht="15" customHeight="1">
      <c r="B268" s="105">
        <v>261</v>
      </c>
      <c r="C268" s="135">
        <v>45149</v>
      </c>
      <c r="D268" s="105" t="s">
        <v>530</v>
      </c>
      <c r="E268" s="105" t="s">
        <v>523</v>
      </c>
      <c r="F268" s="105" t="s">
        <v>524</v>
      </c>
      <c r="G268" s="105">
        <v>5</v>
      </c>
      <c r="H268" s="105">
        <v>491.37</v>
      </c>
      <c r="I268" s="105">
        <v>2456.85</v>
      </c>
      <c r="J268" s="105" t="s">
        <v>529</v>
      </c>
    </row>
    <row r="269" spans="2:10" ht="15" customHeight="1">
      <c r="B269" s="105">
        <v>262</v>
      </c>
      <c r="C269" s="135">
        <v>45146</v>
      </c>
      <c r="D269" s="105" t="s">
        <v>530</v>
      </c>
      <c r="E269" s="105" t="s">
        <v>535</v>
      </c>
      <c r="F269" s="105" t="s">
        <v>541</v>
      </c>
      <c r="G269" s="105">
        <v>6</v>
      </c>
      <c r="H269" s="105">
        <v>204.95</v>
      </c>
      <c r="I269" s="105">
        <v>1229.7</v>
      </c>
      <c r="J269" s="105" t="s">
        <v>534</v>
      </c>
    </row>
    <row r="270" spans="2:10" ht="15" customHeight="1">
      <c r="B270" s="105">
        <v>263</v>
      </c>
      <c r="C270" s="135">
        <v>45044</v>
      </c>
      <c r="D270" s="105" t="s">
        <v>526</v>
      </c>
      <c r="E270" s="105" t="s">
        <v>520</v>
      </c>
      <c r="F270" s="105" t="s">
        <v>546</v>
      </c>
      <c r="G270" s="105">
        <v>4</v>
      </c>
      <c r="H270" s="105">
        <v>12.6</v>
      </c>
      <c r="I270" s="105">
        <v>50.4</v>
      </c>
      <c r="J270" s="105" t="s">
        <v>543</v>
      </c>
    </row>
    <row r="271" spans="2:10" ht="15" customHeight="1">
      <c r="B271" s="105">
        <v>264</v>
      </c>
      <c r="C271" s="135">
        <v>44988</v>
      </c>
      <c r="D271" s="105" t="s">
        <v>526</v>
      </c>
      <c r="E271" s="105" t="s">
        <v>535</v>
      </c>
      <c r="F271" s="105" t="s">
        <v>538</v>
      </c>
      <c r="G271" s="105">
        <v>1</v>
      </c>
      <c r="H271" s="105">
        <v>250.47</v>
      </c>
      <c r="I271" s="105">
        <v>250.47</v>
      </c>
      <c r="J271" s="105" t="s">
        <v>525</v>
      </c>
    </row>
    <row r="272" spans="2:10" ht="15" customHeight="1">
      <c r="B272" s="105">
        <v>265</v>
      </c>
      <c r="C272" s="135">
        <v>45129</v>
      </c>
      <c r="D272" s="105" t="s">
        <v>526</v>
      </c>
      <c r="E272" s="105" t="s">
        <v>523</v>
      </c>
      <c r="F272" s="105" t="s">
        <v>524</v>
      </c>
      <c r="G272" s="105">
        <v>9</v>
      </c>
      <c r="H272" s="105">
        <v>362.04</v>
      </c>
      <c r="I272" s="105">
        <v>3258.36</v>
      </c>
      <c r="J272" s="105" t="s">
        <v>522</v>
      </c>
    </row>
    <row r="273" spans="2:10" ht="15" customHeight="1">
      <c r="B273" s="105">
        <v>266</v>
      </c>
      <c r="C273" s="135">
        <v>45099</v>
      </c>
      <c r="D273" s="105" t="s">
        <v>243</v>
      </c>
      <c r="E273" s="105" t="s">
        <v>527</v>
      </c>
      <c r="F273" s="105" t="s">
        <v>544</v>
      </c>
      <c r="G273" s="105">
        <v>8</v>
      </c>
      <c r="H273" s="105">
        <v>243.54</v>
      </c>
      <c r="I273" s="105">
        <v>1948.32</v>
      </c>
      <c r="J273" s="105" t="s">
        <v>532</v>
      </c>
    </row>
    <row r="274" spans="2:10" ht="15" customHeight="1">
      <c r="B274" s="105">
        <v>267</v>
      </c>
      <c r="C274" s="135">
        <v>45044</v>
      </c>
      <c r="D274" s="105" t="s">
        <v>252</v>
      </c>
      <c r="E274" s="105" t="s">
        <v>520</v>
      </c>
      <c r="F274" s="105" t="s">
        <v>546</v>
      </c>
      <c r="G274" s="105">
        <v>5</v>
      </c>
      <c r="H274" s="105">
        <v>101.65</v>
      </c>
      <c r="I274" s="105">
        <v>508.25</v>
      </c>
      <c r="J274" s="105" t="s">
        <v>534</v>
      </c>
    </row>
    <row r="275" spans="2:10" ht="15" customHeight="1">
      <c r="B275" s="105">
        <v>268</v>
      </c>
      <c r="C275" s="135">
        <v>45151</v>
      </c>
      <c r="D275" s="105" t="s">
        <v>252</v>
      </c>
      <c r="E275" s="105" t="s">
        <v>523</v>
      </c>
      <c r="F275" s="105" t="s">
        <v>542</v>
      </c>
      <c r="G275" s="105">
        <v>4</v>
      </c>
      <c r="H275" s="105">
        <v>218.46</v>
      </c>
      <c r="I275" s="105">
        <v>873.84</v>
      </c>
      <c r="J275" s="105" t="s">
        <v>533</v>
      </c>
    </row>
    <row r="276" spans="2:10" ht="15" customHeight="1">
      <c r="B276" s="105">
        <v>269</v>
      </c>
      <c r="C276" s="135">
        <v>44973</v>
      </c>
      <c r="D276" s="105" t="s">
        <v>526</v>
      </c>
      <c r="E276" s="105" t="s">
        <v>523</v>
      </c>
      <c r="F276" s="105" t="s">
        <v>545</v>
      </c>
      <c r="G276" s="105">
        <v>4</v>
      </c>
      <c r="H276" s="105">
        <v>128.78</v>
      </c>
      <c r="I276" s="105">
        <v>515.12</v>
      </c>
      <c r="J276" s="105" t="s">
        <v>534</v>
      </c>
    </row>
    <row r="277" spans="2:10" ht="15" customHeight="1">
      <c r="B277" s="105">
        <v>270</v>
      </c>
      <c r="C277" s="135">
        <v>45246</v>
      </c>
      <c r="D277" s="105" t="s">
        <v>526</v>
      </c>
      <c r="E277" s="105" t="s">
        <v>523</v>
      </c>
      <c r="F277" s="105" t="s">
        <v>531</v>
      </c>
      <c r="G277" s="105">
        <v>1</v>
      </c>
      <c r="H277" s="105">
        <v>309.2</v>
      </c>
      <c r="I277" s="105">
        <v>309.2</v>
      </c>
      <c r="J277" s="105" t="s">
        <v>529</v>
      </c>
    </row>
    <row r="278" spans="2:10" ht="15" customHeight="1">
      <c r="B278" s="105">
        <v>271</v>
      </c>
      <c r="C278" s="135">
        <v>45065</v>
      </c>
      <c r="D278" s="105" t="s">
        <v>526</v>
      </c>
      <c r="E278" s="105" t="s">
        <v>535</v>
      </c>
      <c r="F278" s="105" t="s">
        <v>536</v>
      </c>
      <c r="G278" s="105">
        <v>6</v>
      </c>
      <c r="H278" s="105">
        <v>294.81</v>
      </c>
      <c r="I278" s="105">
        <v>1768.86</v>
      </c>
      <c r="J278" s="105" t="s">
        <v>529</v>
      </c>
    </row>
    <row r="279" spans="2:10" ht="15" customHeight="1">
      <c r="B279" s="105">
        <v>272</v>
      </c>
      <c r="C279" s="135">
        <v>45185</v>
      </c>
      <c r="D279" s="105" t="s">
        <v>530</v>
      </c>
      <c r="E279" s="105" t="s">
        <v>523</v>
      </c>
      <c r="F279" s="105" t="s">
        <v>531</v>
      </c>
      <c r="G279" s="105">
        <v>4</v>
      </c>
      <c r="H279" s="105">
        <v>167.11</v>
      </c>
      <c r="I279" s="105">
        <v>668.44</v>
      </c>
      <c r="J279" s="105" t="s">
        <v>534</v>
      </c>
    </row>
    <row r="280" spans="2:10" ht="15" customHeight="1">
      <c r="B280" s="105">
        <v>273</v>
      </c>
      <c r="C280" s="135">
        <v>44936</v>
      </c>
      <c r="D280" s="105" t="s">
        <v>526</v>
      </c>
      <c r="E280" s="105" t="s">
        <v>527</v>
      </c>
      <c r="F280" s="105" t="s">
        <v>544</v>
      </c>
      <c r="G280" s="105">
        <v>1</v>
      </c>
      <c r="H280" s="105">
        <v>190.92</v>
      </c>
      <c r="I280" s="105">
        <v>190.92</v>
      </c>
      <c r="J280" s="105" t="s">
        <v>532</v>
      </c>
    </row>
    <row r="281" spans="2:10" ht="15" customHeight="1">
      <c r="B281" s="105">
        <v>274</v>
      </c>
      <c r="C281" s="135">
        <v>45098</v>
      </c>
      <c r="D281" s="105" t="s">
        <v>243</v>
      </c>
      <c r="E281" s="105" t="s">
        <v>527</v>
      </c>
      <c r="F281" s="105" t="s">
        <v>528</v>
      </c>
      <c r="G281" s="105">
        <v>5</v>
      </c>
      <c r="H281" s="105">
        <v>41.05</v>
      </c>
      <c r="I281" s="105">
        <v>205.25</v>
      </c>
      <c r="J281" s="105" t="s">
        <v>525</v>
      </c>
    </row>
    <row r="282" spans="2:10" ht="15" customHeight="1">
      <c r="B282" s="105">
        <v>275</v>
      </c>
      <c r="C282" s="135">
        <v>45056</v>
      </c>
      <c r="D282" s="105" t="s">
        <v>526</v>
      </c>
      <c r="E282" s="105" t="s">
        <v>523</v>
      </c>
      <c r="F282" s="105" t="s">
        <v>531</v>
      </c>
      <c r="G282" s="105">
        <v>2</v>
      </c>
      <c r="H282" s="105">
        <v>167.95</v>
      </c>
      <c r="I282" s="105">
        <v>335.9</v>
      </c>
      <c r="J282" s="105" t="s">
        <v>533</v>
      </c>
    </row>
    <row r="283" spans="2:10" ht="15" customHeight="1">
      <c r="B283" s="105">
        <v>276</v>
      </c>
      <c r="C283" s="135">
        <v>45027</v>
      </c>
      <c r="D283" s="105" t="s">
        <v>252</v>
      </c>
      <c r="E283" s="105" t="s">
        <v>520</v>
      </c>
      <c r="F283" s="105" t="s">
        <v>521</v>
      </c>
      <c r="G283" s="105">
        <v>4</v>
      </c>
      <c r="H283" s="105">
        <v>134.77000000000001</v>
      </c>
      <c r="I283" s="105">
        <v>539.08000000000004</v>
      </c>
      <c r="J283" s="105" t="s">
        <v>533</v>
      </c>
    </row>
    <row r="284" spans="2:10" ht="15" customHeight="1">
      <c r="B284" s="105">
        <v>277</v>
      </c>
      <c r="C284" s="135">
        <v>44964</v>
      </c>
      <c r="D284" s="105" t="s">
        <v>252</v>
      </c>
      <c r="E284" s="105" t="s">
        <v>520</v>
      </c>
      <c r="F284" s="105" t="s">
        <v>537</v>
      </c>
      <c r="G284" s="105">
        <v>9</v>
      </c>
      <c r="H284" s="105">
        <v>382.51</v>
      </c>
      <c r="I284" s="105">
        <v>3442.59</v>
      </c>
      <c r="J284" s="105" t="s">
        <v>532</v>
      </c>
    </row>
    <row r="285" spans="2:10" ht="15" customHeight="1">
      <c r="B285" s="105">
        <v>278</v>
      </c>
      <c r="C285" s="135">
        <v>45021</v>
      </c>
      <c r="D285" s="105" t="s">
        <v>252</v>
      </c>
      <c r="E285" s="105" t="s">
        <v>520</v>
      </c>
      <c r="F285" s="105" t="s">
        <v>521</v>
      </c>
      <c r="G285" s="105">
        <v>7</v>
      </c>
      <c r="H285" s="105">
        <v>399.2</v>
      </c>
      <c r="I285" s="105">
        <v>2794.4</v>
      </c>
      <c r="J285" s="105" t="s">
        <v>522</v>
      </c>
    </row>
    <row r="286" spans="2:10" ht="15" customHeight="1">
      <c r="B286" s="105">
        <v>279</v>
      </c>
      <c r="C286" s="135">
        <v>45162</v>
      </c>
      <c r="D286" s="105" t="s">
        <v>243</v>
      </c>
      <c r="E286" s="105" t="s">
        <v>527</v>
      </c>
      <c r="F286" s="105" t="s">
        <v>528</v>
      </c>
      <c r="G286" s="105">
        <v>1</v>
      </c>
      <c r="H286" s="105">
        <v>426.86</v>
      </c>
      <c r="I286" s="105">
        <v>426.86</v>
      </c>
      <c r="J286" s="105" t="s">
        <v>529</v>
      </c>
    </row>
    <row r="287" spans="2:10" ht="15" customHeight="1">
      <c r="B287" s="105">
        <v>280</v>
      </c>
      <c r="C287" s="135">
        <v>45063</v>
      </c>
      <c r="D287" s="105" t="s">
        <v>526</v>
      </c>
      <c r="E287" s="105" t="s">
        <v>520</v>
      </c>
      <c r="F287" s="105" t="s">
        <v>546</v>
      </c>
      <c r="G287" s="105">
        <v>2</v>
      </c>
      <c r="H287" s="105">
        <v>70.91</v>
      </c>
      <c r="I287" s="105">
        <v>141.82</v>
      </c>
      <c r="J287" s="105" t="s">
        <v>529</v>
      </c>
    </row>
    <row r="288" spans="2:10" ht="15" customHeight="1">
      <c r="B288" s="105">
        <v>281</v>
      </c>
      <c r="C288" s="135">
        <v>44961</v>
      </c>
      <c r="D288" s="105" t="s">
        <v>243</v>
      </c>
      <c r="E288" s="105" t="s">
        <v>527</v>
      </c>
      <c r="F288" s="105" t="s">
        <v>544</v>
      </c>
      <c r="G288" s="105">
        <v>2</v>
      </c>
      <c r="H288" s="105">
        <v>98.8</v>
      </c>
      <c r="I288" s="105">
        <v>197.6</v>
      </c>
      <c r="J288" s="105" t="s">
        <v>529</v>
      </c>
    </row>
    <row r="289" spans="2:10" ht="15" customHeight="1">
      <c r="B289" s="105">
        <v>282</v>
      </c>
      <c r="C289" s="135">
        <v>44986</v>
      </c>
      <c r="D289" s="105" t="s">
        <v>530</v>
      </c>
      <c r="E289" s="105" t="s">
        <v>520</v>
      </c>
      <c r="F289" s="105" t="s">
        <v>193</v>
      </c>
      <c r="G289" s="105">
        <v>1</v>
      </c>
      <c r="H289" s="105">
        <v>373.15</v>
      </c>
      <c r="I289" s="105">
        <v>373.15</v>
      </c>
      <c r="J289" s="105" t="s">
        <v>525</v>
      </c>
    </row>
    <row r="290" spans="2:10" ht="15" customHeight="1">
      <c r="B290" s="105">
        <v>283</v>
      </c>
      <c r="C290" s="135">
        <v>45155</v>
      </c>
      <c r="D290" s="105" t="s">
        <v>530</v>
      </c>
      <c r="E290" s="105" t="s">
        <v>520</v>
      </c>
      <c r="F290" s="105" t="s">
        <v>546</v>
      </c>
      <c r="G290" s="105">
        <v>8</v>
      </c>
      <c r="H290" s="105">
        <v>415.69</v>
      </c>
      <c r="I290" s="105">
        <v>3325.52</v>
      </c>
      <c r="J290" s="105" t="s">
        <v>522</v>
      </c>
    </row>
    <row r="291" spans="2:10" ht="15" customHeight="1">
      <c r="B291" s="105">
        <v>284</v>
      </c>
      <c r="C291" s="135">
        <v>44931</v>
      </c>
      <c r="D291" s="105" t="s">
        <v>243</v>
      </c>
      <c r="E291" s="105" t="s">
        <v>527</v>
      </c>
      <c r="F291" s="105" t="s">
        <v>539</v>
      </c>
      <c r="G291" s="105">
        <v>3</v>
      </c>
      <c r="H291" s="105">
        <v>90.49</v>
      </c>
      <c r="I291" s="105">
        <v>271.47000000000003</v>
      </c>
      <c r="J291" s="105" t="s">
        <v>543</v>
      </c>
    </row>
    <row r="292" spans="2:10" ht="15" customHeight="1">
      <c r="B292" s="105">
        <v>285</v>
      </c>
      <c r="C292" s="135">
        <v>44988</v>
      </c>
      <c r="D292" s="105" t="s">
        <v>530</v>
      </c>
      <c r="E292" s="105" t="s">
        <v>535</v>
      </c>
      <c r="F292" s="105" t="s">
        <v>538</v>
      </c>
      <c r="G292" s="105">
        <v>3</v>
      </c>
      <c r="H292" s="105">
        <v>335.95</v>
      </c>
      <c r="I292" s="105">
        <v>1007.85</v>
      </c>
      <c r="J292" s="105" t="s">
        <v>543</v>
      </c>
    </row>
    <row r="293" spans="2:10" ht="15" customHeight="1">
      <c r="B293" s="105">
        <v>286</v>
      </c>
      <c r="C293" s="135">
        <v>44968</v>
      </c>
      <c r="D293" s="105" t="s">
        <v>526</v>
      </c>
      <c r="E293" s="105" t="s">
        <v>523</v>
      </c>
      <c r="F293" s="105" t="s">
        <v>531</v>
      </c>
      <c r="G293" s="105">
        <v>4</v>
      </c>
      <c r="H293" s="105">
        <v>164.94</v>
      </c>
      <c r="I293" s="105">
        <v>659.76</v>
      </c>
      <c r="J293" s="105" t="s">
        <v>532</v>
      </c>
    </row>
    <row r="294" spans="2:10" ht="15" customHeight="1">
      <c r="B294" s="105">
        <v>287</v>
      </c>
      <c r="C294" s="135">
        <v>45254</v>
      </c>
      <c r="D294" s="105" t="s">
        <v>526</v>
      </c>
      <c r="E294" s="105" t="s">
        <v>520</v>
      </c>
      <c r="F294" s="105" t="s">
        <v>521</v>
      </c>
      <c r="G294" s="105">
        <v>9</v>
      </c>
      <c r="H294" s="105">
        <v>344.66</v>
      </c>
      <c r="I294" s="105">
        <v>3101.94</v>
      </c>
      <c r="J294" s="105" t="s">
        <v>529</v>
      </c>
    </row>
    <row r="295" spans="2:10" ht="15" customHeight="1">
      <c r="B295" s="105">
        <v>288</v>
      </c>
      <c r="C295" s="135">
        <v>45214</v>
      </c>
      <c r="D295" s="105" t="s">
        <v>530</v>
      </c>
      <c r="E295" s="105" t="s">
        <v>527</v>
      </c>
      <c r="F295" s="105" t="s">
        <v>528</v>
      </c>
      <c r="G295" s="105">
        <v>7</v>
      </c>
      <c r="H295" s="105">
        <v>359.75</v>
      </c>
      <c r="I295" s="105">
        <v>2518.25</v>
      </c>
      <c r="J295" s="105" t="s">
        <v>533</v>
      </c>
    </row>
    <row r="296" spans="2:10" ht="15" customHeight="1">
      <c r="B296" s="105">
        <v>289</v>
      </c>
      <c r="C296" s="135">
        <v>45279</v>
      </c>
      <c r="D296" s="105" t="s">
        <v>243</v>
      </c>
      <c r="E296" s="105" t="s">
        <v>520</v>
      </c>
      <c r="F296" s="105" t="s">
        <v>521</v>
      </c>
      <c r="G296" s="105">
        <v>3</v>
      </c>
      <c r="H296" s="105">
        <v>315.81</v>
      </c>
      <c r="I296" s="105">
        <v>947.43000000000006</v>
      </c>
      <c r="J296" s="105" t="s">
        <v>522</v>
      </c>
    </row>
    <row r="297" spans="2:10" ht="15" customHeight="1">
      <c r="B297" s="105">
        <v>290</v>
      </c>
      <c r="C297" s="135">
        <v>45079</v>
      </c>
      <c r="D297" s="105" t="s">
        <v>526</v>
      </c>
      <c r="E297" s="105" t="s">
        <v>535</v>
      </c>
      <c r="F297" s="105" t="s">
        <v>536</v>
      </c>
      <c r="G297" s="105">
        <v>7</v>
      </c>
      <c r="H297" s="105">
        <v>224.98</v>
      </c>
      <c r="I297" s="105">
        <v>1574.86</v>
      </c>
      <c r="J297" s="105" t="s">
        <v>529</v>
      </c>
    </row>
    <row r="298" spans="2:10" ht="15" customHeight="1">
      <c r="B298" s="105">
        <v>291</v>
      </c>
      <c r="C298" s="135">
        <v>45235</v>
      </c>
      <c r="D298" s="105" t="s">
        <v>252</v>
      </c>
      <c r="E298" s="105" t="s">
        <v>523</v>
      </c>
      <c r="F298" s="105" t="s">
        <v>524</v>
      </c>
      <c r="G298" s="105">
        <v>1</v>
      </c>
      <c r="H298" s="105">
        <v>450.79</v>
      </c>
      <c r="I298" s="105">
        <v>450.79</v>
      </c>
      <c r="J298" s="105" t="s">
        <v>534</v>
      </c>
    </row>
    <row r="299" spans="2:10" ht="15" customHeight="1">
      <c r="B299" s="105">
        <v>292</v>
      </c>
      <c r="C299" s="135">
        <v>44965</v>
      </c>
      <c r="D299" s="105" t="s">
        <v>243</v>
      </c>
      <c r="E299" s="105" t="s">
        <v>535</v>
      </c>
      <c r="F299" s="105" t="s">
        <v>538</v>
      </c>
      <c r="G299" s="105">
        <v>8</v>
      </c>
      <c r="H299" s="105">
        <v>122.22</v>
      </c>
      <c r="I299" s="105">
        <v>977.76</v>
      </c>
      <c r="J299" s="105" t="s">
        <v>532</v>
      </c>
    </row>
    <row r="300" spans="2:10" ht="15" customHeight="1">
      <c r="B300" s="105">
        <v>293</v>
      </c>
      <c r="C300" s="135">
        <v>44993</v>
      </c>
      <c r="D300" s="105" t="s">
        <v>252</v>
      </c>
      <c r="E300" s="105" t="s">
        <v>535</v>
      </c>
      <c r="F300" s="105" t="s">
        <v>541</v>
      </c>
      <c r="G300" s="105">
        <v>3</v>
      </c>
      <c r="H300" s="105">
        <v>221.45</v>
      </c>
      <c r="I300" s="105">
        <v>664.34999999999991</v>
      </c>
      <c r="J300" s="105" t="s">
        <v>534</v>
      </c>
    </row>
    <row r="301" spans="2:10" ht="15" customHeight="1">
      <c r="B301" s="105">
        <v>294</v>
      </c>
      <c r="C301" s="135">
        <v>44968</v>
      </c>
      <c r="D301" s="105" t="s">
        <v>243</v>
      </c>
      <c r="E301" s="105" t="s">
        <v>535</v>
      </c>
      <c r="F301" s="105" t="s">
        <v>536</v>
      </c>
      <c r="G301" s="105">
        <v>7</v>
      </c>
      <c r="H301" s="105">
        <v>367.97</v>
      </c>
      <c r="I301" s="105">
        <v>2575.79</v>
      </c>
      <c r="J301" s="105" t="s">
        <v>525</v>
      </c>
    </row>
    <row r="302" spans="2:10" ht="15" customHeight="1">
      <c r="B302" s="105">
        <v>295</v>
      </c>
      <c r="C302" s="135">
        <v>45083</v>
      </c>
      <c r="D302" s="105" t="s">
        <v>252</v>
      </c>
      <c r="E302" s="105" t="s">
        <v>535</v>
      </c>
      <c r="F302" s="105" t="s">
        <v>538</v>
      </c>
      <c r="G302" s="105">
        <v>4</v>
      </c>
      <c r="H302" s="105">
        <v>399.07</v>
      </c>
      <c r="I302" s="105">
        <v>1596.28</v>
      </c>
      <c r="J302" s="105" t="s">
        <v>522</v>
      </c>
    </row>
    <row r="303" spans="2:10" ht="15" customHeight="1">
      <c r="B303" s="105">
        <v>296</v>
      </c>
      <c r="C303" s="135">
        <v>45157</v>
      </c>
      <c r="D303" s="105" t="s">
        <v>252</v>
      </c>
      <c r="E303" s="105" t="s">
        <v>535</v>
      </c>
      <c r="F303" s="105" t="s">
        <v>538</v>
      </c>
      <c r="G303" s="105">
        <v>1</v>
      </c>
      <c r="H303" s="105">
        <v>271.39999999999998</v>
      </c>
      <c r="I303" s="105">
        <v>271.39999999999998</v>
      </c>
      <c r="J303" s="105" t="s">
        <v>529</v>
      </c>
    </row>
    <row r="304" spans="2:10" ht="15" customHeight="1">
      <c r="B304" s="105">
        <v>297</v>
      </c>
      <c r="C304" s="135">
        <v>45023</v>
      </c>
      <c r="D304" s="105" t="s">
        <v>252</v>
      </c>
      <c r="E304" s="105" t="s">
        <v>535</v>
      </c>
      <c r="F304" s="105" t="s">
        <v>540</v>
      </c>
      <c r="G304" s="105">
        <v>4</v>
      </c>
      <c r="H304" s="105">
        <v>498.87</v>
      </c>
      <c r="I304" s="105">
        <v>1995.48</v>
      </c>
      <c r="J304" s="105" t="s">
        <v>529</v>
      </c>
    </row>
    <row r="305" spans="2:10" ht="15" customHeight="1">
      <c r="B305" s="105">
        <v>298</v>
      </c>
      <c r="C305" s="135">
        <v>45215</v>
      </c>
      <c r="D305" s="105" t="s">
        <v>526</v>
      </c>
      <c r="E305" s="105" t="s">
        <v>527</v>
      </c>
      <c r="F305" s="105" t="s">
        <v>261</v>
      </c>
      <c r="G305" s="105">
        <v>5</v>
      </c>
      <c r="H305" s="105">
        <v>391.5</v>
      </c>
      <c r="I305" s="105">
        <v>1957.5</v>
      </c>
      <c r="J305" s="105" t="s">
        <v>534</v>
      </c>
    </row>
    <row r="306" spans="2:10" ht="15" customHeight="1">
      <c r="B306" s="105">
        <v>299</v>
      </c>
      <c r="C306" s="135">
        <v>44936</v>
      </c>
      <c r="D306" s="105" t="s">
        <v>252</v>
      </c>
      <c r="E306" s="105" t="s">
        <v>535</v>
      </c>
      <c r="F306" s="105" t="s">
        <v>540</v>
      </c>
      <c r="G306" s="105">
        <v>4</v>
      </c>
      <c r="H306" s="105">
        <v>289.25</v>
      </c>
      <c r="I306" s="105">
        <v>1157</v>
      </c>
      <c r="J306" s="105" t="s">
        <v>522</v>
      </c>
    </row>
    <row r="307" spans="2:10" ht="15" customHeight="1">
      <c r="B307" s="105">
        <v>300</v>
      </c>
      <c r="C307" s="135">
        <v>45279</v>
      </c>
      <c r="D307" s="105" t="s">
        <v>252</v>
      </c>
      <c r="E307" s="105" t="s">
        <v>523</v>
      </c>
      <c r="F307" s="105" t="s">
        <v>531</v>
      </c>
      <c r="G307" s="105">
        <v>5</v>
      </c>
      <c r="H307" s="105">
        <v>439.62</v>
      </c>
      <c r="I307" s="105">
        <v>2198.1</v>
      </c>
      <c r="J307" s="105" t="s">
        <v>522</v>
      </c>
    </row>
    <row r="308" spans="2:10" ht="15" customHeight="1">
      <c r="B308" s="105">
        <v>301</v>
      </c>
      <c r="C308" s="135">
        <v>45085</v>
      </c>
      <c r="D308" s="105" t="s">
        <v>526</v>
      </c>
      <c r="E308" s="105" t="s">
        <v>523</v>
      </c>
      <c r="F308" s="105" t="s">
        <v>545</v>
      </c>
      <c r="G308" s="105">
        <v>6</v>
      </c>
      <c r="H308" s="105">
        <v>412.42</v>
      </c>
      <c r="I308" s="105">
        <v>2474.52</v>
      </c>
      <c r="J308" s="105" t="s">
        <v>534</v>
      </c>
    </row>
    <row r="309" spans="2:10" ht="15" customHeight="1">
      <c r="B309" s="105">
        <v>302</v>
      </c>
      <c r="C309" s="135">
        <v>45110</v>
      </c>
      <c r="D309" s="105" t="s">
        <v>252</v>
      </c>
      <c r="E309" s="105" t="s">
        <v>523</v>
      </c>
      <c r="F309" s="105" t="s">
        <v>542</v>
      </c>
      <c r="G309" s="105">
        <v>4</v>
      </c>
      <c r="H309" s="105">
        <v>233.93</v>
      </c>
      <c r="I309" s="105">
        <v>935.72</v>
      </c>
      <c r="J309" s="105" t="s">
        <v>534</v>
      </c>
    </row>
    <row r="310" spans="2:10" ht="15" customHeight="1">
      <c r="B310" s="105">
        <v>303</v>
      </c>
      <c r="C310" s="135">
        <v>44973</v>
      </c>
      <c r="D310" s="105" t="s">
        <v>530</v>
      </c>
      <c r="E310" s="105" t="s">
        <v>520</v>
      </c>
      <c r="F310" s="105" t="s">
        <v>546</v>
      </c>
      <c r="G310" s="105">
        <v>8</v>
      </c>
      <c r="H310" s="105">
        <v>83.46</v>
      </c>
      <c r="I310" s="105">
        <v>667.68</v>
      </c>
      <c r="J310" s="105" t="s">
        <v>532</v>
      </c>
    </row>
    <row r="311" spans="2:10" ht="15" customHeight="1">
      <c r="B311" s="105">
        <v>304</v>
      </c>
      <c r="C311" s="135">
        <v>45056</v>
      </c>
      <c r="D311" s="105" t="s">
        <v>530</v>
      </c>
      <c r="E311" s="105" t="s">
        <v>520</v>
      </c>
      <c r="F311" s="105" t="s">
        <v>193</v>
      </c>
      <c r="G311" s="105">
        <v>4</v>
      </c>
      <c r="H311" s="105">
        <v>363.9</v>
      </c>
      <c r="I311" s="105">
        <v>1455.6</v>
      </c>
      <c r="J311" s="105" t="s">
        <v>522</v>
      </c>
    </row>
    <row r="312" spans="2:10" ht="15" customHeight="1">
      <c r="B312" s="105">
        <v>305</v>
      </c>
      <c r="C312" s="135">
        <v>45218</v>
      </c>
      <c r="D312" s="105" t="s">
        <v>526</v>
      </c>
      <c r="E312" s="105" t="s">
        <v>527</v>
      </c>
      <c r="F312" s="105" t="s">
        <v>544</v>
      </c>
      <c r="G312" s="105">
        <v>3</v>
      </c>
      <c r="H312" s="105">
        <v>350.03</v>
      </c>
      <c r="I312" s="105">
        <v>1050.0899999999999</v>
      </c>
      <c r="J312" s="105" t="s">
        <v>533</v>
      </c>
    </row>
    <row r="313" spans="2:10" ht="15" customHeight="1">
      <c r="B313" s="105">
        <v>306</v>
      </c>
      <c r="C313" s="135">
        <v>45180</v>
      </c>
      <c r="D313" s="105" t="s">
        <v>526</v>
      </c>
      <c r="E313" s="105" t="s">
        <v>523</v>
      </c>
      <c r="F313" s="105" t="s">
        <v>524</v>
      </c>
      <c r="G313" s="105">
        <v>5</v>
      </c>
      <c r="H313" s="105">
        <v>415.13</v>
      </c>
      <c r="I313" s="105">
        <v>2075.65</v>
      </c>
      <c r="J313" s="105" t="s">
        <v>529</v>
      </c>
    </row>
    <row r="314" spans="2:10" ht="15" customHeight="1">
      <c r="B314" s="105">
        <v>307</v>
      </c>
      <c r="C314" s="135">
        <v>45126</v>
      </c>
      <c r="D314" s="105" t="s">
        <v>526</v>
      </c>
      <c r="E314" s="105" t="s">
        <v>535</v>
      </c>
      <c r="F314" s="105" t="s">
        <v>541</v>
      </c>
      <c r="G314" s="105">
        <v>8</v>
      </c>
      <c r="H314" s="105">
        <v>295.86</v>
      </c>
      <c r="I314" s="105">
        <v>2366.88</v>
      </c>
      <c r="J314" s="105" t="s">
        <v>525</v>
      </c>
    </row>
    <row r="315" spans="2:10" ht="15" customHeight="1">
      <c r="B315" s="105">
        <v>308</v>
      </c>
      <c r="C315" s="135">
        <v>45228</v>
      </c>
      <c r="D315" s="105" t="s">
        <v>243</v>
      </c>
      <c r="E315" s="105" t="s">
        <v>535</v>
      </c>
      <c r="F315" s="105" t="s">
        <v>536</v>
      </c>
      <c r="G315" s="105">
        <v>7</v>
      </c>
      <c r="H315" s="105">
        <v>236.38</v>
      </c>
      <c r="I315" s="105">
        <v>1654.66</v>
      </c>
      <c r="J315" s="105" t="s">
        <v>522</v>
      </c>
    </row>
    <row r="316" spans="2:10" ht="15" customHeight="1">
      <c r="B316" s="105">
        <v>309</v>
      </c>
      <c r="C316" s="135">
        <v>45037</v>
      </c>
      <c r="D316" s="105" t="s">
        <v>530</v>
      </c>
      <c r="E316" s="105" t="s">
        <v>523</v>
      </c>
      <c r="F316" s="105" t="s">
        <v>524</v>
      </c>
      <c r="G316" s="105">
        <v>8</v>
      </c>
      <c r="H316" s="105">
        <v>257.89</v>
      </c>
      <c r="I316" s="105">
        <v>2063.12</v>
      </c>
      <c r="J316" s="105" t="s">
        <v>532</v>
      </c>
    </row>
    <row r="317" spans="2:10" ht="15" customHeight="1">
      <c r="B317" s="105">
        <v>310</v>
      </c>
      <c r="C317" s="135">
        <v>45282</v>
      </c>
      <c r="D317" s="105" t="s">
        <v>526</v>
      </c>
      <c r="E317" s="105" t="s">
        <v>523</v>
      </c>
      <c r="F317" s="105" t="s">
        <v>545</v>
      </c>
      <c r="G317" s="105">
        <v>8</v>
      </c>
      <c r="H317" s="105">
        <v>437.34</v>
      </c>
      <c r="I317" s="105">
        <v>3498.72</v>
      </c>
      <c r="J317" s="105" t="s">
        <v>529</v>
      </c>
    </row>
    <row r="318" spans="2:10" ht="15" customHeight="1">
      <c r="B318" s="105">
        <v>311</v>
      </c>
      <c r="C318" s="135">
        <v>45219</v>
      </c>
      <c r="D318" s="105" t="s">
        <v>243</v>
      </c>
      <c r="E318" s="105" t="s">
        <v>527</v>
      </c>
      <c r="F318" s="105" t="s">
        <v>539</v>
      </c>
      <c r="G318" s="105">
        <v>4</v>
      </c>
      <c r="H318" s="105">
        <v>397.14</v>
      </c>
      <c r="I318" s="105">
        <v>1588.56</v>
      </c>
      <c r="J318" s="105" t="s">
        <v>543</v>
      </c>
    </row>
    <row r="319" spans="2:10" ht="15" customHeight="1">
      <c r="B319" s="105">
        <v>312</v>
      </c>
      <c r="C319" s="135">
        <v>45018</v>
      </c>
      <c r="D319" s="105" t="s">
        <v>526</v>
      </c>
      <c r="E319" s="105" t="s">
        <v>527</v>
      </c>
      <c r="F319" s="105" t="s">
        <v>544</v>
      </c>
      <c r="G319" s="105">
        <v>8</v>
      </c>
      <c r="H319" s="105">
        <v>329.17</v>
      </c>
      <c r="I319" s="105">
        <v>2633.36</v>
      </c>
      <c r="J319" s="105" t="s">
        <v>533</v>
      </c>
    </row>
    <row r="320" spans="2:10" ht="15" customHeight="1">
      <c r="B320" s="105">
        <v>313</v>
      </c>
      <c r="C320" s="135">
        <v>44955</v>
      </c>
      <c r="D320" s="105" t="s">
        <v>243</v>
      </c>
      <c r="E320" s="105" t="s">
        <v>527</v>
      </c>
      <c r="F320" s="105" t="s">
        <v>544</v>
      </c>
      <c r="G320" s="105">
        <v>9</v>
      </c>
      <c r="H320" s="105">
        <v>217.82</v>
      </c>
      <c r="I320" s="105">
        <v>1960.38</v>
      </c>
      <c r="J320" s="105" t="s">
        <v>522</v>
      </c>
    </row>
    <row r="321" spans="2:10" ht="15" customHeight="1">
      <c r="B321" s="105">
        <v>314</v>
      </c>
      <c r="C321" s="135">
        <v>45193</v>
      </c>
      <c r="D321" s="105" t="s">
        <v>243</v>
      </c>
      <c r="E321" s="105" t="s">
        <v>523</v>
      </c>
      <c r="F321" s="105" t="s">
        <v>545</v>
      </c>
      <c r="G321" s="105">
        <v>8</v>
      </c>
      <c r="H321" s="105">
        <v>421.82</v>
      </c>
      <c r="I321" s="105">
        <v>3374.56</v>
      </c>
      <c r="J321" s="105" t="s">
        <v>533</v>
      </c>
    </row>
    <row r="322" spans="2:10" ht="15" customHeight="1">
      <c r="B322" s="105">
        <v>315</v>
      </c>
      <c r="C322" s="135">
        <v>45027</v>
      </c>
      <c r="D322" s="105" t="s">
        <v>243</v>
      </c>
      <c r="E322" s="105" t="s">
        <v>523</v>
      </c>
      <c r="F322" s="105" t="s">
        <v>545</v>
      </c>
      <c r="G322" s="105">
        <v>7</v>
      </c>
      <c r="H322" s="105">
        <v>70.180000000000007</v>
      </c>
      <c r="I322" s="105">
        <v>491.26</v>
      </c>
      <c r="J322" s="105" t="s">
        <v>533</v>
      </c>
    </row>
    <row r="323" spans="2:10" ht="15" customHeight="1">
      <c r="B323" s="105">
        <v>316</v>
      </c>
      <c r="C323" s="135">
        <v>45108</v>
      </c>
      <c r="D323" s="105" t="s">
        <v>526</v>
      </c>
      <c r="E323" s="105" t="s">
        <v>535</v>
      </c>
      <c r="F323" s="105" t="s">
        <v>540</v>
      </c>
      <c r="G323" s="105">
        <v>5</v>
      </c>
      <c r="H323" s="105">
        <v>91.11</v>
      </c>
      <c r="I323" s="105">
        <v>455.55</v>
      </c>
      <c r="J323" s="105" t="s">
        <v>543</v>
      </c>
    </row>
    <row r="324" spans="2:10" ht="15" customHeight="1">
      <c r="B324" s="105">
        <v>317</v>
      </c>
      <c r="C324" s="135">
        <v>45245</v>
      </c>
      <c r="D324" s="105" t="s">
        <v>252</v>
      </c>
      <c r="E324" s="105" t="s">
        <v>523</v>
      </c>
      <c r="F324" s="105" t="s">
        <v>531</v>
      </c>
      <c r="G324" s="105">
        <v>7</v>
      </c>
      <c r="H324" s="105">
        <v>461.21</v>
      </c>
      <c r="I324" s="105">
        <v>3228.47</v>
      </c>
      <c r="J324" s="105" t="s">
        <v>543</v>
      </c>
    </row>
    <row r="325" spans="2:10" ht="15" customHeight="1">
      <c r="B325" s="105">
        <v>318</v>
      </c>
      <c r="C325" s="135">
        <v>45075</v>
      </c>
      <c r="D325" s="105" t="s">
        <v>526</v>
      </c>
      <c r="E325" s="105" t="s">
        <v>535</v>
      </c>
      <c r="F325" s="105" t="s">
        <v>538</v>
      </c>
      <c r="G325" s="105">
        <v>6</v>
      </c>
      <c r="H325" s="105">
        <v>264.23</v>
      </c>
      <c r="I325" s="105">
        <v>1585.38</v>
      </c>
      <c r="J325" s="105" t="s">
        <v>532</v>
      </c>
    </row>
    <row r="326" spans="2:10" ht="15" customHeight="1">
      <c r="B326" s="105">
        <v>319</v>
      </c>
      <c r="C326" s="135">
        <v>45128</v>
      </c>
      <c r="D326" s="105" t="s">
        <v>530</v>
      </c>
      <c r="E326" s="105" t="s">
        <v>527</v>
      </c>
      <c r="F326" s="105" t="s">
        <v>539</v>
      </c>
      <c r="G326" s="105">
        <v>9</v>
      </c>
      <c r="H326" s="105">
        <v>374.68</v>
      </c>
      <c r="I326" s="105">
        <v>3372.12</v>
      </c>
      <c r="J326" s="105" t="s">
        <v>525</v>
      </c>
    </row>
    <row r="327" spans="2:10" ht="15" customHeight="1">
      <c r="B327" s="105">
        <v>320</v>
      </c>
      <c r="C327" s="135">
        <v>45080</v>
      </c>
      <c r="D327" s="105" t="s">
        <v>530</v>
      </c>
      <c r="E327" s="105" t="s">
        <v>520</v>
      </c>
      <c r="F327" s="105" t="s">
        <v>546</v>
      </c>
      <c r="G327" s="105">
        <v>4</v>
      </c>
      <c r="H327" s="105">
        <v>396.02</v>
      </c>
      <c r="I327" s="105">
        <v>1584.08</v>
      </c>
      <c r="J327" s="105" t="s">
        <v>522</v>
      </c>
    </row>
    <row r="328" spans="2:10" ht="15" customHeight="1">
      <c r="B328" s="105">
        <v>321</v>
      </c>
      <c r="C328" s="135">
        <v>45170</v>
      </c>
      <c r="D328" s="105" t="s">
        <v>243</v>
      </c>
      <c r="E328" s="105" t="s">
        <v>523</v>
      </c>
      <c r="F328" s="105" t="s">
        <v>524</v>
      </c>
      <c r="G328" s="105">
        <v>9</v>
      </c>
      <c r="H328" s="105">
        <v>65.989999999999995</v>
      </c>
      <c r="I328" s="105">
        <v>593.91</v>
      </c>
      <c r="J328" s="105" t="s">
        <v>534</v>
      </c>
    </row>
    <row r="329" spans="2:10" ht="15" customHeight="1">
      <c r="B329" s="105">
        <v>322</v>
      </c>
      <c r="C329" s="135">
        <v>45220</v>
      </c>
      <c r="D329" s="105" t="s">
        <v>530</v>
      </c>
      <c r="E329" s="105" t="s">
        <v>535</v>
      </c>
      <c r="F329" s="105" t="s">
        <v>536</v>
      </c>
      <c r="G329" s="105">
        <v>9</v>
      </c>
      <c r="H329" s="105">
        <v>433.12</v>
      </c>
      <c r="I329" s="105">
        <v>3898.08</v>
      </c>
      <c r="J329" s="105" t="s">
        <v>525</v>
      </c>
    </row>
    <row r="330" spans="2:10" ht="15" customHeight="1">
      <c r="B330" s="105">
        <v>323</v>
      </c>
      <c r="C330" s="135">
        <v>45273</v>
      </c>
      <c r="D330" s="105" t="s">
        <v>526</v>
      </c>
      <c r="E330" s="105" t="s">
        <v>535</v>
      </c>
      <c r="F330" s="105" t="s">
        <v>540</v>
      </c>
      <c r="G330" s="105">
        <v>2</v>
      </c>
      <c r="H330" s="105">
        <v>238.19</v>
      </c>
      <c r="I330" s="105">
        <v>476.38</v>
      </c>
      <c r="J330" s="105" t="s">
        <v>533</v>
      </c>
    </row>
    <row r="331" spans="2:10" ht="15" customHeight="1">
      <c r="B331" s="105">
        <v>324</v>
      </c>
      <c r="C331" s="135">
        <v>45290</v>
      </c>
      <c r="D331" s="105" t="s">
        <v>526</v>
      </c>
      <c r="E331" s="105" t="s">
        <v>520</v>
      </c>
      <c r="F331" s="105" t="s">
        <v>546</v>
      </c>
      <c r="G331" s="105">
        <v>1</v>
      </c>
      <c r="H331" s="105">
        <v>297.66000000000003</v>
      </c>
      <c r="I331" s="105">
        <v>297.66000000000003</v>
      </c>
      <c r="J331" s="105" t="s">
        <v>522</v>
      </c>
    </row>
    <row r="332" spans="2:10" ht="15" customHeight="1">
      <c r="B332" s="105">
        <v>325</v>
      </c>
      <c r="C332" s="135">
        <v>44951</v>
      </c>
      <c r="D332" s="105" t="s">
        <v>252</v>
      </c>
      <c r="E332" s="105" t="s">
        <v>535</v>
      </c>
      <c r="F332" s="105" t="s">
        <v>538</v>
      </c>
      <c r="G332" s="105">
        <v>3</v>
      </c>
      <c r="H332" s="105">
        <v>131.63</v>
      </c>
      <c r="I332" s="105">
        <v>394.89</v>
      </c>
      <c r="J332" s="105" t="s">
        <v>543</v>
      </c>
    </row>
    <row r="333" spans="2:10" ht="15" customHeight="1">
      <c r="B333" s="105">
        <v>326</v>
      </c>
      <c r="C333" s="135">
        <v>45270</v>
      </c>
      <c r="D333" s="105" t="s">
        <v>530</v>
      </c>
      <c r="E333" s="105" t="s">
        <v>535</v>
      </c>
      <c r="F333" s="105" t="s">
        <v>538</v>
      </c>
      <c r="G333" s="105">
        <v>7</v>
      </c>
      <c r="H333" s="105">
        <v>91.1</v>
      </c>
      <c r="I333" s="105">
        <v>637.69999999999993</v>
      </c>
      <c r="J333" s="105" t="s">
        <v>529</v>
      </c>
    </row>
    <row r="334" spans="2:10" ht="15" customHeight="1">
      <c r="B334" s="105">
        <v>327</v>
      </c>
      <c r="C334" s="135">
        <v>44989</v>
      </c>
      <c r="D334" s="105" t="s">
        <v>252</v>
      </c>
      <c r="E334" s="105" t="s">
        <v>527</v>
      </c>
      <c r="F334" s="105" t="s">
        <v>261</v>
      </c>
      <c r="G334" s="105">
        <v>1</v>
      </c>
      <c r="H334" s="105">
        <v>187.57</v>
      </c>
      <c r="I334" s="105">
        <v>187.57</v>
      </c>
      <c r="J334" s="105" t="s">
        <v>522</v>
      </c>
    </row>
    <row r="335" spans="2:10" ht="15" customHeight="1">
      <c r="B335" s="105">
        <v>328</v>
      </c>
      <c r="C335" s="135">
        <v>44975</v>
      </c>
      <c r="D335" s="105" t="s">
        <v>530</v>
      </c>
      <c r="E335" s="105" t="s">
        <v>535</v>
      </c>
      <c r="F335" s="105" t="s">
        <v>536</v>
      </c>
      <c r="G335" s="105">
        <v>6</v>
      </c>
      <c r="H335" s="105">
        <v>117.85</v>
      </c>
      <c r="I335" s="105">
        <v>707.09999999999991</v>
      </c>
      <c r="J335" s="105" t="s">
        <v>525</v>
      </c>
    </row>
    <row r="336" spans="2:10" ht="15" customHeight="1">
      <c r="B336" s="105">
        <v>329</v>
      </c>
      <c r="C336" s="135">
        <v>45287</v>
      </c>
      <c r="D336" s="105" t="s">
        <v>252</v>
      </c>
      <c r="E336" s="105" t="s">
        <v>527</v>
      </c>
      <c r="F336" s="105" t="s">
        <v>544</v>
      </c>
      <c r="G336" s="105">
        <v>7</v>
      </c>
      <c r="H336" s="105">
        <v>488.02</v>
      </c>
      <c r="I336" s="105">
        <v>3416.14</v>
      </c>
      <c r="J336" s="105" t="s">
        <v>525</v>
      </c>
    </row>
    <row r="337" spans="2:10" ht="15" customHeight="1">
      <c r="B337" s="105">
        <v>330</v>
      </c>
      <c r="C337" s="135">
        <v>45268</v>
      </c>
      <c r="D337" s="105" t="s">
        <v>530</v>
      </c>
      <c r="E337" s="105" t="s">
        <v>520</v>
      </c>
      <c r="F337" s="105" t="s">
        <v>546</v>
      </c>
      <c r="G337" s="105">
        <v>1</v>
      </c>
      <c r="H337" s="105">
        <v>283.08</v>
      </c>
      <c r="I337" s="105">
        <v>283.08</v>
      </c>
      <c r="J337" s="105" t="s">
        <v>529</v>
      </c>
    </row>
    <row r="338" spans="2:10" ht="15" customHeight="1">
      <c r="B338" s="105">
        <v>331</v>
      </c>
      <c r="C338" s="135">
        <v>45183</v>
      </c>
      <c r="D338" s="105" t="s">
        <v>252</v>
      </c>
      <c r="E338" s="105" t="s">
        <v>520</v>
      </c>
      <c r="F338" s="105" t="s">
        <v>521</v>
      </c>
      <c r="G338" s="105">
        <v>8</v>
      </c>
      <c r="H338" s="105">
        <v>256.08</v>
      </c>
      <c r="I338" s="105">
        <v>2048.64</v>
      </c>
      <c r="J338" s="105" t="s">
        <v>534</v>
      </c>
    </row>
    <row r="339" spans="2:10" ht="15" customHeight="1">
      <c r="B339" s="105">
        <v>332</v>
      </c>
      <c r="C339" s="135">
        <v>45137</v>
      </c>
      <c r="D339" s="105" t="s">
        <v>243</v>
      </c>
      <c r="E339" s="105" t="s">
        <v>527</v>
      </c>
      <c r="F339" s="105" t="s">
        <v>539</v>
      </c>
      <c r="G339" s="105">
        <v>7</v>
      </c>
      <c r="H339" s="105">
        <v>219.13</v>
      </c>
      <c r="I339" s="105">
        <v>1533.91</v>
      </c>
      <c r="J339" s="105" t="s">
        <v>533</v>
      </c>
    </row>
    <row r="340" spans="2:10" ht="15" customHeight="1">
      <c r="B340" s="105">
        <v>333</v>
      </c>
      <c r="C340" s="135">
        <v>45212</v>
      </c>
      <c r="D340" s="105" t="s">
        <v>526</v>
      </c>
      <c r="E340" s="105" t="s">
        <v>527</v>
      </c>
      <c r="F340" s="105" t="s">
        <v>528</v>
      </c>
      <c r="G340" s="105">
        <v>1</v>
      </c>
      <c r="H340" s="105">
        <v>27.91</v>
      </c>
      <c r="I340" s="105">
        <v>27.91</v>
      </c>
      <c r="J340" s="105" t="s">
        <v>525</v>
      </c>
    </row>
    <row r="341" spans="2:10" ht="15" customHeight="1">
      <c r="B341" s="105">
        <v>334</v>
      </c>
      <c r="C341" s="135">
        <v>45183</v>
      </c>
      <c r="D341" s="105" t="s">
        <v>243</v>
      </c>
      <c r="E341" s="105" t="s">
        <v>520</v>
      </c>
      <c r="F341" s="105" t="s">
        <v>193</v>
      </c>
      <c r="G341" s="105">
        <v>8</v>
      </c>
      <c r="H341" s="105">
        <v>297.85000000000002</v>
      </c>
      <c r="I341" s="105">
        <v>2382.8000000000002</v>
      </c>
      <c r="J341" s="105" t="s">
        <v>533</v>
      </c>
    </row>
    <row r="342" spans="2:10" ht="15" customHeight="1">
      <c r="B342" s="105">
        <v>335</v>
      </c>
      <c r="C342" s="135">
        <v>45120</v>
      </c>
      <c r="D342" s="105" t="s">
        <v>530</v>
      </c>
      <c r="E342" s="105" t="s">
        <v>535</v>
      </c>
      <c r="F342" s="105" t="s">
        <v>540</v>
      </c>
      <c r="G342" s="105">
        <v>3</v>
      </c>
      <c r="H342" s="105">
        <v>232.11</v>
      </c>
      <c r="I342" s="105">
        <v>696.33</v>
      </c>
      <c r="J342" s="105" t="s">
        <v>525</v>
      </c>
    </row>
    <row r="343" spans="2:10" ht="15" customHeight="1">
      <c r="B343" s="105">
        <v>336</v>
      </c>
      <c r="C343" s="135">
        <v>45040</v>
      </c>
      <c r="D343" s="105" t="s">
        <v>252</v>
      </c>
      <c r="E343" s="105" t="s">
        <v>527</v>
      </c>
      <c r="F343" s="105" t="s">
        <v>539</v>
      </c>
      <c r="G343" s="105">
        <v>6</v>
      </c>
      <c r="H343" s="105">
        <v>225.97</v>
      </c>
      <c r="I343" s="105">
        <v>1355.82</v>
      </c>
      <c r="J343" s="105" t="s">
        <v>534</v>
      </c>
    </row>
    <row r="344" spans="2:10" ht="15" customHeight="1">
      <c r="B344" s="105">
        <v>337</v>
      </c>
      <c r="C344" s="135">
        <v>45058</v>
      </c>
      <c r="D344" s="105" t="s">
        <v>243</v>
      </c>
      <c r="E344" s="105" t="s">
        <v>520</v>
      </c>
      <c r="F344" s="105" t="s">
        <v>193</v>
      </c>
      <c r="G344" s="105">
        <v>6</v>
      </c>
      <c r="H344" s="105">
        <v>385.02</v>
      </c>
      <c r="I344" s="105">
        <v>2310.12</v>
      </c>
      <c r="J344" s="105" t="s">
        <v>533</v>
      </c>
    </row>
    <row r="345" spans="2:10" ht="15" customHeight="1">
      <c r="B345" s="105">
        <v>338</v>
      </c>
      <c r="C345" s="135">
        <v>44981</v>
      </c>
      <c r="D345" s="105" t="s">
        <v>243</v>
      </c>
      <c r="E345" s="105" t="s">
        <v>520</v>
      </c>
      <c r="F345" s="105" t="s">
        <v>193</v>
      </c>
      <c r="G345" s="105">
        <v>1</v>
      </c>
      <c r="H345" s="105">
        <v>173.84</v>
      </c>
      <c r="I345" s="105">
        <v>173.84</v>
      </c>
      <c r="J345" s="105" t="s">
        <v>529</v>
      </c>
    </row>
    <row r="346" spans="2:10" ht="15" customHeight="1">
      <c r="B346" s="105">
        <v>339</v>
      </c>
      <c r="C346" s="135">
        <v>45192</v>
      </c>
      <c r="D346" s="105" t="s">
        <v>530</v>
      </c>
      <c r="E346" s="105" t="s">
        <v>520</v>
      </c>
      <c r="F346" s="105" t="s">
        <v>537</v>
      </c>
      <c r="G346" s="105">
        <v>7</v>
      </c>
      <c r="H346" s="105">
        <v>379.09</v>
      </c>
      <c r="I346" s="105">
        <v>2653.63</v>
      </c>
      <c r="J346" s="105" t="s">
        <v>525</v>
      </c>
    </row>
    <row r="347" spans="2:10" ht="15" customHeight="1">
      <c r="B347" s="105">
        <v>340</v>
      </c>
      <c r="C347" s="135">
        <v>45013</v>
      </c>
      <c r="D347" s="105" t="s">
        <v>526</v>
      </c>
      <c r="E347" s="105" t="s">
        <v>527</v>
      </c>
      <c r="F347" s="105" t="s">
        <v>539</v>
      </c>
      <c r="G347" s="105">
        <v>3</v>
      </c>
      <c r="H347" s="105">
        <v>325.56</v>
      </c>
      <c r="I347" s="105">
        <v>976.68000000000006</v>
      </c>
      <c r="J347" s="105" t="s">
        <v>522</v>
      </c>
    </row>
    <row r="348" spans="2:10" ht="15" customHeight="1">
      <c r="B348" s="105">
        <v>341</v>
      </c>
      <c r="C348" s="135">
        <v>45104</v>
      </c>
      <c r="D348" s="105" t="s">
        <v>252</v>
      </c>
      <c r="E348" s="105" t="s">
        <v>535</v>
      </c>
      <c r="F348" s="105" t="s">
        <v>536</v>
      </c>
      <c r="G348" s="105">
        <v>7</v>
      </c>
      <c r="H348" s="105">
        <v>86.51</v>
      </c>
      <c r="I348" s="105">
        <v>605.57000000000005</v>
      </c>
      <c r="J348" s="105" t="s">
        <v>534</v>
      </c>
    </row>
    <row r="349" spans="2:10" ht="15" customHeight="1">
      <c r="B349" s="105">
        <v>342</v>
      </c>
      <c r="C349" s="135">
        <v>45247</v>
      </c>
      <c r="D349" s="105" t="s">
        <v>526</v>
      </c>
      <c r="E349" s="105" t="s">
        <v>520</v>
      </c>
      <c r="F349" s="105" t="s">
        <v>521</v>
      </c>
      <c r="G349" s="105">
        <v>7</v>
      </c>
      <c r="H349" s="105">
        <v>332.87</v>
      </c>
      <c r="I349" s="105">
        <v>2330.09</v>
      </c>
      <c r="J349" s="105" t="s">
        <v>532</v>
      </c>
    </row>
    <row r="350" spans="2:10" ht="15" customHeight="1">
      <c r="B350" s="105">
        <v>343</v>
      </c>
      <c r="C350" s="135">
        <v>45181</v>
      </c>
      <c r="D350" s="105" t="s">
        <v>243</v>
      </c>
      <c r="E350" s="105" t="s">
        <v>527</v>
      </c>
      <c r="F350" s="105" t="s">
        <v>539</v>
      </c>
      <c r="G350" s="105">
        <v>9</v>
      </c>
      <c r="H350" s="105">
        <v>118.77</v>
      </c>
      <c r="I350" s="105">
        <v>1068.93</v>
      </c>
      <c r="J350" s="105" t="s">
        <v>533</v>
      </c>
    </row>
    <row r="351" spans="2:10" ht="15" customHeight="1">
      <c r="B351" s="105">
        <v>344</v>
      </c>
      <c r="C351" s="135">
        <v>45165</v>
      </c>
      <c r="D351" s="105" t="s">
        <v>530</v>
      </c>
      <c r="E351" s="105" t="s">
        <v>520</v>
      </c>
      <c r="F351" s="105" t="s">
        <v>537</v>
      </c>
      <c r="G351" s="105">
        <v>8</v>
      </c>
      <c r="H351" s="105">
        <v>61.01</v>
      </c>
      <c r="I351" s="105">
        <v>488.08</v>
      </c>
      <c r="J351" s="105" t="s">
        <v>534</v>
      </c>
    </row>
    <row r="352" spans="2:10" ht="15" customHeight="1">
      <c r="B352" s="105">
        <v>345</v>
      </c>
      <c r="C352" s="135">
        <v>45023</v>
      </c>
      <c r="D352" s="105" t="s">
        <v>530</v>
      </c>
      <c r="E352" s="105" t="s">
        <v>523</v>
      </c>
      <c r="F352" s="105" t="s">
        <v>545</v>
      </c>
      <c r="G352" s="105">
        <v>5</v>
      </c>
      <c r="H352" s="105">
        <v>97.49</v>
      </c>
      <c r="I352" s="105">
        <v>487.45</v>
      </c>
      <c r="J352" s="105" t="s">
        <v>534</v>
      </c>
    </row>
    <row r="353" spans="2:10" ht="15" customHeight="1">
      <c r="B353" s="105">
        <v>346</v>
      </c>
      <c r="C353" s="135">
        <v>45022</v>
      </c>
      <c r="D353" s="105" t="s">
        <v>530</v>
      </c>
      <c r="E353" s="105" t="s">
        <v>523</v>
      </c>
      <c r="F353" s="105" t="s">
        <v>545</v>
      </c>
      <c r="G353" s="105">
        <v>8</v>
      </c>
      <c r="H353" s="105">
        <v>58.73</v>
      </c>
      <c r="I353" s="105">
        <v>469.84</v>
      </c>
      <c r="J353" s="105" t="s">
        <v>532</v>
      </c>
    </row>
    <row r="354" spans="2:10" ht="15" customHeight="1">
      <c r="B354" s="105">
        <v>347</v>
      </c>
      <c r="C354" s="135">
        <v>45046</v>
      </c>
      <c r="D354" s="105" t="s">
        <v>530</v>
      </c>
      <c r="E354" s="105" t="s">
        <v>523</v>
      </c>
      <c r="F354" s="105" t="s">
        <v>524</v>
      </c>
      <c r="G354" s="105">
        <v>8</v>
      </c>
      <c r="H354" s="105">
        <v>363.91</v>
      </c>
      <c r="I354" s="105">
        <v>2911.28</v>
      </c>
      <c r="J354" s="105" t="s">
        <v>533</v>
      </c>
    </row>
    <row r="355" spans="2:10" ht="15" customHeight="1">
      <c r="B355" s="105">
        <v>348</v>
      </c>
      <c r="C355" s="135">
        <v>45108</v>
      </c>
      <c r="D355" s="105" t="s">
        <v>526</v>
      </c>
      <c r="E355" s="105" t="s">
        <v>520</v>
      </c>
      <c r="F355" s="105" t="s">
        <v>521</v>
      </c>
      <c r="G355" s="105">
        <v>4</v>
      </c>
      <c r="H355" s="105">
        <v>472.76</v>
      </c>
      <c r="I355" s="105">
        <v>1891.04</v>
      </c>
      <c r="J355" s="105" t="s">
        <v>543</v>
      </c>
    </row>
    <row r="356" spans="2:10" ht="15" customHeight="1">
      <c r="B356" s="105">
        <v>349</v>
      </c>
      <c r="C356" s="135">
        <v>45237</v>
      </c>
      <c r="D356" s="105" t="s">
        <v>530</v>
      </c>
      <c r="E356" s="105" t="s">
        <v>527</v>
      </c>
      <c r="F356" s="105" t="s">
        <v>544</v>
      </c>
      <c r="G356" s="105">
        <v>5</v>
      </c>
      <c r="H356" s="105">
        <v>209.13</v>
      </c>
      <c r="I356" s="105">
        <v>1045.6500000000001</v>
      </c>
      <c r="J356" s="105" t="s">
        <v>534</v>
      </c>
    </row>
    <row r="357" spans="2:10" ht="15" customHeight="1">
      <c r="B357" s="105">
        <v>350</v>
      </c>
      <c r="C357" s="135">
        <v>45189</v>
      </c>
      <c r="D357" s="105" t="s">
        <v>530</v>
      </c>
      <c r="E357" s="105" t="s">
        <v>523</v>
      </c>
      <c r="F357" s="105" t="s">
        <v>531</v>
      </c>
      <c r="G357" s="105">
        <v>2</v>
      </c>
      <c r="H357" s="105">
        <v>16.37</v>
      </c>
      <c r="I357" s="105">
        <v>32.74</v>
      </c>
      <c r="J357" s="105" t="s">
        <v>522</v>
      </c>
    </row>
    <row r="358" spans="2:10" ht="15" customHeight="1">
      <c r="B358" s="105">
        <v>351</v>
      </c>
      <c r="C358" s="135">
        <v>45073</v>
      </c>
      <c r="D358" s="105" t="s">
        <v>252</v>
      </c>
      <c r="E358" s="105" t="s">
        <v>535</v>
      </c>
      <c r="F358" s="105" t="s">
        <v>540</v>
      </c>
      <c r="G358" s="105">
        <v>1</v>
      </c>
      <c r="H358" s="105">
        <v>111.86</v>
      </c>
      <c r="I358" s="105">
        <v>111.86</v>
      </c>
      <c r="J358" s="105" t="s">
        <v>533</v>
      </c>
    </row>
    <row r="359" spans="2:10" ht="15" customHeight="1">
      <c r="B359" s="105">
        <v>352</v>
      </c>
      <c r="C359" s="135">
        <v>45114</v>
      </c>
      <c r="D359" s="105" t="s">
        <v>243</v>
      </c>
      <c r="E359" s="105" t="s">
        <v>523</v>
      </c>
      <c r="F359" s="105" t="s">
        <v>531</v>
      </c>
      <c r="G359" s="105">
        <v>3</v>
      </c>
      <c r="H359" s="105">
        <v>295.69</v>
      </c>
      <c r="I359" s="105">
        <v>887.06999999999994</v>
      </c>
      <c r="J359" s="105" t="s">
        <v>525</v>
      </c>
    </row>
    <row r="360" spans="2:10" ht="15" customHeight="1">
      <c r="B360" s="105">
        <v>353</v>
      </c>
      <c r="C360" s="135">
        <v>45229</v>
      </c>
      <c r="D360" s="105" t="s">
        <v>252</v>
      </c>
      <c r="E360" s="105" t="s">
        <v>520</v>
      </c>
      <c r="F360" s="105" t="s">
        <v>537</v>
      </c>
      <c r="G360" s="105">
        <v>2</v>
      </c>
      <c r="H360" s="105">
        <v>447.41</v>
      </c>
      <c r="I360" s="105">
        <v>894.82</v>
      </c>
      <c r="J360" s="105" t="s">
        <v>529</v>
      </c>
    </row>
    <row r="361" spans="2:10" ht="15" customHeight="1">
      <c r="B361" s="105">
        <v>354</v>
      </c>
      <c r="C361" s="135">
        <v>45160</v>
      </c>
      <c r="D361" s="105" t="s">
        <v>530</v>
      </c>
      <c r="E361" s="105" t="s">
        <v>527</v>
      </c>
      <c r="F361" s="105" t="s">
        <v>539</v>
      </c>
      <c r="G361" s="105">
        <v>5</v>
      </c>
      <c r="H361" s="105">
        <v>177.49</v>
      </c>
      <c r="I361" s="105">
        <v>887.45</v>
      </c>
      <c r="J361" s="105" t="s">
        <v>522</v>
      </c>
    </row>
    <row r="362" spans="2:10" ht="15" customHeight="1">
      <c r="B362" s="105">
        <v>355</v>
      </c>
      <c r="C362" s="135">
        <v>45045</v>
      </c>
      <c r="D362" s="105" t="s">
        <v>243</v>
      </c>
      <c r="E362" s="105" t="s">
        <v>523</v>
      </c>
      <c r="F362" s="105" t="s">
        <v>524</v>
      </c>
      <c r="G362" s="105">
        <v>2</v>
      </c>
      <c r="H362" s="105">
        <v>187.9</v>
      </c>
      <c r="I362" s="105">
        <v>375.8</v>
      </c>
      <c r="J362" s="105" t="s">
        <v>529</v>
      </c>
    </row>
    <row r="363" spans="2:10" ht="15" customHeight="1">
      <c r="B363" s="105">
        <v>356</v>
      </c>
      <c r="C363" s="135">
        <v>45182</v>
      </c>
      <c r="D363" s="105" t="s">
        <v>252</v>
      </c>
      <c r="E363" s="105" t="s">
        <v>523</v>
      </c>
      <c r="F363" s="105" t="s">
        <v>542</v>
      </c>
      <c r="G363" s="105">
        <v>4</v>
      </c>
      <c r="H363" s="105">
        <v>315.83</v>
      </c>
      <c r="I363" s="105">
        <v>1263.32</v>
      </c>
      <c r="J363" s="105" t="s">
        <v>533</v>
      </c>
    </row>
    <row r="364" spans="2:10" ht="15" customHeight="1">
      <c r="B364" s="105">
        <v>357</v>
      </c>
      <c r="C364" s="135">
        <v>45281</v>
      </c>
      <c r="D364" s="105" t="s">
        <v>526</v>
      </c>
      <c r="E364" s="105" t="s">
        <v>527</v>
      </c>
      <c r="F364" s="105" t="s">
        <v>544</v>
      </c>
      <c r="G364" s="105">
        <v>9</v>
      </c>
      <c r="H364" s="105">
        <v>223.7</v>
      </c>
      <c r="I364" s="105">
        <v>2013.3</v>
      </c>
      <c r="J364" s="105" t="s">
        <v>532</v>
      </c>
    </row>
    <row r="365" spans="2:10" ht="15" customHeight="1">
      <c r="B365" s="105">
        <v>358</v>
      </c>
      <c r="C365" s="135">
        <v>45290</v>
      </c>
      <c r="D365" s="105" t="s">
        <v>526</v>
      </c>
      <c r="E365" s="105" t="s">
        <v>523</v>
      </c>
      <c r="F365" s="105" t="s">
        <v>531</v>
      </c>
      <c r="G365" s="105">
        <v>4</v>
      </c>
      <c r="H365" s="105">
        <v>487.53</v>
      </c>
      <c r="I365" s="105">
        <v>1950.12</v>
      </c>
      <c r="J365" s="105" t="s">
        <v>525</v>
      </c>
    </row>
    <row r="366" spans="2:10" ht="15" customHeight="1">
      <c r="B366" s="105">
        <v>359</v>
      </c>
      <c r="C366" s="135">
        <v>45084</v>
      </c>
      <c r="D366" s="105" t="s">
        <v>526</v>
      </c>
      <c r="E366" s="105" t="s">
        <v>535</v>
      </c>
      <c r="F366" s="105" t="s">
        <v>536</v>
      </c>
      <c r="G366" s="105">
        <v>8</v>
      </c>
      <c r="H366" s="105">
        <v>65.98</v>
      </c>
      <c r="I366" s="105">
        <v>527.84</v>
      </c>
      <c r="J366" s="105" t="s">
        <v>525</v>
      </c>
    </row>
    <row r="367" spans="2:10" ht="15" customHeight="1">
      <c r="B367" s="105">
        <v>360</v>
      </c>
      <c r="C367" s="135">
        <v>45141</v>
      </c>
      <c r="D367" s="105" t="s">
        <v>252</v>
      </c>
      <c r="E367" s="105" t="s">
        <v>535</v>
      </c>
      <c r="F367" s="105" t="s">
        <v>538</v>
      </c>
      <c r="G367" s="105">
        <v>8</v>
      </c>
      <c r="H367" s="105">
        <v>492.83</v>
      </c>
      <c r="I367" s="105">
        <v>3942.64</v>
      </c>
      <c r="J367" s="105" t="s">
        <v>534</v>
      </c>
    </row>
    <row r="368" spans="2:10" ht="15" customHeight="1">
      <c r="B368" s="105">
        <v>361</v>
      </c>
      <c r="C368" s="135">
        <v>45135</v>
      </c>
      <c r="D368" s="105" t="s">
        <v>526</v>
      </c>
      <c r="E368" s="105" t="s">
        <v>535</v>
      </c>
      <c r="F368" s="105" t="s">
        <v>540</v>
      </c>
      <c r="G368" s="105">
        <v>1</v>
      </c>
      <c r="H368" s="105">
        <v>247.54</v>
      </c>
      <c r="I368" s="105">
        <v>247.54</v>
      </c>
      <c r="J368" s="105" t="s">
        <v>525</v>
      </c>
    </row>
    <row r="369" spans="2:10" ht="15" customHeight="1">
      <c r="B369" s="105">
        <v>362</v>
      </c>
      <c r="C369" s="135">
        <v>45163</v>
      </c>
      <c r="D369" s="105" t="s">
        <v>526</v>
      </c>
      <c r="E369" s="105" t="s">
        <v>527</v>
      </c>
      <c r="F369" s="105" t="s">
        <v>528</v>
      </c>
      <c r="G369" s="105">
        <v>9</v>
      </c>
      <c r="H369" s="105">
        <v>275.39999999999998</v>
      </c>
      <c r="I369" s="105">
        <v>2478.6</v>
      </c>
      <c r="J369" s="105" t="s">
        <v>525</v>
      </c>
    </row>
    <row r="370" spans="2:10" ht="15" customHeight="1">
      <c r="B370" s="105">
        <v>363</v>
      </c>
      <c r="C370" s="135">
        <v>45172</v>
      </c>
      <c r="D370" s="105" t="s">
        <v>243</v>
      </c>
      <c r="E370" s="105" t="s">
        <v>535</v>
      </c>
      <c r="F370" s="105" t="s">
        <v>541</v>
      </c>
      <c r="G370" s="105">
        <v>9</v>
      </c>
      <c r="H370" s="105">
        <v>136.36000000000001</v>
      </c>
      <c r="I370" s="105">
        <v>1227.24</v>
      </c>
      <c r="J370" s="105" t="s">
        <v>532</v>
      </c>
    </row>
    <row r="371" spans="2:10" ht="15" customHeight="1">
      <c r="B371" s="105">
        <v>364</v>
      </c>
      <c r="C371" s="135">
        <v>44930</v>
      </c>
      <c r="D371" s="105" t="s">
        <v>243</v>
      </c>
      <c r="E371" s="105" t="s">
        <v>535</v>
      </c>
      <c r="F371" s="105" t="s">
        <v>536</v>
      </c>
      <c r="G371" s="105">
        <v>6</v>
      </c>
      <c r="H371" s="105">
        <v>419.12</v>
      </c>
      <c r="I371" s="105">
        <v>2514.7199999999998</v>
      </c>
      <c r="J371" s="105" t="s">
        <v>525</v>
      </c>
    </row>
    <row r="372" spans="2:10" ht="15" customHeight="1">
      <c r="B372" s="105">
        <v>365</v>
      </c>
      <c r="C372" s="135">
        <v>45001</v>
      </c>
      <c r="D372" s="105" t="s">
        <v>252</v>
      </c>
      <c r="E372" s="105" t="s">
        <v>527</v>
      </c>
      <c r="F372" s="105" t="s">
        <v>544</v>
      </c>
      <c r="G372" s="105">
        <v>2</v>
      </c>
      <c r="H372" s="105">
        <v>143.43</v>
      </c>
      <c r="I372" s="105">
        <v>286.86</v>
      </c>
      <c r="J372" s="105" t="s">
        <v>534</v>
      </c>
    </row>
    <row r="373" spans="2:10" ht="15" customHeight="1">
      <c r="B373" s="105">
        <v>366</v>
      </c>
      <c r="C373" s="135">
        <v>45267</v>
      </c>
      <c r="D373" s="105" t="s">
        <v>252</v>
      </c>
      <c r="E373" s="105" t="s">
        <v>520</v>
      </c>
      <c r="F373" s="105" t="s">
        <v>193</v>
      </c>
      <c r="G373" s="105">
        <v>6</v>
      </c>
      <c r="H373" s="105">
        <v>458.01</v>
      </c>
      <c r="I373" s="105">
        <v>2748.06</v>
      </c>
      <c r="J373" s="105" t="s">
        <v>532</v>
      </c>
    </row>
    <row r="374" spans="2:10" ht="15" customHeight="1">
      <c r="B374" s="105">
        <v>367</v>
      </c>
      <c r="C374" s="135">
        <v>44960</v>
      </c>
      <c r="D374" s="105" t="s">
        <v>530</v>
      </c>
      <c r="E374" s="105" t="s">
        <v>520</v>
      </c>
      <c r="F374" s="105" t="s">
        <v>546</v>
      </c>
      <c r="G374" s="105">
        <v>4</v>
      </c>
      <c r="H374" s="105">
        <v>254.06</v>
      </c>
      <c r="I374" s="105">
        <v>1016.24</v>
      </c>
      <c r="J374" s="105" t="s">
        <v>522</v>
      </c>
    </row>
    <row r="375" spans="2:10" ht="15" customHeight="1">
      <c r="B375" s="105">
        <v>368</v>
      </c>
      <c r="C375" s="135">
        <v>45002</v>
      </c>
      <c r="D375" s="105" t="s">
        <v>243</v>
      </c>
      <c r="E375" s="105" t="s">
        <v>535</v>
      </c>
      <c r="F375" s="105" t="s">
        <v>536</v>
      </c>
      <c r="G375" s="105">
        <v>1</v>
      </c>
      <c r="H375" s="105">
        <v>208.57</v>
      </c>
      <c r="I375" s="105">
        <v>208.57</v>
      </c>
      <c r="J375" s="105" t="s">
        <v>529</v>
      </c>
    </row>
    <row r="376" spans="2:10" ht="15" customHeight="1">
      <c r="B376" s="105">
        <v>369</v>
      </c>
      <c r="C376" s="135">
        <v>45268</v>
      </c>
      <c r="D376" s="105" t="s">
        <v>526</v>
      </c>
      <c r="E376" s="105" t="s">
        <v>520</v>
      </c>
      <c r="F376" s="105" t="s">
        <v>521</v>
      </c>
      <c r="G376" s="105">
        <v>7</v>
      </c>
      <c r="H376" s="105">
        <v>62.22</v>
      </c>
      <c r="I376" s="105">
        <v>435.54</v>
      </c>
      <c r="J376" s="105" t="s">
        <v>522</v>
      </c>
    </row>
    <row r="377" spans="2:10" ht="15" customHeight="1">
      <c r="B377" s="105">
        <v>370</v>
      </c>
      <c r="C377" s="135">
        <v>45213</v>
      </c>
      <c r="D377" s="105" t="s">
        <v>530</v>
      </c>
      <c r="E377" s="105" t="s">
        <v>520</v>
      </c>
      <c r="F377" s="105" t="s">
        <v>521</v>
      </c>
      <c r="G377" s="105">
        <v>5</v>
      </c>
      <c r="H377" s="105">
        <v>139.21</v>
      </c>
      <c r="I377" s="105">
        <v>696.05000000000007</v>
      </c>
      <c r="J377" s="105" t="s">
        <v>543</v>
      </c>
    </row>
    <row r="378" spans="2:10" ht="15" customHeight="1">
      <c r="B378" s="105">
        <v>371</v>
      </c>
      <c r="C378" s="135">
        <v>45024</v>
      </c>
      <c r="D378" s="105" t="s">
        <v>530</v>
      </c>
      <c r="E378" s="105" t="s">
        <v>520</v>
      </c>
      <c r="F378" s="105" t="s">
        <v>537</v>
      </c>
      <c r="G378" s="105">
        <v>6</v>
      </c>
      <c r="H378" s="105">
        <v>368.77</v>
      </c>
      <c r="I378" s="105">
        <v>2212.62</v>
      </c>
      <c r="J378" s="105" t="s">
        <v>532</v>
      </c>
    </row>
    <row r="379" spans="2:10" ht="15" customHeight="1">
      <c r="B379" s="105">
        <v>372</v>
      </c>
      <c r="C379" s="135">
        <v>45099</v>
      </c>
      <c r="D379" s="105" t="s">
        <v>243</v>
      </c>
      <c r="E379" s="105" t="s">
        <v>527</v>
      </c>
      <c r="F379" s="105" t="s">
        <v>544</v>
      </c>
      <c r="G379" s="105">
        <v>9</v>
      </c>
      <c r="H379" s="105">
        <v>252.19</v>
      </c>
      <c r="I379" s="105">
        <v>2269.71</v>
      </c>
      <c r="J379" s="105" t="s">
        <v>543</v>
      </c>
    </row>
    <row r="380" spans="2:10" ht="15" customHeight="1">
      <c r="B380" s="105">
        <v>373</v>
      </c>
      <c r="C380" s="135">
        <v>45116</v>
      </c>
      <c r="D380" s="105" t="s">
        <v>530</v>
      </c>
      <c r="E380" s="105" t="s">
        <v>523</v>
      </c>
      <c r="F380" s="105" t="s">
        <v>524</v>
      </c>
      <c r="G380" s="105">
        <v>1</v>
      </c>
      <c r="H380" s="105">
        <v>215.2</v>
      </c>
      <c r="I380" s="105">
        <v>215.2</v>
      </c>
      <c r="J380" s="105" t="s">
        <v>525</v>
      </c>
    </row>
    <row r="381" spans="2:10" ht="15" customHeight="1">
      <c r="B381" s="105">
        <v>374</v>
      </c>
      <c r="C381" s="135">
        <v>45289</v>
      </c>
      <c r="D381" s="105" t="s">
        <v>243</v>
      </c>
      <c r="E381" s="105" t="s">
        <v>535</v>
      </c>
      <c r="F381" s="105" t="s">
        <v>540</v>
      </c>
      <c r="G381" s="105">
        <v>2</v>
      </c>
      <c r="H381" s="105">
        <v>91.48</v>
      </c>
      <c r="I381" s="105">
        <v>182.96</v>
      </c>
      <c r="J381" s="105" t="s">
        <v>533</v>
      </c>
    </row>
    <row r="382" spans="2:10" ht="15" customHeight="1">
      <c r="B382" s="105">
        <v>375</v>
      </c>
      <c r="C382" s="135">
        <v>45218</v>
      </c>
      <c r="D382" s="105" t="s">
        <v>252</v>
      </c>
      <c r="E382" s="105" t="s">
        <v>520</v>
      </c>
      <c r="F382" s="105" t="s">
        <v>193</v>
      </c>
      <c r="G382" s="105">
        <v>1</v>
      </c>
      <c r="H382" s="105">
        <v>50.57</v>
      </c>
      <c r="I382" s="105">
        <v>50.57</v>
      </c>
      <c r="J382" s="105" t="s">
        <v>533</v>
      </c>
    </row>
    <row r="383" spans="2:10" ht="15" customHeight="1">
      <c r="B383" s="105">
        <v>376</v>
      </c>
      <c r="C383" s="135">
        <v>45075</v>
      </c>
      <c r="D383" s="105" t="s">
        <v>526</v>
      </c>
      <c r="E383" s="105" t="s">
        <v>535</v>
      </c>
      <c r="F383" s="105" t="s">
        <v>538</v>
      </c>
      <c r="G383" s="105">
        <v>3</v>
      </c>
      <c r="H383" s="105">
        <v>130.22</v>
      </c>
      <c r="I383" s="105">
        <v>390.66</v>
      </c>
      <c r="J383" s="105" t="s">
        <v>532</v>
      </c>
    </row>
    <row r="384" spans="2:10" ht="15" customHeight="1">
      <c r="B384" s="105">
        <v>377</v>
      </c>
      <c r="C384" s="135">
        <v>45090</v>
      </c>
      <c r="D384" s="105" t="s">
        <v>243</v>
      </c>
      <c r="E384" s="105" t="s">
        <v>527</v>
      </c>
      <c r="F384" s="105" t="s">
        <v>261</v>
      </c>
      <c r="G384" s="105">
        <v>8</v>
      </c>
      <c r="H384" s="105">
        <v>224.22</v>
      </c>
      <c r="I384" s="105">
        <v>1793.76</v>
      </c>
      <c r="J384" s="105" t="s">
        <v>522</v>
      </c>
    </row>
    <row r="385" spans="2:10" ht="15" customHeight="1">
      <c r="B385" s="105">
        <v>378</v>
      </c>
      <c r="C385" s="135">
        <v>45158</v>
      </c>
      <c r="D385" s="105" t="s">
        <v>252</v>
      </c>
      <c r="E385" s="105" t="s">
        <v>535</v>
      </c>
      <c r="F385" s="105" t="s">
        <v>540</v>
      </c>
      <c r="G385" s="105">
        <v>1</v>
      </c>
      <c r="H385" s="105">
        <v>363.55</v>
      </c>
      <c r="I385" s="105">
        <v>363.55</v>
      </c>
      <c r="J385" s="105" t="s">
        <v>534</v>
      </c>
    </row>
    <row r="386" spans="2:10" ht="15" customHeight="1">
      <c r="B386" s="105">
        <v>379</v>
      </c>
      <c r="C386" s="135">
        <v>44981</v>
      </c>
      <c r="D386" s="105" t="s">
        <v>526</v>
      </c>
      <c r="E386" s="105" t="s">
        <v>523</v>
      </c>
      <c r="F386" s="105" t="s">
        <v>531</v>
      </c>
      <c r="G386" s="105">
        <v>3</v>
      </c>
      <c r="H386" s="105">
        <v>475.16</v>
      </c>
      <c r="I386" s="105">
        <v>1425.48</v>
      </c>
      <c r="J386" s="105" t="s">
        <v>532</v>
      </c>
    </row>
    <row r="387" spans="2:10" ht="15" customHeight="1">
      <c r="B387" s="105">
        <v>380</v>
      </c>
      <c r="C387" s="135">
        <v>44995</v>
      </c>
      <c r="D387" s="105" t="s">
        <v>526</v>
      </c>
      <c r="E387" s="105" t="s">
        <v>520</v>
      </c>
      <c r="F387" s="105" t="s">
        <v>546</v>
      </c>
      <c r="G387" s="105">
        <v>8</v>
      </c>
      <c r="H387" s="105">
        <v>469.05</v>
      </c>
      <c r="I387" s="105">
        <v>3752.4</v>
      </c>
      <c r="J387" s="105" t="s">
        <v>533</v>
      </c>
    </row>
    <row r="388" spans="2:10" ht="15" customHeight="1">
      <c r="B388" s="105">
        <v>381</v>
      </c>
      <c r="C388" s="135">
        <v>44962</v>
      </c>
      <c r="D388" s="105" t="s">
        <v>252</v>
      </c>
      <c r="E388" s="105" t="s">
        <v>535</v>
      </c>
      <c r="F388" s="105" t="s">
        <v>541</v>
      </c>
      <c r="G388" s="105">
        <v>8</v>
      </c>
      <c r="H388" s="105">
        <v>115.32</v>
      </c>
      <c r="I388" s="105">
        <v>922.56</v>
      </c>
      <c r="J388" s="105" t="s">
        <v>522</v>
      </c>
    </row>
    <row r="389" spans="2:10" ht="15" customHeight="1">
      <c r="B389" s="105">
        <v>382</v>
      </c>
      <c r="C389" s="135">
        <v>45170</v>
      </c>
      <c r="D389" s="105" t="s">
        <v>526</v>
      </c>
      <c r="E389" s="105" t="s">
        <v>527</v>
      </c>
      <c r="F389" s="105" t="s">
        <v>261</v>
      </c>
      <c r="G389" s="105">
        <v>4</v>
      </c>
      <c r="H389" s="105">
        <v>89.39</v>
      </c>
      <c r="I389" s="105">
        <v>357.56</v>
      </c>
      <c r="J389" s="105" t="s">
        <v>534</v>
      </c>
    </row>
    <row r="390" spans="2:10" ht="15" customHeight="1">
      <c r="B390" s="105">
        <v>383</v>
      </c>
      <c r="C390" s="135">
        <v>45291</v>
      </c>
      <c r="D390" s="105" t="s">
        <v>243</v>
      </c>
      <c r="E390" s="105" t="s">
        <v>520</v>
      </c>
      <c r="F390" s="105" t="s">
        <v>193</v>
      </c>
      <c r="G390" s="105">
        <v>1</v>
      </c>
      <c r="H390" s="105">
        <v>253.22</v>
      </c>
      <c r="I390" s="105">
        <v>253.22</v>
      </c>
      <c r="J390" s="105" t="s">
        <v>525</v>
      </c>
    </row>
    <row r="391" spans="2:10" ht="15" customHeight="1">
      <c r="B391" s="105">
        <v>384</v>
      </c>
      <c r="C391" s="135">
        <v>44999</v>
      </c>
      <c r="D391" s="105" t="s">
        <v>252</v>
      </c>
      <c r="E391" s="105" t="s">
        <v>527</v>
      </c>
      <c r="F391" s="105" t="s">
        <v>539</v>
      </c>
      <c r="G391" s="105">
        <v>2</v>
      </c>
      <c r="H391" s="105">
        <v>315.43</v>
      </c>
      <c r="I391" s="105">
        <v>630.86</v>
      </c>
      <c r="J391" s="105" t="s">
        <v>532</v>
      </c>
    </row>
    <row r="392" spans="2:10" ht="15" customHeight="1">
      <c r="B392" s="105">
        <v>385</v>
      </c>
      <c r="C392" s="135">
        <v>45055</v>
      </c>
      <c r="D392" s="105" t="s">
        <v>526</v>
      </c>
      <c r="E392" s="105" t="s">
        <v>527</v>
      </c>
      <c r="F392" s="105" t="s">
        <v>544</v>
      </c>
      <c r="G392" s="105">
        <v>9</v>
      </c>
      <c r="H392" s="105">
        <v>182.25</v>
      </c>
      <c r="I392" s="105">
        <v>1640.25</v>
      </c>
      <c r="J392" s="105" t="s">
        <v>533</v>
      </c>
    </row>
    <row r="393" spans="2:10" ht="15" customHeight="1">
      <c r="B393" s="105">
        <v>386</v>
      </c>
      <c r="C393" s="135">
        <v>45030</v>
      </c>
      <c r="D393" s="105" t="s">
        <v>530</v>
      </c>
      <c r="E393" s="105" t="s">
        <v>523</v>
      </c>
      <c r="F393" s="105" t="s">
        <v>542</v>
      </c>
      <c r="G393" s="105">
        <v>9</v>
      </c>
      <c r="H393" s="105">
        <v>355.41</v>
      </c>
      <c r="I393" s="105">
        <v>3198.69</v>
      </c>
      <c r="J393" s="105" t="s">
        <v>534</v>
      </c>
    </row>
    <row r="394" spans="2:10" ht="15" customHeight="1">
      <c r="B394" s="105">
        <v>387</v>
      </c>
      <c r="C394" s="135">
        <v>45057</v>
      </c>
      <c r="D394" s="105" t="s">
        <v>530</v>
      </c>
      <c r="E394" s="105" t="s">
        <v>520</v>
      </c>
      <c r="F394" s="105" t="s">
        <v>546</v>
      </c>
      <c r="G394" s="105">
        <v>9</v>
      </c>
      <c r="H394" s="105">
        <v>130.74</v>
      </c>
      <c r="I394" s="105">
        <v>1176.6600000000001</v>
      </c>
      <c r="J394" s="105" t="s">
        <v>543</v>
      </c>
    </row>
    <row r="395" spans="2:10" ht="15" customHeight="1">
      <c r="B395" s="105">
        <v>388</v>
      </c>
      <c r="C395" s="135">
        <v>45098</v>
      </c>
      <c r="D395" s="105" t="s">
        <v>252</v>
      </c>
      <c r="E395" s="105" t="s">
        <v>520</v>
      </c>
      <c r="F395" s="105" t="s">
        <v>521</v>
      </c>
      <c r="G395" s="105">
        <v>2</v>
      </c>
      <c r="H395" s="105">
        <v>401.71</v>
      </c>
      <c r="I395" s="105">
        <v>803.42</v>
      </c>
      <c r="J395" s="105" t="s">
        <v>533</v>
      </c>
    </row>
    <row r="396" spans="2:10" ht="15" customHeight="1">
      <c r="B396" s="105">
        <v>389</v>
      </c>
      <c r="C396" s="135">
        <v>45280</v>
      </c>
      <c r="D396" s="105" t="s">
        <v>526</v>
      </c>
      <c r="E396" s="105" t="s">
        <v>523</v>
      </c>
      <c r="F396" s="105" t="s">
        <v>524</v>
      </c>
      <c r="G396" s="105">
        <v>3</v>
      </c>
      <c r="H396" s="105">
        <v>143.35</v>
      </c>
      <c r="I396" s="105">
        <v>430.05</v>
      </c>
      <c r="J396" s="105" t="s">
        <v>534</v>
      </c>
    </row>
    <row r="397" spans="2:10" ht="15" customHeight="1">
      <c r="B397" s="105">
        <v>390</v>
      </c>
      <c r="C397" s="135">
        <v>45231</v>
      </c>
      <c r="D397" s="105" t="s">
        <v>530</v>
      </c>
      <c r="E397" s="105" t="s">
        <v>523</v>
      </c>
      <c r="F397" s="105" t="s">
        <v>531</v>
      </c>
      <c r="G397" s="105">
        <v>3</v>
      </c>
      <c r="H397" s="105">
        <v>164.15</v>
      </c>
      <c r="I397" s="105">
        <v>492.45</v>
      </c>
      <c r="J397" s="105" t="s">
        <v>534</v>
      </c>
    </row>
    <row r="398" spans="2:10" ht="15" customHeight="1">
      <c r="B398" s="105">
        <v>391</v>
      </c>
      <c r="C398" s="135">
        <v>45237</v>
      </c>
      <c r="D398" s="105" t="s">
        <v>526</v>
      </c>
      <c r="E398" s="105" t="s">
        <v>527</v>
      </c>
      <c r="F398" s="105" t="s">
        <v>544</v>
      </c>
      <c r="G398" s="105">
        <v>1</v>
      </c>
      <c r="H398" s="105">
        <v>475.62</v>
      </c>
      <c r="I398" s="105">
        <v>475.62</v>
      </c>
      <c r="J398" s="105" t="s">
        <v>534</v>
      </c>
    </row>
    <row r="399" spans="2:10" ht="15" customHeight="1">
      <c r="B399" s="105">
        <v>392</v>
      </c>
      <c r="C399" s="135">
        <v>45244</v>
      </c>
      <c r="D399" s="105" t="s">
        <v>530</v>
      </c>
      <c r="E399" s="105" t="s">
        <v>535</v>
      </c>
      <c r="F399" s="105" t="s">
        <v>541</v>
      </c>
      <c r="G399" s="105">
        <v>1</v>
      </c>
      <c r="H399" s="105">
        <v>100.72</v>
      </c>
      <c r="I399" s="105">
        <v>100.72</v>
      </c>
      <c r="J399" s="105" t="s">
        <v>533</v>
      </c>
    </row>
    <row r="400" spans="2:10" ht="15" customHeight="1">
      <c r="B400" s="105">
        <v>393</v>
      </c>
      <c r="C400" s="135">
        <v>45075</v>
      </c>
      <c r="D400" s="105" t="s">
        <v>252</v>
      </c>
      <c r="E400" s="105" t="s">
        <v>523</v>
      </c>
      <c r="F400" s="105" t="s">
        <v>545</v>
      </c>
      <c r="G400" s="105">
        <v>8</v>
      </c>
      <c r="H400" s="105">
        <v>381.61</v>
      </c>
      <c r="I400" s="105">
        <v>3052.88</v>
      </c>
      <c r="J400" s="105" t="s">
        <v>522</v>
      </c>
    </row>
    <row r="401" spans="2:10" ht="15" customHeight="1">
      <c r="B401" s="105">
        <v>394</v>
      </c>
      <c r="C401" s="135">
        <v>45124</v>
      </c>
      <c r="D401" s="105" t="s">
        <v>252</v>
      </c>
      <c r="E401" s="105" t="s">
        <v>527</v>
      </c>
      <c r="F401" s="105" t="s">
        <v>261</v>
      </c>
      <c r="G401" s="105">
        <v>1</v>
      </c>
      <c r="H401" s="105">
        <v>332.8</v>
      </c>
      <c r="I401" s="105">
        <v>332.8</v>
      </c>
      <c r="J401" s="105" t="s">
        <v>534</v>
      </c>
    </row>
    <row r="402" spans="2:10" ht="15" customHeight="1">
      <c r="B402" s="105">
        <v>395</v>
      </c>
      <c r="C402" s="135">
        <v>45015</v>
      </c>
      <c r="D402" s="105" t="s">
        <v>252</v>
      </c>
      <c r="E402" s="105" t="s">
        <v>527</v>
      </c>
      <c r="F402" s="105" t="s">
        <v>544</v>
      </c>
      <c r="G402" s="105">
        <v>8</v>
      </c>
      <c r="H402" s="105">
        <v>132.34</v>
      </c>
      <c r="I402" s="105">
        <v>1058.72</v>
      </c>
      <c r="J402" s="105" t="s">
        <v>522</v>
      </c>
    </row>
    <row r="403" spans="2:10" ht="15" customHeight="1">
      <c r="B403" s="105">
        <v>396</v>
      </c>
      <c r="C403" s="135">
        <v>44973</v>
      </c>
      <c r="D403" s="105" t="s">
        <v>526</v>
      </c>
      <c r="E403" s="105" t="s">
        <v>520</v>
      </c>
      <c r="F403" s="105" t="s">
        <v>193</v>
      </c>
      <c r="G403" s="105">
        <v>9</v>
      </c>
      <c r="H403" s="105">
        <v>472.59</v>
      </c>
      <c r="I403" s="105">
        <v>4253.3099999999986</v>
      </c>
      <c r="J403" s="105" t="s">
        <v>522</v>
      </c>
    </row>
    <row r="404" spans="2:10" ht="15" customHeight="1">
      <c r="B404" s="105">
        <v>397</v>
      </c>
      <c r="C404" s="135">
        <v>45208</v>
      </c>
      <c r="D404" s="105" t="s">
        <v>243</v>
      </c>
      <c r="E404" s="105" t="s">
        <v>527</v>
      </c>
      <c r="F404" s="105" t="s">
        <v>261</v>
      </c>
      <c r="G404" s="105">
        <v>7</v>
      </c>
      <c r="H404" s="105">
        <v>499.68</v>
      </c>
      <c r="I404" s="105">
        <v>3497.76</v>
      </c>
      <c r="J404" s="105" t="s">
        <v>534</v>
      </c>
    </row>
    <row r="405" spans="2:10" ht="15" customHeight="1">
      <c r="B405" s="105">
        <v>398</v>
      </c>
      <c r="C405" s="135">
        <v>45196</v>
      </c>
      <c r="D405" s="105" t="s">
        <v>243</v>
      </c>
      <c r="E405" s="105" t="s">
        <v>535</v>
      </c>
      <c r="F405" s="105" t="s">
        <v>538</v>
      </c>
      <c r="G405" s="105">
        <v>5</v>
      </c>
      <c r="H405" s="105">
        <v>241.87</v>
      </c>
      <c r="I405" s="105">
        <v>1209.3499999999999</v>
      </c>
      <c r="J405" s="105" t="s">
        <v>533</v>
      </c>
    </row>
    <row r="406" spans="2:10" ht="15" customHeight="1">
      <c r="B406" s="105">
        <v>399</v>
      </c>
      <c r="C406" s="135">
        <v>45102</v>
      </c>
      <c r="D406" s="105" t="s">
        <v>252</v>
      </c>
      <c r="E406" s="105" t="s">
        <v>523</v>
      </c>
      <c r="F406" s="105" t="s">
        <v>545</v>
      </c>
      <c r="G406" s="105">
        <v>5</v>
      </c>
      <c r="H406" s="105">
        <v>368.2</v>
      </c>
      <c r="I406" s="105">
        <v>1841</v>
      </c>
      <c r="J406" s="105" t="s">
        <v>525</v>
      </c>
    </row>
    <row r="407" spans="2:10" ht="15" customHeight="1">
      <c r="B407" s="105">
        <v>400</v>
      </c>
      <c r="C407" s="135">
        <v>45141</v>
      </c>
      <c r="D407" s="105" t="s">
        <v>243</v>
      </c>
      <c r="E407" s="105" t="s">
        <v>520</v>
      </c>
      <c r="F407" s="105" t="s">
        <v>521</v>
      </c>
      <c r="G407" s="105">
        <v>8</v>
      </c>
      <c r="H407" s="105">
        <v>485.82</v>
      </c>
      <c r="I407" s="105">
        <v>3886.56</v>
      </c>
      <c r="J407" s="105" t="s">
        <v>534</v>
      </c>
    </row>
    <row r="408" spans="2:10" ht="15" customHeight="1">
      <c r="B408" s="105">
        <v>401</v>
      </c>
      <c r="C408" s="135">
        <v>45029</v>
      </c>
      <c r="D408" s="105" t="s">
        <v>252</v>
      </c>
      <c r="E408" s="105" t="s">
        <v>535</v>
      </c>
      <c r="F408" s="105" t="s">
        <v>540</v>
      </c>
      <c r="G408" s="105">
        <v>2</v>
      </c>
      <c r="H408" s="105">
        <v>375.08</v>
      </c>
      <c r="I408" s="105">
        <v>750.16</v>
      </c>
      <c r="J408" s="105" t="s">
        <v>543</v>
      </c>
    </row>
    <row r="409" spans="2:10" ht="15" customHeight="1">
      <c r="B409" s="105">
        <v>402</v>
      </c>
      <c r="C409" s="135">
        <v>45078</v>
      </c>
      <c r="D409" s="105" t="s">
        <v>526</v>
      </c>
      <c r="E409" s="105" t="s">
        <v>523</v>
      </c>
      <c r="F409" s="105" t="s">
        <v>531</v>
      </c>
      <c r="G409" s="105">
        <v>1</v>
      </c>
      <c r="H409" s="105">
        <v>328.58</v>
      </c>
      <c r="I409" s="105">
        <v>328.58</v>
      </c>
      <c r="J409" s="105" t="s">
        <v>533</v>
      </c>
    </row>
    <row r="410" spans="2:10" ht="15" customHeight="1">
      <c r="B410" s="105">
        <v>403</v>
      </c>
      <c r="C410" s="135">
        <v>45227</v>
      </c>
      <c r="D410" s="105" t="s">
        <v>526</v>
      </c>
      <c r="E410" s="105" t="s">
        <v>527</v>
      </c>
      <c r="F410" s="105" t="s">
        <v>539</v>
      </c>
      <c r="G410" s="105">
        <v>3</v>
      </c>
      <c r="H410" s="105">
        <v>284.73</v>
      </c>
      <c r="I410" s="105">
        <v>854.19</v>
      </c>
      <c r="J410" s="105" t="s">
        <v>534</v>
      </c>
    </row>
    <row r="411" spans="2:10" ht="15" customHeight="1">
      <c r="B411" s="105">
        <v>404</v>
      </c>
      <c r="C411" s="135">
        <v>45097</v>
      </c>
      <c r="D411" s="105" t="s">
        <v>526</v>
      </c>
      <c r="E411" s="105" t="s">
        <v>527</v>
      </c>
      <c r="F411" s="105" t="s">
        <v>539</v>
      </c>
      <c r="G411" s="105">
        <v>2</v>
      </c>
      <c r="H411" s="105">
        <v>443.65</v>
      </c>
      <c r="I411" s="105">
        <v>887.3</v>
      </c>
      <c r="J411" s="105" t="s">
        <v>529</v>
      </c>
    </row>
    <row r="412" spans="2:10" ht="15" customHeight="1">
      <c r="B412" s="105">
        <v>405</v>
      </c>
      <c r="C412" s="135">
        <v>45290</v>
      </c>
      <c r="D412" s="105" t="s">
        <v>526</v>
      </c>
      <c r="E412" s="105" t="s">
        <v>535</v>
      </c>
      <c r="F412" s="105" t="s">
        <v>540</v>
      </c>
      <c r="G412" s="105">
        <v>8</v>
      </c>
      <c r="H412" s="105">
        <v>226.11</v>
      </c>
      <c r="I412" s="105">
        <v>1808.88</v>
      </c>
      <c r="J412" s="105" t="s">
        <v>525</v>
      </c>
    </row>
    <row r="413" spans="2:10" ht="15" customHeight="1">
      <c r="B413" s="105">
        <v>406</v>
      </c>
      <c r="C413" s="135">
        <v>44930</v>
      </c>
      <c r="D413" s="105" t="s">
        <v>526</v>
      </c>
      <c r="E413" s="105" t="s">
        <v>520</v>
      </c>
      <c r="F413" s="105" t="s">
        <v>546</v>
      </c>
      <c r="G413" s="105">
        <v>7</v>
      </c>
      <c r="H413" s="105">
        <v>164.49</v>
      </c>
      <c r="I413" s="105">
        <v>1151.43</v>
      </c>
      <c r="J413" s="105" t="s">
        <v>532</v>
      </c>
    </row>
    <row r="414" spans="2:10" ht="15" customHeight="1">
      <c r="B414" s="105">
        <v>407</v>
      </c>
      <c r="C414" s="135">
        <v>45136</v>
      </c>
      <c r="D414" s="105" t="s">
        <v>526</v>
      </c>
      <c r="E414" s="105" t="s">
        <v>527</v>
      </c>
      <c r="F414" s="105" t="s">
        <v>544</v>
      </c>
      <c r="G414" s="105">
        <v>6</v>
      </c>
      <c r="H414" s="105">
        <v>166.19</v>
      </c>
      <c r="I414" s="105">
        <v>997.14</v>
      </c>
      <c r="J414" s="105" t="s">
        <v>532</v>
      </c>
    </row>
    <row r="415" spans="2:10" ht="15" customHeight="1">
      <c r="B415" s="105">
        <v>408</v>
      </c>
      <c r="C415" s="135">
        <v>45034</v>
      </c>
      <c r="D415" s="105" t="s">
        <v>243</v>
      </c>
      <c r="E415" s="105" t="s">
        <v>527</v>
      </c>
      <c r="F415" s="105" t="s">
        <v>261</v>
      </c>
      <c r="G415" s="105">
        <v>1</v>
      </c>
      <c r="H415" s="105">
        <v>444.13</v>
      </c>
      <c r="I415" s="105">
        <v>444.13</v>
      </c>
      <c r="J415" s="105" t="s">
        <v>543</v>
      </c>
    </row>
    <row r="416" spans="2:10" ht="15" customHeight="1">
      <c r="B416" s="105">
        <v>409</v>
      </c>
      <c r="C416" s="135">
        <v>45096</v>
      </c>
      <c r="D416" s="105" t="s">
        <v>530</v>
      </c>
      <c r="E416" s="105" t="s">
        <v>527</v>
      </c>
      <c r="F416" s="105" t="s">
        <v>544</v>
      </c>
      <c r="G416" s="105">
        <v>2</v>
      </c>
      <c r="H416" s="105">
        <v>21.96</v>
      </c>
      <c r="I416" s="105">
        <v>43.92</v>
      </c>
      <c r="J416" s="105" t="s">
        <v>525</v>
      </c>
    </row>
    <row r="417" spans="2:10" ht="15" customHeight="1">
      <c r="B417" s="105">
        <v>410</v>
      </c>
      <c r="C417" s="135">
        <v>45173</v>
      </c>
      <c r="D417" s="105" t="s">
        <v>252</v>
      </c>
      <c r="E417" s="105" t="s">
        <v>520</v>
      </c>
      <c r="F417" s="105" t="s">
        <v>521</v>
      </c>
      <c r="G417" s="105">
        <v>2</v>
      </c>
      <c r="H417" s="105">
        <v>20.420000000000002</v>
      </c>
      <c r="I417" s="105">
        <v>40.840000000000003</v>
      </c>
      <c r="J417" s="105" t="s">
        <v>522</v>
      </c>
    </row>
    <row r="418" spans="2:10" ht="15" customHeight="1">
      <c r="B418" s="105">
        <v>411</v>
      </c>
      <c r="C418" s="135">
        <v>45153</v>
      </c>
      <c r="D418" s="105" t="s">
        <v>530</v>
      </c>
      <c r="E418" s="105" t="s">
        <v>520</v>
      </c>
      <c r="F418" s="105" t="s">
        <v>537</v>
      </c>
      <c r="G418" s="105">
        <v>2</v>
      </c>
      <c r="H418" s="105">
        <v>470.14</v>
      </c>
      <c r="I418" s="105">
        <v>940.28</v>
      </c>
      <c r="J418" s="105" t="s">
        <v>532</v>
      </c>
    </row>
    <row r="419" spans="2:10" ht="15" customHeight="1">
      <c r="B419" s="105">
        <v>412</v>
      </c>
      <c r="C419" s="135">
        <v>44955</v>
      </c>
      <c r="D419" s="105" t="s">
        <v>243</v>
      </c>
      <c r="E419" s="105" t="s">
        <v>520</v>
      </c>
      <c r="F419" s="105" t="s">
        <v>546</v>
      </c>
      <c r="G419" s="105">
        <v>7</v>
      </c>
      <c r="H419" s="105">
        <v>14.65</v>
      </c>
      <c r="I419" s="105">
        <v>102.55</v>
      </c>
      <c r="J419" s="105" t="s">
        <v>534</v>
      </c>
    </row>
    <row r="420" spans="2:10" ht="15" customHeight="1">
      <c r="B420" s="105">
        <v>413</v>
      </c>
      <c r="C420" s="135">
        <v>45171</v>
      </c>
      <c r="D420" s="105" t="s">
        <v>530</v>
      </c>
      <c r="E420" s="105" t="s">
        <v>520</v>
      </c>
      <c r="F420" s="105" t="s">
        <v>537</v>
      </c>
      <c r="G420" s="105">
        <v>1</v>
      </c>
      <c r="H420" s="105">
        <v>206.95</v>
      </c>
      <c r="I420" s="105">
        <v>206.95</v>
      </c>
      <c r="J420" s="105" t="s">
        <v>534</v>
      </c>
    </row>
    <row r="421" spans="2:10" ht="15" customHeight="1">
      <c r="B421" s="105">
        <v>414</v>
      </c>
      <c r="C421" s="135">
        <v>45162</v>
      </c>
      <c r="D421" s="105" t="s">
        <v>526</v>
      </c>
      <c r="E421" s="105" t="s">
        <v>520</v>
      </c>
      <c r="F421" s="105" t="s">
        <v>537</v>
      </c>
      <c r="G421" s="105">
        <v>9</v>
      </c>
      <c r="H421" s="105">
        <v>294.57</v>
      </c>
      <c r="I421" s="105">
        <v>2651.13</v>
      </c>
      <c r="J421" s="105" t="s">
        <v>529</v>
      </c>
    </row>
    <row r="422" spans="2:10" ht="15" customHeight="1">
      <c r="B422" s="105">
        <v>415</v>
      </c>
      <c r="C422" s="135">
        <v>45285</v>
      </c>
      <c r="D422" s="105" t="s">
        <v>243</v>
      </c>
      <c r="E422" s="105" t="s">
        <v>523</v>
      </c>
      <c r="F422" s="105" t="s">
        <v>531</v>
      </c>
      <c r="G422" s="105">
        <v>9</v>
      </c>
      <c r="H422" s="105">
        <v>386.45</v>
      </c>
      <c r="I422" s="105">
        <v>3478.05</v>
      </c>
      <c r="J422" s="105" t="s">
        <v>532</v>
      </c>
    </row>
    <row r="423" spans="2:10" ht="15" customHeight="1">
      <c r="B423" s="105">
        <v>416</v>
      </c>
      <c r="C423" s="135">
        <v>45103</v>
      </c>
      <c r="D423" s="105" t="s">
        <v>252</v>
      </c>
      <c r="E423" s="105" t="s">
        <v>527</v>
      </c>
      <c r="F423" s="105" t="s">
        <v>528</v>
      </c>
      <c r="G423" s="105">
        <v>4</v>
      </c>
      <c r="H423" s="105">
        <v>371.42</v>
      </c>
      <c r="I423" s="105">
        <v>1485.68</v>
      </c>
      <c r="J423" s="105" t="s">
        <v>522</v>
      </c>
    </row>
    <row r="424" spans="2:10" ht="15" customHeight="1">
      <c r="B424" s="105">
        <v>417</v>
      </c>
      <c r="C424" s="135">
        <v>45084</v>
      </c>
      <c r="D424" s="105" t="s">
        <v>530</v>
      </c>
      <c r="E424" s="105" t="s">
        <v>527</v>
      </c>
      <c r="F424" s="105" t="s">
        <v>544</v>
      </c>
      <c r="G424" s="105">
        <v>3</v>
      </c>
      <c r="H424" s="105">
        <v>238.98</v>
      </c>
      <c r="I424" s="105">
        <v>716.93999999999994</v>
      </c>
      <c r="J424" s="105" t="s">
        <v>525</v>
      </c>
    </row>
    <row r="425" spans="2:10" ht="15" customHeight="1">
      <c r="B425" s="105">
        <v>418</v>
      </c>
      <c r="C425" s="135">
        <v>45219</v>
      </c>
      <c r="D425" s="105" t="s">
        <v>530</v>
      </c>
      <c r="E425" s="105" t="s">
        <v>520</v>
      </c>
      <c r="F425" s="105" t="s">
        <v>193</v>
      </c>
      <c r="G425" s="105">
        <v>2</v>
      </c>
      <c r="H425" s="105">
        <v>155.19</v>
      </c>
      <c r="I425" s="105">
        <v>310.38</v>
      </c>
      <c r="J425" s="105" t="s">
        <v>534</v>
      </c>
    </row>
    <row r="426" spans="2:10" ht="15" customHeight="1">
      <c r="B426" s="105">
        <v>419</v>
      </c>
      <c r="C426" s="135">
        <v>44999</v>
      </c>
      <c r="D426" s="105" t="s">
        <v>526</v>
      </c>
      <c r="E426" s="105" t="s">
        <v>527</v>
      </c>
      <c r="F426" s="105" t="s">
        <v>539</v>
      </c>
      <c r="G426" s="105">
        <v>9</v>
      </c>
      <c r="H426" s="105">
        <v>145.86000000000001</v>
      </c>
      <c r="I426" s="105">
        <v>1312.74</v>
      </c>
      <c r="J426" s="105" t="s">
        <v>534</v>
      </c>
    </row>
    <row r="427" spans="2:10" ht="15" customHeight="1">
      <c r="B427" s="105">
        <v>420</v>
      </c>
      <c r="C427" s="135">
        <v>45066</v>
      </c>
      <c r="D427" s="105" t="s">
        <v>530</v>
      </c>
      <c r="E427" s="105" t="s">
        <v>527</v>
      </c>
      <c r="F427" s="105" t="s">
        <v>539</v>
      </c>
      <c r="G427" s="105">
        <v>1</v>
      </c>
      <c r="H427" s="105">
        <v>201.9</v>
      </c>
      <c r="I427" s="105">
        <v>201.9</v>
      </c>
      <c r="J427" s="105" t="s">
        <v>543</v>
      </c>
    </row>
    <row r="428" spans="2:10" ht="15" customHeight="1">
      <c r="B428" s="105">
        <v>421</v>
      </c>
      <c r="C428" s="135">
        <v>45124</v>
      </c>
      <c r="D428" s="105" t="s">
        <v>252</v>
      </c>
      <c r="E428" s="105" t="s">
        <v>527</v>
      </c>
      <c r="F428" s="105" t="s">
        <v>544</v>
      </c>
      <c r="G428" s="105">
        <v>5</v>
      </c>
      <c r="H428" s="105">
        <v>395.31</v>
      </c>
      <c r="I428" s="105">
        <v>1976.55</v>
      </c>
      <c r="J428" s="105" t="s">
        <v>533</v>
      </c>
    </row>
    <row r="429" spans="2:10" ht="15" customHeight="1">
      <c r="B429" s="105">
        <v>422</v>
      </c>
      <c r="C429" s="135">
        <v>45228</v>
      </c>
      <c r="D429" s="105" t="s">
        <v>252</v>
      </c>
      <c r="E429" s="105" t="s">
        <v>523</v>
      </c>
      <c r="F429" s="105" t="s">
        <v>542</v>
      </c>
      <c r="G429" s="105">
        <v>7</v>
      </c>
      <c r="H429" s="105">
        <v>440.77</v>
      </c>
      <c r="I429" s="105">
        <v>3085.39</v>
      </c>
      <c r="J429" s="105" t="s">
        <v>534</v>
      </c>
    </row>
    <row r="430" spans="2:10" ht="15" customHeight="1">
      <c r="B430" s="105">
        <v>423</v>
      </c>
      <c r="C430" s="135">
        <v>45259</v>
      </c>
      <c r="D430" s="105" t="s">
        <v>530</v>
      </c>
      <c r="E430" s="105" t="s">
        <v>523</v>
      </c>
      <c r="F430" s="105" t="s">
        <v>542</v>
      </c>
      <c r="G430" s="105">
        <v>8</v>
      </c>
      <c r="H430" s="105">
        <v>239.03</v>
      </c>
      <c r="I430" s="105">
        <v>1912.24</v>
      </c>
      <c r="J430" s="105" t="s">
        <v>522</v>
      </c>
    </row>
    <row r="431" spans="2:10" ht="15" customHeight="1">
      <c r="B431" s="105">
        <v>424</v>
      </c>
      <c r="C431" s="135">
        <v>44978</v>
      </c>
      <c r="D431" s="105" t="s">
        <v>243</v>
      </c>
      <c r="E431" s="105" t="s">
        <v>520</v>
      </c>
      <c r="F431" s="105" t="s">
        <v>521</v>
      </c>
      <c r="G431" s="105">
        <v>2</v>
      </c>
      <c r="H431" s="105">
        <v>91.85</v>
      </c>
      <c r="I431" s="105">
        <v>183.7</v>
      </c>
      <c r="J431" s="105" t="s">
        <v>525</v>
      </c>
    </row>
    <row r="432" spans="2:10" ht="15" customHeight="1">
      <c r="B432" s="105">
        <v>425</v>
      </c>
      <c r="C432" s="135">
        <v>45074</v>
      </c>
      <c r="D432" s="105" t="s">
        <v>530</v>
      </c>
      <c r="E432" s="105" t="s">
        <v>523</v>
      </c>
      <c r="F432" s="105" t="s">
        <v>542</v>
      </c>
      <c r="G432" s="105">
        <v>4</v>
      </c>
      <c r="H432" s="105">
        <v>123.52</v>
      </c>
      <c r="I432" s="105">
        <v>494.08</v>
      </c>
      <c r="J432" s="105" t="s">
        <v>532</v>
      </c>
    </row>
    <row r="433" spans="2:10" ht="15" customHeight="1">
      <c r="B433" s="105">
        <v>426</v>
      </c>
      <c r="C433" s="135">
        <v>45256</v>
      </c>
      <c r="D433" s="105" t="s">
        <v>530</v>
      </c>
      <c r="E433" s="105" t="s">
        <v>527</v>
      </c>
      <c r="F433" s="105" t="s">
        <v>539</v>
      </c>
      <c r="G433" s="105">
        <v>6</v>
      </c>
      <c r="H433" s="105">
        <v>307.79000000000002</v>
      </c>
      <c r="I433" s="105">
        <v>1846.74</v>
      </c>
      <c r="J433" s="105" t="s">
        <v>543</v>
      </c>
    </row>
    <row r="434" spans="2:10" ht="15" customHeight="1">
      <c r="B434" s="105">
        <v>427</v>
      </c>
      <c r="C434" s="135">
        <v>45167</v>
      </c>
      <c r="D434" s="105" t="s">
        <v>252</v>
      </c>
      <c r="E434" s="105" t="s">
        <v>523</v>
      </c>
      <c r="F434" s="105" t="s">
        <v>531</v>
      </c>
      <c r="G434" s="105">
        <v>2</v>
      </c>
      <c r="H434" s="105">
        <v>198.2</v>
      </c>
      <c r="I434" s="105">
        <v>396.4</v>
      </c>
      <c r="J434" s="105" t="s">
        <v>533</v>
      </c>
    </row>
    <row r="435" spans="2:10" ht="15" customHeight="1">
      <c r="B435" s="105">
        <v>428</v>
      </c>
      <c r="C435" s="135">
        <v>44931</v>
      </c>
      <c r="D435" s="105" t="s">
        <v>530</v>
      </c>
      <c r="E435" s="105" t="s">
        <v>523</v>
      </c>
      <c r="F435" s="105" t="s">
        <v>542</v>
      </c>
      <c r="G435" s="105">
        <v>3</v>
      </c>
      <c r="H435" s="105">
        <v>414.84</v>
      </c>
      <c r="I435" s="105">
        <v>1244.52</v>
      </c>
      <c r="J435" s="105" t="s">
        <v>543</v>
      </c>
    </row>
    <row r="436" spans="2:10" ht="15" customHeight="1">
      <c r="B436" s="105">
        <v>429</v>
      </c>
      <c r="C436" s="135">
        <v>45141</v>
      </c>
      <c r="D436" s="105" t="s">
        <v>526</v>
      </c>
      <c r="E436" s="105" t="s">
        <v>535</v>
      </c>
      <c r="F436" s="105" t="s">
        <v>541</v>
      </c>
      <c r="G436" s="105">
        <v>5</v>
      </c>
      <c r="H436" s="105">
        <v>318.58999999999997</v>
      </c>
      <c r="I436" s="105">
        <v>1592.95</v>
      </c>
      <c r="J436" s="105" t="s">
        <v>543</v>
      </c>
    </row>
    <row r="437" spans="2:10" ht="15" customHeight="1">
      <c r="B437" s="105">
        <v>430</v>
      </c>
      <c r="C437" s="135">
        <v>44946</v>
      </c>
      <c r="D437" s="105" t="s">
        <v>530</v>
      </c>
      <c r="E437" s="105" t="s">
        <v>520</v>
      </c>
      <c r="F437" s="105" t="s">
        <v>546</v>
      </c>
      <c r="G437" s="105">
        <v>1</v>
      </c>
      <c r="H437" s="105">
        <v>263.95</v>
      </c>
      <c r="I437" s="105">
        <v>263.95</v>
      </c>
      <c r="J437" s="105" t="s">
        <v>522</v>
      </c>
    </row>
    <row r="438" spans="2:10" ht="15" customHeight="1">
      <c r="B438" s="105">
        <v>431</v>
      </c>
      <c r="C438" s="135">
        <v>45104</v>
      </c>
      <c r="D438" s="105" t="s">
        <v>526</v>
      </c>
      <c r="E438" s="105" t="s">
        <v>535</v>
      </c>
      <c r="F438" s="105" t="s">
        <v>536</v>
      </c>
      <c r="G438" s="105">
        <v>1</v>
      </c>
      <c r="H438" s="105">
        <v>95.21</v>
      </c>
      <c r="I438" s="105">
        <v>95.21</v>
      </c>
      <c r="J438" s="105" t="s">
        <v>532</v>
      </c>
    </row>
    <row r="439" spans="2:10" ht="15" customHeight="1">
      <c r="B439" s="105">
        <v>432</v>
      </c>
      <c r="C439" s="135">
        <v>45142</v>
      </c>
      <c r="D439" s="105" t="s">
        <v>526</v>
      </c>
      <c r="E439" s="105" t="s">
        <v>535</v>
      </c>
      <c r="F439" s="105" t="s">
        <v>540</v>
      </c>
      <c r="G439" s="105">
        <v>2</v>
      </c>
      <c r="H439" s="105">
        <v>351.05</v>
      </c>
      <c r="I439" s="105">
        <v>702.1</v>
      </c>
      <c r="J439" s="105" t="s">
        <v>522</v>
      </c>
    </row>
    <row r="440" spans="2:10" ht="15" customHeight="1">
      <c r="B440" s="105">
        <v>433</v>
      </c>
      <c r="C440" s="135">
        <v>45195</v>
      </c>
      <c r="D440" s="105" t="s">
        <v>530</v>
      </c>
      <c r="E440" s="105" t="s">
        <v>535</v>
      </c>
      <c r="F440" s="105" t="s">
        <v>541</v>
      </c>
      <c r="G440" s="105">
        <v>3</v>
      </c>
      <c r="H440" s="105">
        <v>409.76</v>
      </c>
      <c r="I440" s="105">
        <v>1229.28</v>
      </c>
      <c r="J440" s="105" t="s">
        <v>522</v>
      </c>
    </row>
    <row r="441" spans="2:10" ht="15" customHeight="1">
      <c r="B441" s="105">
        <v>434</v>
      </c>
      <c r="C441" s="135">
        <v>45015</v>
      </c>
      <c r="D441" s="105" t="s">
        <v>526</v>
      </c>
      <c r="E441" s="105" t="s">
        <v>520</v>
      </c>
      <c r="F441" s="105" t="s">
        <v>521</v>
      </c>
      <c r="G441" s="105">
        <v>8</v>
      </c>
      <c r="H441" s="105">
        <v>376.46</v>
      </c>
      <c r="I441" s="105">
        <v>3011.68</v>
      </c>
      <c r="J441" s="105" t="s">
        <v>534</v>
      </c>
    </row>
    <row r="442" spans="2:10" ht="15" customHeight="1">
      <c r="B442" s="105">
        <v>435</v>
      </c>
      <c r="C442" s="135">
        <v>45283</v>
      </c>
      <c r="D442" s="105" t="s">
        <v>243</v>
      </c>
      <c r="E442" s="105" t="s">
        <v>535</v>
      </c>
      <c r="F442" s="105" t="s">
        <v>536</v>
      </c>
      <c r="G442" s="105">
        <v>9</v>
      </c>
      <c r="H442" s="105">
        <v>448.51</v>
      </c>
      <c r="I442" s="105">
        <v>4036.59</v>
      </c>
      <c r="J442" s="105" t="s">
        <v>529</v>
      </c>
    </row>
    <row r="443" spans="2:10" ht="15" customHeight="1">
      <c r="B443" s="105">
        <v>436</v>
      </c>
      <c r="C443" s="135">
        <v>45249</v>
      </c>
      <c r="D443" s="105" t="s">
        <v>252</v>
      </c>
      <c r="E443" s="105" t="s">
        <v>535</v>
      </c>
      <c r="F443" s="105" t="s">
        <v>540</v>
      </c>
      <c r="G443" s="105">
        <v>2</v>
      </c>
      <c r="H443" s="105">
        <v>234.14</v>
      </c>
      <c r="I443" s="105">
        <v>468.28</v>
      </c>
      <c r="J443" s="105" t="s">
        <v>533</v>
      </c>
    </row>
    <row r="444" spans="2:10" ht="15" customHeight="1">
      <c r="B444" s="105">
        <v>437</v>
      </c>
      <c r="C444" s="135">
        <v>45152</v>
      </c>
      <c r="D444" s="105" t="s">
        <v>530</v>
      </c>
      <c r="E444" s="105" t="s">
        <v>520</v>
      </c>
      <c r="F444" s="105" t="s">
        <v>193</v>
      </c>
      <c r="G444" s="105">
        <v>9</v>
      </c>
      <c r="H444" s="105">
        <v>31.74</v>
      </c>
      <c r="I444" s="105">
        <v>285.66000000000003</v>
      </c>
      <c r="J444" s="105" t="s">
        <v>525</v>
      </c>
    </row>
    <row r="445" spans="2:10" ht="15" customHeight="1">
      <c r="B445" s="105">
        <v>438</v>
      </c>
      <c r="C445" s="135">
        <v>44951</v>
      </c>
      <c r="D445" s="105" t="s">
        <v>526</v>
      </c>
      <c r="E445" s="105" t="s">
        <v>535</v>
      </c>
      <c r="F445" s="105" t="s">
        <v>541</v>
      </c>
      <c r="G445" s="105">
        <v>9</v>
      </c>
      <c r="H445" s="105">
        <v>171.24</v>
      </c>
      <c r="I445" s="105">
        <v>1541.16</v>
      </c>
      <c r="J445" s="105" t="s">
        <v>525</v>
      </c>
    </row>
    <row r="446" spans="2:10" ht="15" customHeight="1">
      <c r="B446" s="105">
        <v>439</v>
      </c>
      <c r="C446" s="135">
        <v>45152</v>
      </c>
      <c r="D446" s="105" t="s">
        <v>526</v>
      </c>
      <c r="E446" s="105" t="s">
        <v>527</v>
      </c>
      <c r="F446" s="105" t="s">
        <v>544</v>
      </c>
      <c r="G446" s="105">
        <v>5</v>
      </c>
      <c r="H446" s="105">
        <v>370.25</v>
      </c>
      <c r="I446" s="105">
        <v>1851.25</v>
      </c>
      <c r="J446" s="105" t="s">
        <v>522</v>
      </c>
    </row>
    <row r="447" spans="2:10" ht="15" customHeight="1">
      <c r="B447" s="105">
        <v>440</v>
      </c>
      <c r="C447" s="135">
        <v>44964</v>
      </c>
      <c r="D447" s="105" t="s">
        <v>526</v>
      </c>
      <c r="E447" s="105" t="s">
        <v>520</v>
      </c>
      <c r="F447" s="105" t="s">
        <v>193</v>
      </c>
      <c r="G447" s="105">
        <v>8</v>
      </c>
      <c r="H447" s="105">
        <v>133.80000000000001</v>
      </c>
      <c r="I447" s="105">
        <v>1070.4000000000001</v>
      </c>
      <c r="J447" s="105" t="s">
        <v>522</v>
      </c>
    </row>
    <row r="448" spans="2:10" ht="15" customHeight="1">
      <c r="B448" s="105">
        <v>441</v>
      </c>
      <c r="C448" s="135">
        <v>45102</v>
      </c>
      <c r="D448" s="105" t="s">
        <v>526</v>
      </c>
      <c r="E448" s="105" t="s">
        <v>523</v>
      </c>
      <c r="F448" s="105" t="s">
        <v>545</v>
      </c>
      <c r="G448" s="105">
        <v>8</v>
      </c>
      <c r="H448" s="105">
        <v>350.9</v>
      </c>
      <c r="I448" s="105">
        <v>2807.2</v>
      </c>
      <c r="J448" s="105" t="s">
        <v>534</v>
      </c>
    </row>
    <row r="449" spans="2:10" ht="15" customHeight="1">
      <c r="B449" s="105">
        <v>442</v>
      </c>
      <c r="C449" s="135">
        <v>45242</v>
      </c>
      <c r="D449" s="105" t="s">
        <v>526</v>
      </c>
      <c r="E449" s="105" t="s">
        <v>527</v>
      </c>
      <c r="F449" s="105" t="s">
        <v>261</v>
      </c>
      <c r="G449" s="105">
        <v>2</v>
      </c>
      <c r="H449" s="105">
        <v>49.71</v>
      </c>
      <c r="I449" s="105">
        <v>99.42</v>
      </c>
      <c r="J449" s="105" t="s">
        <v>532</v>
      </c>
    </row>
    <row r="450" spans="2:10" ht="15" customHeight="1">
      <c r="B450" s="105">
        <v>443</v>
      </c>
      <c r="C450" s="135">
        <v>45040</v>
      </c>
      <c r="D450" s="105" t="s">
        <v>530</v>
      </c>
      <c r="E450" s="105" t="s">
        <v>535</v>
      </c>
      <c r="F450" s="105" t="s">
        <v>540</v>
      </c>
      <c r="G450" s="105">
        <v>5</v>
      </c>
      <c r="H450" s="105">
        <v>495.82</v>
      </c>
      <c r="I450" s="105">
        <v>2479.1</v>
      </c>
      <c r="J450" s="105" t="s">
        <v>525</v>
      </c>
    </row>
    <row r="451" spans="2:10" ht="15" customHeight="1">
      <c r="B451" s="105">
        <v>444</v>
      </c>
      <c r="C451" s="135">
        <v>45244</v>
      </c>
      <c r="D451" s="105" t="s">
        <v>526</v>
      </c>
      <c r="E451" s="105" t="s">
        <v>527</v>
      </c>
      <c r="F451" s="105" t="s">
        <v>261</v>
      </c>
      <c r="G451" s="105">
        <v>8</v>
      </c>
      <c r="H451" s="105">
        <v>442.62</v>
      </c>
      <c r="I451" s="105">
        <v>3540.96</v>
      </c>
      <c r="J451" s="105" t="s">
        <v>534</v>
      </c>
    </row>
    <row r="452" spans="2:10" ht="15" customHeight="1">
      <c r="B452" s="105">
        <v>445</v>
      </c>
      <c r="C452" s="135">
        <v>44982</v>
      </c>
      <c r="D452" s="105" t="s">
        <v>243</v>
      </c>
      <c r="E452" s="105" t="s">
        <v>523</v>
      </c>
      <c r="F452" s="105" t="s">
        <v>545</v>
      </c>
      <c r="G452" s="105">
        <v>3</v>
      </c>
      <c r="H452" s="105">
        <v>414.09</v>
      </c>
      <c r="I452" s="105">
        <v>1242.27</v>
      </c>
      <c r="J452" s="105" t="s">
        <v>543</v>
      </c>
    </row>
    <row r="453" spans="2:10" ht="15" customHeight="1">
      <c r="B453" s="105">
        <v>446</v>
      </c>
      <c r="C453" s="135">
        <v>45273</v>
      </c>
      <c r="D453" s="105" t="s">
        <v>526</v>
      </c>
      <c r="E453" s="105" t="s">
        <v>523</v>
      </c>
      <c r="F453" s="105" t="s">
        <v>531</v>
      </c>
      <c r="G453" s="105">
        <v>8</v>
      </c>
      <c r="H453" s="105">
        <v>342.23</v>
      </c>
      <c r="I453" s="105">
        <v>2737.84</v>
      </c>
      <c r="J453" s="105" t="s">
        <v>522</v>
      </c>
    </row>
    <row r="454" spans="2:10" ht="15" customHeight="1">
      <c r="B454" s="105">
        <v>447</v>
      </c>
      <c r="C454" s="135">
        <v>45073</v>
      </c>
      <c r="D454" s="105" t="s">
        <v>252</v>
      </c>
      <c r="E454" s="105" t="s">
        <v>527</v>
      </c>
      <c r="F454" s="105" t="s">
        <v>261</v>
      </c>
      <c r="G454" s="105">
        <v>1</v>
      </c>
      <c r="H454" s="105">
        <v>440.53</v>
      </c>
      <c r="I454" s="105">
        <v>440.53</v>
      </c>
      <c r="J454" s="105" t="s">
        <v>534</v>
      </c>
    </row>
    <row r="455" spans="2:10" ht="15" customHeight="1">
      <c r="B455" s="105">
        <v>448</v>
      </c>
      <c r="C455" s="135">
        <v>44985</v>
      </c>
      <c r="D455" s="105" t="s">
        <v>530</v>
      </c>
      <c r="E455" s="105" t="s">
        <v>523</v>
      </c>
      <c r="F455" s="105" t="s">
        <v>545</v>
      </c>
      <c r="G455" s="105">
        <v>8</v>
      </c>
      <c r="H455" s="105">
        <v>130.19</v>
      </c>
      <c r="I455" s="105">
        <v>1041.52</v>
      </c>
      <c r="J455" s="105" t="s">
        <v>533</v>
      </c>
    </row>
    <row r="456" spans="2:10" ht="15" customHeight="1">
      <c r="B456" s="105">
        <v>449</v>
      </c>
      <c r="C456" s="135">
        <v>44971</v>
      </c>
      <c r="D456" s="105" t="s">
        <v>243</v>
      </c>
      <c r="E456" s="105" t="s">
        <v>527</v>
      </c>
      <c r="F456" s="105" t="s">
        <v>544</v>
      </c>
      <c r="G456" s="105">
        <v>9</v>
      </c>
      <c r="H456" s="105">
        <v>173.66</v>
      </c>
      <c r="I456" s="105">
        <v>1562.94</v>
      </c>
      <c r="J456" s="105" t="s">
        <v>543</v>
      </c>
    </row>
    <row r="457" spans="2:10" ht="15" customHeight="1">
      <c r="B457" s="105">
        <v>450</v>
      </c>
      <c r="C457" s="135">
        <v>45282</v>
      </c>
      <c r="D457" s="105" t="s">
        <v>530</v>
      </c>
      <c r="E457" s="105" t="s">
        <v>535</v>
      </c>
      <c r="F457" s="105" t="s">
        <v>536</v>
      </c>
      <c r="G457" s="105">
        <v>9</v>
      </c>
      <c r="H457" s="105">
        <v>465.74</v>
      </c>
      <c r="I457" s="105">
        <v>4191.66</v>
      </c>
      <c r="J457" s="105" t="s">
        <v>543</v>
      </c>
    </row>
    <row r="458" spans="2:10" ht="15" customHeight="1">
      <c r="B458" s="105">
        <v>451</v>
      </c>
      <c r="C458" s="135">
        <v>45059</v>
      </c>
      <c r="D458" s="105" t="s">
        <v>526</v>
      </c>
      <c r="E458" s="105" t="s">
        <v>535</v>
      </c>
      <c r="F458" s="105" t="s">
        <v>541</v>
      </c>
      <c r="G458" s="105">
        <v>6</v>
      </c>
      <c r="H458" s="105">
        <v>102.72</v>
      </c>
      <c r="I458" s="105">
        <v>616.31999999999994</v>
      </c>
      <c r="J458" s="105" t="s">
        <v>525</v>
      </c>
    </row>
    <row r="459" spans="2:10" ht="15" customHeight="1">
      <c r="B459" s="105">
        <v>452</v>
      </c>
      <c r="C459" s="135">
        <v>44949</v>
      </c>
      <c r="D459" s="105" t="s">
        <v>252</v>
      </c>
      <c r="E459" s="105" t="s">
        <v>523</v>
      </c>
      <c r="F459" s="105" t="s">
        <v>524</v>
      </c>
      <c r="G459" s="105">
        <v>9</v>
      </c>
      <c r="H459" s="105">
        <v>24.33</v>
      </c>
      <c r="I459" s="105">
        <v>218.97</v>
      </c>
      <c r="J459" s="105" t="s">
        <v>529</v>
      </c>
    </row>
    <row r="460" spans="2:10" ht="15" customHeight="1">
      <c r="B460" s="105">
        <v>453</v>
      </c>
      <c r="C460" s="135">
        <v>45008</v>
      </c>
      <c r="D460" s="105" t="s">
        <v>526</v>
      </c>
      <c r="E460" s="105" t="s">
        <v>520</v>
      </c>
      <c r="F460" s="105" t="s">
        <v>521</v>
      </c>
      <c r="G460" s="105">
        <v>5</v>
      </c>
      <c r="H460" s="105">
        <v>374.32</v>
      </c>
      <c r="I460" s="105">
        <v>1871.6</v>
      </c>
      <c r="J460" s="105" t="s">
        <v>533</v>
      </c>
    </row>
    <row r="461" spans="2:10" ht="15" customHeight="1">
      <c r="B461" s="105">
        <v>454</v>
      </c>
      <c r="C461" s="135">
        <v>45003</v>
      </c>
      <c r="D461" s="105" t="s">
        <v>243</v>
      </c>
      <c r="E461" s="105" t="s">
        <v>520</v>
      </c>
      <c r="F461" s="105" t="s">
        <v>193</v>
      </c>
      <c r="G461" s="105">
        <v>4</v>
      </c>
      <c r="H461" s="105">
        <v>282.52999999999997</v>
      </c>
      <c r="I461" s="105">
        <v>1130.1199999999999</v>
      </c>
      <c r="J461" s="105" t="s">
        <v>522</v>
      </c>
    </row>
    <row r="462" spans="2:10" ht="15" customHeight="1">
      <c r="B462" s="105">
        <v>455</v>
      </c>
      <c r="C462" s="135">
        <v>44939</v>
      </c>
      <c r="D462" s="105" t="s">
        <v>252</v>
      </c>
      <c r="E462" s="105" t="s">
        <v>527</v>
      </c>
      <c r="F462" s="105" t="s">
        <v>528</v>
      </c>
      <c r="G462" s="105">
        <v>7</v>
      </c>
      <c r="H462" s="105">
        <v>104.64</v>
      </c>
      <c r="I462" s="105">
        <v>732.48</v>
      </c>
      <c r="J462" s="105" t="s">
        <v>525</v>
      </c>
    </row>
    <row r="463" spans="2:10" ht="15" customHeight="1">
      <c r="B463" s="105">
        <v>456</v>
      </c>
      <c r="C463" s="135">
        <v>45286</v>
      </c>
      <c r="D463" s="105" t="s">
        <v>530</v>
      </c>
      <c r="E463" s="105" t="s">
        <v>527</v>
      </c>
      <c r="F463" s="105" t="s">
        <v>544</v>
      </c>
      <c r="G463" s="105">
        <v>1</v>
      </c>
      <c r="H463" s="105">
        <v>284.32</v>
      </c>
      <c r="I463" s="105">
        <v>284.32</v>
      </c>
      <c r="J463" s="105" t="s">
        <v>532</v>
      </c>
    </row>
    <row r="464" spans="2:10" ht="15" customHeight="1">
      <c r="B464" s="105">
        <v>457</v>
      </c>
      <c r="C464" s="135">
        <v>45270</v>
      </c>
      <c r="D464" s="105" t="s">
        <v>243</v>
      </c>
      <c r="E464" s="105" t="s">
        <v>520</v>
      </c>
      <c r="F464" s="105" t="s">
        <v>521</v>
      </c>
      <c r="G464" s="105">
        <v>2</v>
      </c>
      <c r="H464" s="105">
        <v>320.66000000000003</v>
      </c>
      <c r="I464" s="105">
        <v>641.32000000000005</v>
      </c>
      <c r="J464" s="105" t="s">
        <v>529</v>
      </c>
    </row>
    <row r="465" spans="2:10" ht="15" customHeight="1">
      <c r="B465" s="105">
        <v>458</v>
      </c>
      <c r="C465" s="135">
        <v>45000</v>
      </c>
      <c r="D465" s="105" t="s">
        <v>530</v>
      </c>
      <c r="E465" s="105" t="s">
        <v>527</v>
      </c>
      <c r="F465" s="105" t="s">
        <v>539</v>
      </c>
      <c r="G465" s="105">
        <v>3</v>
      </c>
      <c r="H465" s="105">
        <v>72.94</v>
      </c>
      <c r="I465" s="105">
        <v>218.82</v>
      </c>
      <c r="J465" s="105" t="s">
        <v>525</v>
      </c>
    </row>
    <row r="466" spans="2:10" ht="15" customHeight="1">
      <c r="B466" s="105">
        <v>459</v>
      </c>
      <c r="C466" s="135">
        <v>45245</v>
      </c>
      <c r="D466" s="105" t="s">
        <v>530</v>
      </c>
      <c r="E466" s="105" t="s">
        <v>535</v>
      </c>
      <c r="F466" s="105" t="s">
        <v>538</v>
      </c>
      <c r="G466" s="105">
        <v>9</v>
      </c>
      <c r="H466" s="105">
        <v>481.87</v>
      </c>
      <c r="I466" s="105">
        <v>4336.83</v>
      </c>
      <c r="J466" s="105" t="s">
        <v>534</v>
      </c>
    </row>
    <row r="467" spans="2:10" ht="15" customHeight="1">
      <c r="B467" s="105">
        <v>460</v>
      </c>
      <c r="C467" s="135">
        <v>45122</v>
      </c>
      <c r="D467" s="105" t="s">
        <v>526</v>
      </c>
      <c r="E467" s="105" t="s">
        <v>535</v>
      </c>
      <c r="F467" s="105" t="s">
        <v>541</v>
      </c>
      <c r="G467" s="105">
        <v>5</v>
      </c>
      <c r="H467" s="105">
        <v>60.23</v>
      </c>
      <c r="I467" s="105">
        <v>301.14999999999998</v>
      </c>
      <c r="J467" s="105" t="s">
        <v>534</v>
      </c>
    </row>
    <row r="468" spans="2:10" ht="15" customHeight="1">
      <c r="B468" s="105">
        <v>461</v>
      </c>
      <c r="C468" s="135">
        <v>45168</v>
      </c>
      <c r="D468" s="105" t="s">
        <v>530</v>
      </c>
      <c r="E468" s="105" t="s">
        <v>535</v>
      </c>
      <c r="F468" s="105" t="s">
        <v>541</v>
      </c>
      <c r="G468" s="105">
        <v>4</v>
      </c>
      <c r="H468" s="105">
        <v>347.06</v>
      </c>
      <c r="I468" s="105">
        <v>1388.24</v>
      </c>
      <c r="J468" s="105" t="s">
        <v>529</v>
      </c>
    </row>
    <row r="469" spans="2:10" ht="15" customHeight="1">
      <c r="B469" s="105">
        <v>462</v>
      </c>
      <c r="C469" s="135">
        <v>44943</v>
      </c>
      <c r="D469" s="105" t="s">
        <v>243</v>
      </c>
      <c r="E469" s="105" t="s">
        <v>527</v>
      </c>
      <c r="F469" s="105" t="s">
        <v>261</v>
      </c>
      <c r="G469" s="105">
        <v>4</v>
      </c>
      <c r="H469" s="105">
        <v>157.47</v>
      </c>
      <c r="I469" s="105">
        <v>629.88</v>
      </c>
      <c r="J469" s="105" t="s">
        <v>543</v>
      </c>
    </row>
    <row r="470" spans="2:10" ht="15" customHeight="1">
      <c r="B470" s="105">
        <v>463</v>
      </c>
      <c r="C470" s="135">
        <v>45119</v>
      </c>
      <c r="D470" s="105" t="s">
        <v>530</v>
      </c>
      <c r="E470" s="105" t="s">
        <v>523</v>
      </c>
      <c r="F470" s="105" t="s">
        <v>545</v>
      </c>
      <c r="G470" s="105">
        <v>6</v>
      </c>
      <c r="H470" s="105">
        <v>357.2</v>
      </c>
      <c r="I470" s="105">
        <v>2143.1999999999998</v>
      </c>
      <c r="J470" s="105" t="s">
        <v>532</v>
      </c>
    </row>
    <row r="471" spans="2:10" ht="15" customHeight="1">
      <c r="B471" s="105">
        <v>464</v>
      </c>
      <c r="C471" s="135">
        <v>45136</v>
      </c>
      <c r="D471" s="105" t="s">
        <v>530</v>
      </c>
      <c r="E471" s="105" t="s">
        <v>535</v>
      </c>
      <c r="F471" s="105" t="s">
        <v>536</v>
      </c>
      <c r="G471" s="105">
        <v>6</v>
      </c>
      <c r="H471" s="105">
        <v>314.25</v>
      </c>
      <c r="I471" s="105">
        <v>1885.5</v>
      </c>
      <c r="J471" s="105" t="s">
        <v>534</v>
      </c>
    </row>
    <row r="472" spans="2:10" ht="15" customHeight="1">
      <c r="B472" s="105">
        <v>465</v>
      </c>
      <c r="C472" s="135">
        <v>45101</v>
      </c>
      <c r="D472" s="105" t="s">
        <v>526</v>
      </c>
      <c r="E472" s="105" t="s">
        <v>535</v>
      </c>
      <c r="F472" s="105" t="s">
        <v>541</v>
      </c>
      <c r="G472" s="105">
        <v>2</v>
      </c>
      <c r="H472" s="105">
        <v>495.17</v>
      </c>
      <c r="I472" s="105">
        <v>990.34</v>
      </c>
      <c r="J472" s="105" t="s">
        <v>525</v>
      </c>
    </row>
    <row r="473" spans="2:10" ht="15" customHeight="1">
      <c r="B473" s="105">
        <v>466</v>
      </c>
      <c r="C473" s="135">
        <v>44933</v>
      </c>
      <c r="D473" s="105" t="s">
        <v>530</v>
      </c>
      <c r="E473" s="105" t="s">
        <v>523</v>
      </c>
      <c r="F473" s="105" t="s">
        <v>545</v>
      </c>
      <c r="G473" s="105">
        <v>4</v>
      </c>
      <c r="H473" s="105">
        <v>327.31</v>
      </c>
      <c r="I473" s="105">
        <v>1309.24</v>
      </c>
      <c r="J473" s="105" t="s">
        <v>533</v>
      </c>
    </row>
    <row r="474" spans="2:10" ht="15" customHeight="1">
      <c r="B474" s="105">
        <v>467</v>
      </c>
      <c r="C474" s="135">
        <v>45005</v>
      </c>
      <c r="D474" s="105" t="s">
        <v>526</v>
      </c>
      <c r="E474" s="105" t="s">
        <v>527</v>
      </c>
      <c r="F474" s="105" t="s">
        <v>544</v>
      </c>
      <c r="G474" s="105">
        <v>1</v>
      </c>
      <c r="H474" s="105">
        <v>168.57</v>
      </c>
      <c r="I474" s="105">
        <v>168.57</v>
      </c>
      <c r="J474" s="105" t="s">
        <v>533</v>
      </c>
    </row>
    <row r="475" spans="2:10" ht="15" customHeight="1">
      <c r="B475" s="105">
        <v>468</v>
      </c>
      <c r="C475" s="135">
        <v>44952</v>
      </c>
      <c r="D475" s="105" t="s">
        <v>526</v>
      </c>
      <c r="E475" s="105" t="s">
        <v>527</v>
      </c>
      <c r="F475" s="105" t="s">
        <v>528</v>
      </c>
      <c r="G475" s="105">
        <v>3</v>
      </c>
      <c r="H475" s="105">
        <v>133.72999999999999</v>
      </c>
      <c r="I475" s="105">
        <v>401.18999999999988</v>
      </c>
      <c r="J475" s="105" t="s">
        <v>543</v>
      </c>
    </row>
    <row r="476" spans="2:10" ht="15" customHeight="1">
      <c r="B476" s="105">
        <v>469</v>
      </c>
      <c r="C476" s="135">
        <v>45211</v>
      </c>
      <c r="D476" s="105" t="s">
        <v>530</v>
      </c>
      <c r="E476" s="105" t="s">
        <v>523</v>
      </c>
      <c r="F476" s="105" t="s">
        <v>524</v>
      </c>
      <c r="G476" s="105">
        <v>2</v>
      </c>
      <c r="H476" s="105">
        <v>144.08000000000001</v>
      </c>
      <c r="I476" s="105">
        <v>288.16000000000003</v>
      </c>
      <c r="J476" s="105" t="s">
        <v>534</v>
      </c>
    </row>
    <row r="477" spans="2:10" ht="15" customHeight="1">
      <c r="B477" s="105">
        <v>470</v>
      </c>
      <c r="C477" s="135">
        <v>44965</v>
      </c>
      <c r="D477" s="105" t="s">
        <v>243</v>
      </c>
      <c r="E477" s="105" t="s">
        <v>535</v>
      </c>
      <c r="F477" s="105" t="s">
        <v>540</v>
      </c>
      <c r="G477" s="105">
        <v>4</v>
      </c>
      <c r="H477" s="105">
        <v>218.83</v>
      </c>
      <c r="I477" s="105">
        <v>875.32</v>
      </c>
      <c r="J477" s="105" t="s">
        <v>529</v>
      </c>
    </row>
    <row r="478" spans="2:10" ht="15" customHeight="1">
      <c r="B478" s="105">
        <v>471</v>
      </c>
      <c r="C478" s="135">
        <v>45001</v>
      </c>
      <c r="D478" s="105" t="s">
        <v>530</v>
      </c>
      <c r="E478" s="105" t="s">
        <v>520</v>
      </c>
      <c r="F478" s="105" t="s">
        <v>193</v>
      </c>
      <c r="G478" s="105">
        <v>7</v>
      </c>
      <c r="H478" s="105">
        <v>414.7</v>
      </c>
      <c r="I478" s="105">
        <v>2902.9</v>
      </c>
      <c r="J478" s="105" t="s">
        <v>534</v>
      </c>
    </row>
    <row r="479" spans="2:10" ht="15" customHeight="1">
      <c r="B479" s="105">
        <v>472</v>
      </c>
      <c r="C479" s="135">
        <v>45101</v>
      </c>
      <c r="D479" s="105" t="s">
        <v>243</v>
      </c>
      <c r="E479" s="105" t="s">
        <v>535</v>
      </c>
      <c r="F479" s="105" t="s">
        <v>540</v>
      </c>
      <c r="G479" s="105">
        <v>4</v>
      </c>
      <c r="H479" s="105">
        <v>421.57</v>
      </c>
      <c r="I479" s="105">
        <v>1686.28</v>
      </c>
      <c r="J479" s="105" t="s">
        <v>543</v>
      </c>
    </row>
    <row r="480" spans="2:10" ht="15" customHeight="1">
      <c r="B480" s="105">
        <v>473</v>
      </c>
      <c r="C480" s="135">
        <v>44953</v>
      </c>
      <c r="D480" s="105" t="s">
        <v>252</v>
      </c>
      <c r="E480" s="105" t="s">
        <v>523</v>
      </c>
      <c r="F480" s="105" t="s">
        <v>531</v>
      </c>
      <c r="G480" s="105">
        <v>4</v>
      </c>
      <c r="H480" s="105">
        <v>330.71</v>
      </c>
      <c r="I480" s="105">
        <v>1322.84</v>
      </c>
      <c r="J480" s="105" t="s">
        <v>532</v>
      </c>
    </row>
    <row r="481" spans="2:10" ht="15" customHeight="1">
      <c r="B481" s="105">
        <v>474</v>
      </c>
      <c r="C481" s="135">
        <v>45162</v>
      </c>
      <c r="D481" s="105" t="s">
        <v>526</v>
      </c>
      <c r="E481" s="105" t="s">
        <v>520</v>
      </c>
      <c r="F481" s="105" t="s">
        <v>537</v>
      </c>
      <c r="G481" s="105">
        <v>3</v>
      </c>
      <c r="H481" s="105">
        <v>475.92</v>
      </c>
      <c r="I481" s="105">
        <v>1427.76</v>
      </c>
      <c r="J481" s="105" t="s">
        <v>532</v>
      </c>
    </row>
    <row r="482" spans="2:10" ht="15" customHeight="1">
      <c r="B482" s="105">
        <v>475</v>
      </c>
      <c r="C482" s="135">
        <v>44947</v>
      </c>
      <c r="D482" s="105" t="s">
        <v>530</v>
      </c>
      <c r="E482" s="105" t="s">
        <v>523</v>
      </c>
      <c r="F482" s="105" t="s">
        <v>545</v>
      </c>
      <c r="G482" s="105">
        <v>8</v>
      </c>
      <c r="H482" s="105">
        <v>221.84</v>
      </c>
      <c r="I482" s="105">
        <v>1774.72</v>
      </c>
      <c r="J482" s="105" t="s">
        <v>534</v>
      </c>
    </row>
    <row r="483" spans="2:10" ht="15" customHeight="1">
      <c r="B483" s="105">
        <v>476</v>
      </c>
      <c r="C483" s="135">
        <v>45188</v>
      </c>
      <c r="D483" s="105" t="s">
        <v>252</v>
      </c>
      <c r="E483" s="105" t="s">
        <v>527</v>
      </c>
      <c r="F483" s="105" t="s">
        <v>544</v>
      </c>
      <c r="G483" s="105">
        <v>5</v>
      </c>
      <c r="H483" s="105">
        <v>322.88</v>
      </c>
      <c r="I483" s="105">
        <v>1614.4</v>
      </c>
      <c r="J483" s="105" t="s">
        <v>522</v>
      </c>
    </row>
    <row r="484" spans="2:10" ht="15" customHeight="1">
      <c r="B484" s="105">
        <v>477</v>
      </c>
      <c r="C484" s="135">
        <v>45183</v>
      </c>
      <c r="D484" s="105" t="s">
        <v>530</v>
      </c>
      <c r="E484" s="105" t="s">
        <v>523</v>
      </c>
      <c r="F484" s="105" t="s">
        <v>531</v>
      </c>
      <c r="G484" s="105">
        <v>3</v>
      </c>
      <c r="H484" s="105">
        <v>144.37</v>
      </c>
      <c r="I484" s="105">
        <v>433.11</v>
      </c>
      <c r="J484" s="105" t="s">
        <v>522</v>
      </c>
    </row>
    <row r="485" spans="2:10" ht="15" customHeight="1">
      <c r="B485" s="105">
        <v>478</v>
      </c>
      <c r="C485" s="135">
        <v>45089</v>
      </c>
      <c r="D485" s="105" t="s">
        <v>252</v>
      </c>
      <c r="E485" s="105" t="s">
        <v>527</v>
      </c>
      <c r="F485" s="105" t="s">
        <v>544</v>
      </c>
      <c r="G485" s="105">
        <v>6</v>
      </c>
      <c r="H485" s="105">
        <v>122.68</v>
      </c>
      <c r="I485" s="105">
        <v>736.08</v>
      </c>
      <c r="J485" s="105" t="s">
        <v>529</v>
      </c>
    </row>
    <row r="486" spans="2:10" ht="15" customHeight="1">
      <c r="B486" s="105">
        <v>479</v>
      </c>
      <c r="C486" s="135">
        <v>44938</v>
      </c>
      <c r="D486" s="105" t="s">
        <v>530</v>
      </c>
      <c r="E486" s="105" t="s">
        <v>535</v>
      </c>
      <c r="F486" s="105" t="s">
        <v>541</v>
      </c>
      <c r="G486" s="105">
        <v>1</v>
      </c>
      <c r="H486" s="105">
        <v>329.32</v>
      </c>
      <c r="I486" s="105">
        <v>329.32</v>
      </c>
      <c r="J486" s="105" t="s">
        <v>534</v>
      </c>
    </row>
    <row r="487" spans="2:10" ht="15" customHeight="1">
      <c r="B487" s="105">
        <v>480</v>
      </c>
      <c r="C487" s="135">
        <v>45134</v>
      </c>
      <c r="D487" s="105" t="s">
        <v>252</v>
      </c>
      <c r="E487" s="105" t="s">
        <v>523</v>
      </c>
      <c r="F487" s="105" t="s">
        <v>545</v>
      </c>
      <c r="G487" s="105">
        <v>2</v>
      </c>
      <c r="H487" s="105">
        <v>433.54</v>
      </c>
      <c r="I487" s="105">
        <v>867.08</v>
      </c>
      <c r="J487" s="105" t="s">
        <v>532</v>
      </c>
    </row>
    <row r="488" spans="2:10" ht="15" customHeight="1">
      <c r="B488" s="105">
        <v>481</v>
      </c>
      <c r="C488" s="135">
        <v>45071</v>
      </c>
      <c r="D488" s="105" t="s">
        <v>243</v>
      </c>
      <c r="E488" s="105" t="s">
        <v>527</v>
      </c>
      <c r="F488" s="105" t="s">
        <v>539</v>
      </c>
      <c r="G488" s="105">
        <v>8</v>
      </c>
      <c r="H488" s="105">
        <v>88.03</v>
      </c>
      <c r="I488" s="105">
        <v>704.24</v>
      </c>
      <c r="J488" s="105" t="s">
        <v>533</v>
      </c>
    </row>
    <row r="489" spans="2:10" ht="15" customHeight="1">
      <c r="B489" s="105">
        <v>482</v>
      </c>
      <c r="C489" s="135">
        <v>44953</v>
      </c>
      <c r="D489" s="105" t="s">
        <v>530</v>
      </c>
      <c r="E489" s="105" t="s">
        <v>535</v>
      </c>
      <c r="F489" s="105" t="s">
        <v>541</v>
      </c>
      <c r="G489" s="105">
        <v>5</v>
      </c>
      <c r="H489" s="105">
        <v>85.29</v>
      </c>
      <c r="I489" s="105">
        <v>426.45</v>
      </c>
      <c r="J489" s="105" t="s">
        <v>543</v>
      </c>
    </row>
    <row r="490" spans="2:10" ht="15" customHeight="1">
      <c r="B490" s="105">
        <v>483</v>
      </c>
      <c r="C490" s="135">
        <v>45275</v>
      </c>
      <c r="D490" s="105" t="s">
        <v>252</v>
      </c>
      <c r="E490" s="105" t="s">
        <v>535</v>
      </c>
      <c r="F490" s="105" t="s">
        <v>540</v>
      </c>
      <c r="G490" s="105">
        <v>2</v>
      </c>
      <c r="H490" s="105">
        <v>382.9</v>
      </c>
      <c r="I490" s="105">
        <v>765.8</v>
      </c>
      <c r="J490" s="105" t="s">
        <v>522</v>
      </c>
    </row>
    <row r="491" spans="2:10" ht="15" customHeight="1">
      <c r="B491" s="105">
        <v>484</v>
      </c>
      <c r="C491" s="135">
        <v>44972</v>
      </c>
      <c r="D491" s="105" t="s">
        <v>526</v>
      </c>
      <c r="E491" s="105" t="s">
        <v>523</v>
      </c>
      <c r="F491" s="105" t="s">
        <v>545</v>
      </c>
      <c r="G491" s="105">
        <v>5</v>
      </c>
      <c r="H491" s="105">
        <v>456.8</v>
      </c>
      <c r="I491" s="105">
        <v>2284</v>
      </c>
      <c r="J491" s="105" t="s">
        <v>534</v>
      </c>
    </row>
    <row r="492" spans="2:10" ht="15" customHeight="1">
      <c r="B492" s="105">
        <v>485</v>
      </c>
      <c r="C492" s="135">
        <v>45199</v>
      </c>
      <c r="D492" s="105" t="s">
        <v>530</v>
      </c>
      <c r="E492" s="105" t="s">
        <v>520</v>
      </c>
      <c r="F492" s="105" t="s">
        <v>546</v>
      </c>
      <c r="G492" s="105">
        <v>9</v>
      </c>
      <c r="H492" s="105">
        <v>10.6</v>
      </c>
      <c r="I492" s="105">
        <v>95.399999999999991</v>
      </c>
      <c r="J492" s="105" t="s">
        <v>532</v>
      </c>
    </row>
    <row r="493" spans="2:10" ht="15" customHeight="1">
      <c r="B493" s="105">
        <v>486</v>
      </c>
      <c r="C493" s="135">
        <v>45092</v>
      </c>
      <c r="D493" s="105" t="s">
        <v>243</v>
      </c>
      <c r="E493" s="105" t="s">
        <v>520</v>
      </c>
      <c r="F493" s="105" t="s">
        <v>193</v>
      </c>
      <c r="G493" s="105">
        <v>4</v>
      </c>
      <c r="H493" s="105">
        <v>220.85</v>
      </c>
      <c r="I493" s="105">
        <v>883.4</v>
      </c>
      <c r="J493" s="105" t="s">
        <v>534</v>
      </c>
    </row>
    <row r="494" spans="2:10" ht="15" customHeight="1">
      <c r="B494" s="105">
        <v>487</v>
      </c>
      <c r="C494" s="135">
        <v>45140</v>
      </c>
      <c r="D494" s="105" t="s">
        <v>530</v>
      </c>
      <c r="E494" s="105" t="s">
        <v>535</v>
      </c>
      <c r="F494" s="105" t="s">
        <v>540</v>
      </c>
      <c r="G494" s="105">
        <v>9</v>
      </c>
      <c r="H494" s="105">
        <v>88.8</v>
      </c>
      <c r="I494" s="105">
        <v>799.19999999999993</v>
      </c>
      <c r="J494" s="105" t="s">
        <v>533</v>
      </c>
    </row>
    <row r="495" spans="2:10" ht="15" customHeight="1">
      <c r="B495" s="105">
        <v>488</v>
      </c>
      <c r="C495" s="135">
        <v>45270</v>
      </c>
      <c r="D495" s="105" t="s">
        <v>530</v>
      </c>
      <c r="E495" s="105" t="s">
        <v>527</v>
      </c>
      <c r="F495" s="105" t="s">
        <v>261</v>
      </c>
      <c r="G495" s="105">
        <v>6</v>
      </c>
      <c r="H495" s="105">
        <v>169.7</v>
      </c>
      <c r="I495" s="105">
        <v>1018.2</v>
      </c>
      <c r="J495" s="105" t="s">
        <v>522</v>
      </c>
    </row>
    <row r="496" spans="2:10" ht="15" customHeight="1">
      <c r="B496" s="105">
        <v>489</v>
      </c>
      <c r="C496" s="135">
        <v>45131</v>
      </c>
      <c r="D496" s="105" t="s">
        <v>243</v>
      </c>
      <c r="E496" s="105" t="s">
        <v>523</v>
      </c>
      <c r="F496" s="105" t="s">
        <v>524</v>
      </c>
      <c r="G496" s="105">
        <v>8</v>
      </c>
      <c r="H496" s="105">
        <v>162.08000000000001</v>
      </c>
      <c r="I496" s="105">
        <v>1296.6400000000001</v>
      </c>
      <c r="J496" s="105" t="s">
        <v>529</v>
      </c>
    </row>
    <row r="497" spans="2:10" ht="15" customHeight="1">
      <c r="B497" s="105">
        <v>490</v>
      </c>
      <c r="C497" s="135">
        <v>45200</v>
      </c>
      <c r="D497" s="105" t="s">
        <v>526</v>
      </c>
      <c r="E497" s="105" t="s">
        <v>520</v>
      </c>
      <c r="F497" s="105" t="s">
        <v>546</v>
      </c>
      <c r="G497" s="105">
        <v>1</v>
      </c>
      <c r="H497" s="105">
        <v>15.69</v>
      </c>
      <c r="I497" s="105">
        <v>15.69</v>
      </c>
      <c r="J497" s="105" t="s">
        <v>522</v>
      </c>
    </row>
    <row r="498" spans="2:10" ht="15" customHeight="1">
      <c r="B498" s="105">
        <v>491</v>
      </c>
      <c r="C498" s="135">
        <v>45021</v>
      </c>
      <c r="D498" s="105" t="s">
        <v>530</v>
      </c>
      <c r="E498" s="105" t="s">
        <v>527</v>
      </c>
      <c r="F498" s="105" t="s">
        <v>539</v>
      </c>
      <c r="G498" s="105">
        <v>2</v>
      </c>
      <c r="H498" s="105">
        <v>245.17</v>
      </c>
      <c r="I498" s="105">
        <v>490.34</v>
      </c>
      <c r="J498" s="105" t="s">
        <v>522</v>
      </c>
    </row>
    <row r="499" spans="2:10" ht="15" customHeight="1">
      <c r="B499" s="105">
        <v>492</v>
      </c>
      <c r="C499" s="135">
        <v>45227</v>
      </c>
      <c r="D499" s="105" t="s">
        <v>252</v>
      </c>
      <c r="E499" s="105" t="s">
        <v>520</v>
      </c>
      <c r="F499" s="105" t="s">
        <v>537</v>
      </c>
      <c r="G499" s="105">
        <v>6</v>
      </c>
      <c r="H499" s="105">
        <v>152.91</v>
      </c>
      <c r="I499" s="105">
        <v>917.46</v>
      </c>
      <c r="J499" s="105" t="s">
        <v>532</v>
      </c>
    </row>
    <row r="500" spans="2:10" ht="15" customHeight="1">
      <c r="B500" s="105">
        <v>493</v>
      </c>
      <c r="C500" s="135">
        <v>45028</v>
      </c>
      <c r="D500" s="105" t="s">
        <v>243</v>
      </c>
      <c r="E500" s="105" t="s">
        <v>527</v>
      </c>
      <c r="F500" s="105" t="s">
        <v>539</v>
      </c>
      <c r="G500" s="105">
        <v>9</v>
      </c>
      <c r="H500" s="105">
        <v>431.46</v>
      </c>
      <c r="I500" s="105">
        <v>3883.14</v>
      </c>
      <c r="J500" s="105" t="s">
        <v>533</v>
      </c>
    </row>
    <row r="501" spans="2:10" ht="15" customHeight="1">
      <c r="B501" s="105">
        <v>494</v>
      </c>
      <c r="C501" s="135">
        <v>45140</v>
      </c>
      <c r="D501" s="105" t="s">
        <v>243</v>
      </c>
      <c r="E501" s="105" t="s">
        <v>535</v>
      </c>
      <c r="F501" s="105" t="s">
        <v>541</v>
      </c>
      <c r="G501" s="105">
        <v>9</v>
      </c>
      <c r="H501" s="105">
        <v>29.41</v>
      </c>
      <c r="I501" s="105">
        <v>264.69</v>
      </c>
      <c r="J501" s="105" t="s">
        <v>522</v>
      </c>
    </row>
    <row r="502" spans="2:10" ht="15" customHeight="1">
      <c r="B502" s="105">
        <v>495</v>
      </c>
      <c r="C502" s="135">
        <v>45002</v>
      </c>
      <c r="D502" s="105" t="s">
        <v>530</v>
      </c>
      <c r="E502" s="105" t="s">
        <v>523</v>
      </c>
      <c r="F502" s="105" t="s">
        <v>531</v>
      </c>
      <c r="G502" s="105">
        <v>3</v>
      </c>
      <c r="H502" s="105">
        <v>61.42</v>
      </c>
      <c r="I502" s="105">
        <v>184.26</v>
      </c>
      <c r="J502" s="105" t="s">
        <v>525</v>
      </c>
    </row>
    <row r="503" spans="2:10" ht="15" customHeight="1">
      <c r="B503" s="105">
        <v>496</v>
      </c>
      <c r="C503" s="135">
        <v>45006</v>
      </c>
      <c r="D503" s="105" t="s">
        <v>243</v>
      </c>
      <c r="E503" s="105" t="s">
        <v>520</v>
      </c>
      <c r="F503" s="105" t="s">
        <v>193</v>
      </c>
      <c r="G503" s="105">
        <v>9</v>
      </c>
      <c r="H503" s="105">
        <v>289.74</v>
      </c>
      <c r="I503" s="105">
        <v>2607.66</v>
      </c>
      <c r="J503" s="105" t="s">
        <v>525</v>
      </c>
    </row>
    <row r="504" spans="2:10" ht="15" customHeight="1">
      <c r="B504" s="105">
        <v>497</v>
      </c>
      <c r="C504" s="135">
        <v>45074</v>
      </c>
      <c r="D504" s="105" t="s">
        <v>252</v>
      </c>
      <c r="E504" s="105" t="s">
        <v>535</v>
      </c>
      <c r="F504" s="105" t="s">
        <v>536</v>
      </c>
      <c r="G504" s="105">
        <v>6</v>
      </c>
      <c r="H504" s="105">
        <v>312.89999999999998</v>
      </c>
      <c r="I504" s="105">
        <v>1877.4</v>
      </c>
      <c r="J504" s="105" t="s">
        <v>522</v>
      </c>
    </row>
    <row r="505" spans="2:10" ht="15" customHeight="1">
      <c r="B505" s="105">
        <v>498</v>
      </c>
      <c r="C505" s="135">
        <v>45168</v>
      </c>
      <c r="D505" s="105" t="s">
        <v>252</v>
      </c>
      <c r="E505" s="105" t="s">
        <v>520</v>
      </c>
      <c r="F505" s="105" t="s">
        <v>193</v>
      </c>
      <c r="G505" s="105">
        <v>1</v>
      </c>
      <c r="H505" s="105">
        <v>284.23</v>
      </c>
      <c r="I505" s="105">
        <v>284.23</v>
      </c>
      <c r="J505" s="105" t="s">
        <v>543</v>
      </c>
    </row>
    <row r="506" spans="2:10" ht="15" customHeight="1">
      <c r="B506" s="105">
        <v>499</v>
      </c>
      <c r="C506" s="135">
        <v>45215</v>
      </c>
      <c r="D506" s="105" t="s">
        <v>530</v>
      </c>
      <c r="E506" s="105" t="s">
        <v>535</v>
      </c>
      <c r="F506" s="105" t="s">
        <v>541</v>
      </c>
      <c r="G506" s="105">
        <v>1</v>
      </c>
      <c r="H506" s="105">
        <v>263.68</v>
      </c>
      <c r="I506" s="105">
        <v>263.68</v>
      </c>
      <c r="J506" s="105" t="s">
        <v>529</v>
      </c>
    </row>
    <row r="507" spans="2:10" ht="15" customHeight="1">
      <c r="B507" s="105">
        <v>500</v>
      </c>
      <c r="C507" s="135">
        <v>45003</v>
      </c>
      <c r="D507" s="105" t="s">
        <v>530</v>
      </c>
      <c r="E507" s="105" t="s">
        <v>527</v>
      </c>
      <c r="F507" s="105" t="s">
        <v>539</v>
      </c>
      <c r="G507" s="105">
        <v>9</v>
      </c>
      <c r="H507" s="105">
        <v>181.81</v>
      </c>
      <c r="I507" s="105">
        <v>1636.29</v>
      </c>
      <c r="J507" s="105" t="s">
        <v>543</v>
      </c>
    </row>
  </sheetData>
  <dataValidations count="1">
    <dataValidation type="list" allowBlank="1" showInputMessage="1" showErrorMessage="1" sqref="L48" xr:uid="{ED2C7FC8-5863-48FD-8136-B1BADD2BB869}">
      <formula1>$D$8:$D$507</formula1>
    </dataValidation>
  </dataValidation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J121"/>
  <sheetViews>
    <sheetView topLeftCell="C72" zoomScale="205" zoomScaleNormal="205" workbookViewId="0">
      <selection activeCell="E53" sqref="E53"/>
    </sheetView>
  </sheetViews>
  <sheetFormatPr defaultColWidth="12.6640625" defaultRowHeight="15" customHeight="1"/>
  <cols>
    <col min="1" max="2" width="8.6640625" customWidth="1"/>
    <col min="3" max="3" width="15.88671875" customWidth="1"/>
    <col min="4" max="4" width="18.6640625" customWidth="1"/>
    <col min="5" max="5" width="17.44140625" bestFit="1" customWidth="1"/>
    <col min="6" max="6" width="14" customWidth="1"/>
    <col min="7" max="7" width="8.6640625" customWidth="1"/>
    <col min="8" max="8" width="12.109375" customWidth="1"/>
    <col min="9" max="9" width="13.44140625" customWidth="1"/>
    <col min="10" max="10" width="16.88671875" customWidth="1"/>
    <col min="11" max="26" width="8.6640625" customWidth="1"/>
  </cols>
  <sheetData>
    <row r="4" spans="3:9" ht="14.25" customHeight="1">
      <c r="C4" s="118" t="s">
        <v>10</v>
      </c>
    </row>
    <row r="5" spans="3:9" ht="14.25" customHeight="1"/>
    <row r="6" spans="3:9" ht="14.25" customHeight="1">
      <c r="C6" s="112" t="s">
        <v>11</v>
      </c>
      <c r="D6" s="112" t="s">
        <v>12</v>
      </c>
      <c r="E6" s="112" t="s">
        <v>13</v>
      </c>
      <c r="F6" s="112" t="s">
        <v>14</v>
      </c>
      <c r="G6" s="112" t="s">
        <v>15</v>
      </c>
      <c r="H6" s="112" t="s">
        <v>16</v>
      </c>
      <c r="I6" s="113" t="s">
        <v>17</v>
      </c>
    </row>
    <row r="7" spans="3:9" ht="14.25" customHeight="1">
      <c r="C7" s="105" t="s">
        <v>18</v>
      </c>
      <c r="D7" s="105" t="s">
        <v>19</v>
      </c>
      <c r="E7" s="105">
        <v>77000</v>
      </c>
      <c r="F7" s="105">
        <v>75000</v>
      </c>
      <c r="G7" s="105">
        <v>40</v>
      </c>
      <c r="H7" s="105" t="str">
        <f>IF(F7&gt;E7,"Profit","Loss")</f>
        <v>Loss</v>
      </c>
      <c r="I7" s="105" t="str">
        <f>IF(G7&lt;60,"Restock","Safe")</f>
        <v>Restock</v>
      </c>
    </row>
    <row r="8" spans="3:9" ht="14.25" customHeight="1">
      <c r="C8" s="105" t="s">
        <v>20</v>
      </c>
      <c r="D8" s="105" t="s">
        <v>21</v>
      </c>
      <c r="E8" s="105">
        <v>23000</v>
      </c>
      <c r="F8" s="105">
        <v>25000</v>
      </c>
      <c r="G8" s="105">
        <v>60</v>
      </c>
      <c r="H8" s="105" t="str">
        <f t="shared" ref="H8:H16" si="0">IF(F8&gt;E8,"Profit","Loss")</f>
        <v>Profit</v>
      </c>
      <c r="I8" s="105" t="str">
        <f t="shared" ref="I8:I16" si="1">IF(G8&lt;60,"Restock","Safe")</f>
        <v>Safe</v>
      </c>
    </row>
    <row r="9" spans="3:9" ht="14.25" customHeight="1">
      <c r="C9" s="105" t="s">
        <v>22</v>
      </c>
      <c r="D9" s="105" t="s">
        <v>23</v>
      </c>
      <c r="E9" s="105">
        <v>88000</v>
      </c>
      <c r="F9" s="105">
        <v>99000</v>
      </c>
      <c r="G9" s="105">
        <v>54</v>
      </c>
      <c r="H9" s="105" t="str">
        <f t="shared" si="0"/>
        <v>Profit</v>
      </c>
      <c r="I9" s="105" t="str">
        <f t="shared" si="1"/>
        <v>Restock</v>
      </c>
    </row>
    <row r="10" spans="3:9" ht="14.25" customHeight="1">
      <c r="C10" s="105" t="s">
        <v>24</v>
      </c>
      <c r="D10" s="105" t="s">
        <v>23</v>
      </c>
      <c r="E10" s="105">
        <v>52000</v>
      </c>
      <c r="F10" s="105">
        <v>67000</v>
      </c>
      <c r="G10" s="105">
        <v>78</v>
      </c>
      <c r="H10" s="105" t="str">
        <f t="shared" si="0"/>
        <v>Profit</v>
      </c>
      <c r="I10" s="105" t="str">
        <f t="shared" si="1"/>
        <v>Safe</v>
      </c>
    </row>
    <row r="11" spans="3:9" ht="14.25" customHeight="1">
      <c r="C11" s="105" t="s">
        <v>25</v>
      </c>
      <c r="D11" s="105" t="s">
        <v>19</v>
      </c>
      <c r="E11" s="105">
        <v>46000</v>
      </c>
      <c r="F11" s="105">
        <v>49000</v>
      </c>
      <c r="G11" s="105">
        <v>32</v>
      </c>
      <c r="H11" s="105" t="str">
        <f t="shared" si="0"/>
        <v>Profit</v>
      </c>
      <c r="I11" s="105" t="str">
        <f t="shared" si="1"/>
        <v>Restock</v>
      </c>
    </row>
    <row r="12" spans="3:9" ht="14.25" customHeight="1">
      <c r="C12" s="105" t="s">
        <v>26</v>
      </c>
      <c r="D12" s="105" t="s">
        <v>19</v>
      </c>
      <c r="E12" s="105">
        <v>79000</v>
      </c>
      <c r="F12" s="105">
        <v>85000</v>
      </c>
      <c r="G12" s="105">
        <v>44</v>
      </c>
      <c r="H12" s="105" t="str">
        <f t="shared" si="0"/>
        <v>Profit</v>
      </c>
      <c r="I12" s="105" t="str">
        <f t="shared" si="1"/>
        <v>Restock</v>
      </c>
    </row>
    <row r="13" spans="3:9" ht="14.25" customHeight="1">
      <c r="C13" s="105" t="s">
        <v>27</v>
      </c>
      <c r="D13" s="105" t="s">
        <v>21</v>
      </c>
      <c r="E13" s="105">
        <v>35000</v>
      </c>
      <c r="F13" s="105">
        <v>55000</v>
      </c>
      <c r="G13" s="105">
        <v>61</v>
      </c>
      <c r="H13" s="105" t="str">
        <f t="shared" si="0"/>
        <v>Profit</v>
      </c>
      <c r="I13" s="105" t="str">
        <f t="shared" si="1"/>
        <v>Safe</v>
      </c>
    </row>
    <row r="14" spans="3:9" ht="14.25" customHeight="1">
      <c r="C14" s="105" t="s">
        <v>28</v>
      </c>
      <c r="D14" s="105" t="s">
        <v>19</v>
      </c>
      <c r="E14" s="105">
        <v>95000</v>
      </c>
      <c r="F14" s="105">
        <v>97000</v>
      </c>
      <c r="G14" s="105">
        <v>9</v>
      </c>
      <c r="H14" s="105" t="str">
        <f t="shared" si="0"/>
        <v>Profit</v>
      </c>
      <c r="I14" s="105" t="str">
        <f t="shared" si="1"/>
        <v>Restock</v>
      </c>
    </row>
    <row r="15" spans="3:9" ht="14.25" customHeight="1">
      <c r="C15" s="105" t="s">
        <v>29</v>
      </c>
      <c r="D15" s="105" t="s">
        <v>23</v>
      </c>
      <c r="E15" s="105">
        <v>40000</v>
      </c>
      <c r="F15" s="105">
        <v>38000</v>
      </c>
      <c r="G15" s="105">
        <v>89</v>
      </c>
      <c r="H15" s="105" t="str">
        <f t="shared" si="0"/>
        <v>Loss</v>
      </c>
      <c r="I15" s="105" t="str">
        <f t="shared" si="1"/>
        <v>Safe</v>
      </c>
    </row>
    <row r="16" spans="3:9" ht="14.25" customHeight="1">
      <c r="C16" s="105" t="s">
        <v>30</v>
      </c>
      <c r="D16" s="105" t="s">
        <v>19</v>
      </c>
      <c r="E16" s="105">
        <v>69000</v>
      </c>
      <c r="F16" s="105">
        <v>42000</v>
      </c>
      <c r="G16" s="105">
        <v>58</v>
      </c>
      <c r="H16" s="105" t="str">
        <f t="shared" si="0"/>
        <v>Loss</v>
      </c>
      <c r="I16" s="105" t="str">
        <f t="shared" si="1"/>
        <v>Restock</v>
      </c>
    </row>
    <row r="18" spans="2:10" ht="14.25" customHeight="1">
      <c r="C18" s="17" t="s">
        <v>31</v>
      </c>
    </row>
    <row r="19" spans="2:10" ht="14.25" customHeight="1">
      <c r="B19" s="119">
        <v>1</v>
      </c>
      <c r="C19" s="18" t="s">
        <v>32</v>
      </c>
    </row>
    <row r="20" spans="2:10" ht="14.25" customHeight="1">
      <c r="B20" s="119">
        <v>2</v>
      </c>
      <c r="C20" s="115" t="s">
        <v>33</v>
      </c>
    </row>
    <row r="21" spans="2:10" ht="14.25" customHeight="1"/>
    <row r="22" spans="2:10" ht="14.25" customHeight="1"/>
    <row r="23" spans="2:10" ht="14.25" customHeight="1"/>
    <row r="24" spans="2:10" ht="14.25" customHeight="1"/>
    <row r="25" spans="2:10" ht="14.25" customHeight="1"/>
    <row r="26" spans="2:10" ht="14.25" customHeight="1"/>
    <row r="27" spans="2:10" ht="14.25" customHeight="1"/>
    <row r="28" spans="2:10" ht="14.25" customHeight="1">
      <c r="C28" s="120" t="s">
        <v>34</v>
      </c>
      <c r="E28" s="19"/>
    </row>
    <row r="29" spans="2:10" ht="30" customHeight="1">
      <c r="C29" s="20" t="s">
        <v>35</v>
      </c>
      <c r="D29" s="20" t="s">
        <v>36</v>
      </c>
      <c r="E29" s="20" t="s">
        <v>37</v>
      </c>
      <c r="F29" s="20" t="s">
        <v>38</v>
      </c>
      <c r="G29" s="20" t="s">
        <v>39</v>
      </c>
      <c r="I29" s="20" t="s">
        <v>37</v>
      </c>
      <c r="J29" s="20" t="s">
        <v>39</v>
      </c>
    </row>
    <row r="30" spans="2:10" ht="14.25" customHeight="1">
      <c r="C30" s="121" t="s">
        <v>40</v>
      </c>
      <c r="D30" s="16">
        <v>12000</v>
      </c>
      <c r="E30" s="16" t="s">
        <v>41</v>
      </c>
      <c r="F30" s="6" t="str" cm="1">
        <f t="array" ref="F30">_xlfn.IFS(D30&lt;2000000,"Silver🩶",D30&lt;5000000,"Gold🪙",D30&gt;=5000000,"Platinum💎")</f>
        <v>Silver🩶</v>
      </c>
      <c r="G30" s="15" t="str">
        <f>VLOOKUP(E30,$I$30:$J$32,2,0)</f>
        <v>2 Day</v>
      </c>
      <c r="I30" s="15" t="s">
        <v>42</v>
      </c>
      <c r="J30" s="15" t="s">
        <v>43</v>
      </c>
    </row>
    <row r="31" spans="2:10" ht="14.25" customHeight="1">
      <c r="C31" s="121" t="s">
        <v>44</v>
      </c>
      <c r="D31" s="16">
        <v>6017983</v>
      </c>
      <c r="E31" s="16" t="s">
        <v>42</v>
      </c>
      <c r="F31" s="6" t="str" cm="1">
        <f t="array" ref="F31">_xlfn.IFS(D31&lt;2000000,"Silver🩶",D31&lt;5000000,"Gold🪙",D31&gt;=5000000,"Platinum💎")</f>
        <v>Platinum💎</v>
      </c>
      <c r="G31" s="15" t="str">
        <f t="shared" ref="G31:G39" si="2">VLOOKUP(E31,$I$30:$J$32,2,0)</f>
        <v>1 Day</v>
      </c>
      <c r="I31" s="15" t="s">
        <v>41</v>
      </c>
      <c r="J31" s="15" t="s">
        <v>45</v>
      </c>
    </row>
    <row r="32" spans="2:10" ht="14.25" customHeight="1">
      <c r="C32" s="121" t="s">
        <v>46</v>
      </c>
      <c r="D32" s="16">
        <v>1393027</v>
      </c>
      <c r="E32" s="16" t="s">
        <v>47</v>
      </c>
      <c r="F32" s="6" t="str" cm="1">
        <f t="array" ref="F32">_xlfn.IFS(D32&lt;2000000,"Silver🩶",D32&lt;5000000,"Gold🪙",D32&gt;=5000000,"Platinum💎")</f>
        <v>Silver🩶</v>
      </c>
      <c r="G32" s="15" t="str">
        <f t="shared" si="2"/>
        <v>3 Day</v>
      </c>
      <c r="I32" s="15" t="s">
        <v>47</v>
      </c>
      <c r="J32" s="15" t="s">
        <v>48</v>
      </c>
    </row>
    <row r="33" spans="3:7" ht="14.25" customHeight="1">
      <c r="C33" s="121" t="s">
        <v>49</v>
      </c>
      <c r="D33" s="16">
        <v>2996053</v>
      </c>
      <c r="E33" s="16" t="s">
        <v>42</v>
      </c>
      <c r="F33" s="6" t="str" cm="1">
        <f t="array" ref="F33">_xlfn.IFS(D33&lt;2000000,"Silver🩶",D33&lt;5000000,"Gold🪙",D33&gt;=5000000,"Platinum💎")</f>
        <v>Gold🪙</v>
      </c>
      <c r="G33" s="15" t="str">
        <f t="shared" si="2"/>
        <v>1 Day</v>
      </c>
    </row>
    <row r="34" spans="3:7" ht="14.25" customHeight="1">
      <c r="C34" s="121" t="s">
        <v>50</v>
      </c>
      <c r="D34" s="16">
        <v>2036929.0000000002</v>
      </c>
      <c r="E34" s="16" t="s">
        <v>41</v>
      </c>
      <c r="F34" s="6" t="str" cm="1">
        <f t="array" ref="F34">_xlfn.IFS(D34&lt;2000000,"Silver🩶",D34&lt;5000000,"Gold🪙",D34&gt;=5000000,"Platinum💎")</f>
        <v>Gold🪙</v>
      </c>
      <c r="G34" s="15" t="str">
        <f t="shared" si="2"/>
        <v>2 Day</v>
      </c>
    </row>
    <row r="35" spans="3:7" ht="14.25" customHeight="1">
      <c r="C35" s="121" t="s">
        <v>51</v>
      </c>
      <c r="D35" s="16">
        <v>6317758</v>
      </c>
      <c r="E35" s="16" t="s">
        <v>47</v>
      </c>
      <c r="F35" s="6" t="str" cm="1">
        <f t="array" ref="F35">_xlfn.IFS(D35&lt;2000000,"Silver🩶",D35&lt;5000000,"Gold🪙",D35&gt;=5000000,"Platinum💎")</f>
        <v>Platinum💎</v>
      </c>
      <c r="G35" s="15" t="str">
        <f t="shared" si="2"/>
        <v>3 Day</v>
      </c>
    </row>
    <row r="36" spans="3:7" ht="14.25" customHeight="1">
      <c r="C36" s="121" t="s">
        <v>52</v>
      </c>
      <c r="D36" s="16">
        <v>4796498</v>
      </c>
      <c r="E36" s="16" t="s">
        <v>42</v>
      </c>
      <c r="F36" s="6" t="str" cm="1">
        <f t="array" ref="F36">_xlfn.IFS(D36&lt;2000000,"Silver🩶",D36&lt;5000000,"Gold🪙",D36&gt;=5000000,"Platinum💎")</f>
        <v>Gold🪙</v>
      </c>
      <c r="G36" s="15" t="str">
        <f t="shared" si="2"/>
        <v>1 Day</v>
      </c>
    </row>
    <row r="37" spans="3:7" ht="14.25" customHeight="1">
      <c r="C37" s="121" t="s">
        <v>53</v>
      </c>
      <c r="D37" s="16">
        <v>3426814</v>
      </c>
      <c r="E37" s="16" t="s">
        <v>47</v>
      </c>
      <c r="F37" s="6" t="str" cm="1">
        <f t="array" ref="F37">_xlfn.IFS(D37&lt;2000000,"Silver🩶",D37&lt;5000000,"Gold🪙",D37&gt;=5000000,"Platinum💎")</f>
        <v>Gold🪙</v>
      </c>
      <c r="G37" s="15" t="str">
        <f t="shared" si="2"/>
        <v>3 Day</v>
      </c>
    </row>
    <row r="38" spans="3:7" ht="14.25" customHeight="1">
      <c r="C38" s="121" t="s">
        <v>54</v>
      </c>
      <c r="D38" s="16">
        <v>5731873</v>
      </c>
      <c r="E38" s="16" t="s">
        <v>42</v>
      </c>
      <c r="F38" s="6" t="str" cm="1">
        <f t="array" ref="F38">_xlfn.IFS(D38&lt;2000000,"Silver🩶",D38&lt;5000000,"Gold🪙",D38&gt;=5000000,"Platinum💎")</f>
        <v>Platinum💎</v>
      </c>
      <c r="G38" s="15" t="str">
        <f t="shared" si="2"/>
        <v>1 Day</v>
      </c>
    </row>
    <row r="39" spans="3:7" ht="14.25" customHeight="1">
      <c r="C39" s="121" t="s">
        <v>55</v>
      </c>
      <c r="D39" s="16">
        <v>1760000</v>
      </c>
      <c r="E39" s="16" t="s">
        <v>42</v>
      </c>
      <c r="F39" s="6" t="str" cm="1">
        <f t="array" ref="F39">_xlfn.IFS(D39&lt;2000000,"Silver🩶",D39&lt;5000000,"Gold🪙",D39&gt;=5000000,"Platinum💎")</f>
        <v>Silver🩶</v>
      </c>
      <c r="G39" s="15" t="str">
        <f t="shared" si="2"/>
        <v>1 Day</v>
      </c>
    </row>
    <row r="40" spans="3:7" ht="14.25" customHeight="1"/>
    <row r="41" spans="3:7" ht="14.25" customHeight="1">
      <c r="C41" s="122" t="s">
        <v>56</v>
      </c>
    </row>
    <row r="42" spans="3:7" ht="14.25" customHeight="1">
      <c r="C42" s="21" t="s">
        <v>57</v>
      </c>
    </row>
    <row r="43" spans="3:7" ht="14.25" customHeight="1">
      <c r="C43" s="21" t="s">
        <v>58</v>
      </c>
    </row>
    <row r="44" spans="3:7" ht="14.25" customHeight="1">
      <c r="C44" s="21" t="s">
        <v>59</v>
      </c>
    </row>
    <row r="49" spans="3:10" ht="14.25" customHeight="1">
      <c r="C49" s="120" t="s">
        <v>60</v>
      </c>
    </row>
    <row r="50" spans="3:10" ht="14.25" customHeight="1">
      <c r="E50" s="115" t="s">
        <v>61</v>
      </c>
      <c r="F50" s="115" t="s">
        <v>62</v>
      </c>
      <c r="G50" s="115" t="s">
        <v>63</v>
      </c>
    </row>
    <row r="51" spans="3:10" ht="14.25" customHeight="1">
      <c r="C51" s="20" t="s">
        <v>64</v>
      </c>
      <c r="D51" s="20" t="s">
        <v>65</v>
      </c>
      <c r="E51" s="20" t="s">
        <v>66</v>
      </c>
      <c r="F51" s="20" t="s">
        <v>67</v>
      </c>
      <c r="G51" s="20" t="s">
        <v>68</v>
      </c>
      <c r="I51" s="20" t="s">
        <v>69</v>
      </c>
      <c r="J51" s="20" t="s">
        <v>70</v>
      </c>
    </row>
    <row r="52" spans="3:10" ht="14.25" customHeight="1">
      <c r="C52" s="121" t="s">
        <v>40</v>
      </c>
      <c r="D52" s="16" t="s">
        <v>71</v>
      </c>
      <c r="E52" s="15" t="str">
        <f>VLOOKUP(LEFT(D52,2),$I$52:$J$54,2,0)</f>
        <v>Sales</v>
      </c>
      <c r="F52" s="15" t="str">
        <f>IF(MID(D52,3,4)&lt;="2019","Completed","Incompleted")</f>
        <v>Completed</v>
      </c>
      <c r="G52" s="15"/>
      <c r="I52" s="15" t="s">
        <v>72</v>
      </c>
      <c r="J52" s="15" t="s">
        <v>73</v>
      </c>
    </row>
    <row r="53" spans="3:10" ht="14.25" customHeight="1">
      <c r="C53" s="121" t="s">
        <v>44</v>
      </c>
      <c r="D53" s="16" t="s">
        <v>74</v>
      </c>
      <c r="E53" s="15" t="str">
        <f t="shared" ref="E53:E61" si="3">VLOOKUP(LEFT(D53,2),$I$52:$J$54,2,0)</f>
        <v>Sales</v>
      </c>
      <c r="F53" s="15" t="str">
        <f t="shared" ref="F53:F61" si="4">IF(MID(D53,3,4)&lt;="2019","Completed","Incompleted")</f>
        <v>Completed</v>
      </c>
      <c r="G53" s="15"/>
      <c r="I53" s="15" t="s">
        <v>75</v>
      </c>
      <c r="J53" s="15" t="s">
        <v>76</v>
      </c>
    </row>
    <row r="54" spans="3:10" ht="14.25" customHeight="1">
      <c r="C54" s="121" t="s">
        <v>46</v>
      </c>
      <c r="D54" s="16" t="s">
        <v>77</v>
      </c>
      <c r="E54" s="15" t="str">
        <f t="shared" si="3"/>
        <v>Marketing</v>
      </c>
      <c r="F54" s="15" t="str">
        <f t="shared" si="4"/>
        <v>Incompleted</v>
      </c>
      <c r="G54" s="15"/>
      <c r="I54" s="15" t="s">
        <v>78</v>
      </c>
      <c r="J54" s="15" t="s">
        <v>79</v>
      </c>
    </row>
    <row r="55" spans="3:10" ht="14.25" customHeight="1">
      <c r="C55" s="121" t="s">
        <v>49</v>
      </c>
      <c r="D55" s="16" t="s">
        <v>74</v>
      </c>
      <c r="E55" s="15" t="str">
        <f t="shared" si="3"/>
        <v>Sales</v>
      </c>
      <c r="F55" s="15" t="str">
        <f t="shared" si="4"/>
        <v>Completed</v>
      </c>
      <c r="G55" s="15"/>
    </row>
    <row r="56" spans="3:10" ht="14.25" customHeight="1">
      <c r="C56" s="121" t="s">
        <v>50</v>
      </c>
      <c r="D56" s="16" t="s">
        <v>80</v>
      </c>
      <c r="E56" s="15" t="str">
        <f t="shared" si="3"/>
        <v>Admin</v>
      </c>
      <c r="F56" s="15" t="str">
        <f t="shared" si="4"/>
        <v>Completed</v>
      </c>
      <c r="G56" s="15"/>
      <c r="I56" s="20" t="s">
        <v>81</v>
      </c>
      <c r="J56" s="20" t="s">
        <v>68</v>
      </c>
    </row>
    <row r="57" spans="3:10" ht="14.25" customHeight="1">
      <c r="C57" s="121" t="s">
        <v>51</v>
      </c>
      <c r="D57" s="16" t="s">
        <v>82</v>
      </c>
      <c r="E57" s="15" t="str">
        <f t="shared" si="3"/>
        <v>Marketing</v>
      </c>
      <c r="F57" s="15" t="str">
        <f t="shared" si="4"/>
        <v>Completed</v>
      </c>
      <c r="G57" s="15"/>
      <c r="I57" s="15" t="s">
        <v>83</v>
      </c>
      <c r="J57" s="15" t="s">
        <v>84</v>
      </c>
    </row>
    <row r="58" spans="3:10" ht="14.25" customHeight="1">
      <c r="C58" s="121" t="s">
        <v>52</v>
      </c>
      <c r="D58" s="16" t="s">
        <v>85</v>
      </c>
      <c r="E58" s="15" t="str">
        <f t="shared" si="3"/>
        <v>Sales</v>
      </c>
      <c r="F58" s="15" t="str">
        <f t="shared" si="4"/>
        <v>Incompleted</v>
      </c>
      <c r="G58" s="15"/>
      <c r="I58" s="15" t="s">
        <v>86</v>
      </c>
      <c r="J58" s="15" t="s">
        <v>87</v>
      </c>
    </row>
    <row r="59" spans="3:10" ht="14.25" customHeight="1">
      <c r="C59" s="121" t="s">
        <v>53</v>
      </c>
      <c r="D59" s="16" t="s">
        <v>88</v>
      </c>
      <c r="E59" s="15" t="str">
        <f t="shared" si="3"/>
        <v>Marketing</v>
      </c>
      <c r="F59" s="15" t="str">
        <f t="shared" si="4"/>
        <v>Completed</v>
      </c>
      <c r="G59" s="15"/>
    </row>
    <row r="60" spans="3:10" ht="14.25" customHeight="1">
      <c r="C60" s="121" t="s">
        <v>54</v>
      </c>
      <c r="D60" s="16" t="s">
        <v>77</v>
      </c>
      <c r="E60" s="15" t="str">
        <f t="shared" si="3"/>
        <v>Marketing</v>
      </c>
      <c r="F60" s="15" t="str">
        <f t="shared" si="4"/>
        <v>Incompleted</v>
      </c>
      <c r="G60" s="15"/>
    </row>
    <row r="61" spans="3:10" ht="14.25" customHeight="1">
      <c r="C61" s="121" t="s">
        <v>55</v>
      </c>
      <c r="D61" s="16" t="s">
        <v>89</v>
      </c>
      <c r="E61" s="15" t="str">
        <f t="shared" si="3"/>
        <v>Admin</v>
      </c>
      <c r="F61" s="15" t="str">
        <f t="shared" si="4"/>
        <v>Completed</v>
      </c>
      <c r="G61" s="15"/>
    </row>
    <row r="66" spans="3:7" ht="14.25" customHeight="1">
      <c r="C66" s="122" t="s">
        <v>90</v>
      </c>
    </row>
    <row r="67" spans="3:7" ht="14.25" customHeight="1">
      <c r="C67" s="21" t="s">
        <v>91</v>
      </c>
    </row>
    <row r="68" spans="3:7" ht="14.25" customHeight="1">
      <c r="C68" s="21" t="s">
        <v>92</v>
      </c>
    </row>
    <row r="69" spans="3:7" ht="14.25" customHeight="1">
      <c r="C69" s="21" t="s">
        <v>93</v>
      </c>
    </row>
    <row r="70" spans="3:7" ht="14.25" customHeight="1">
      <c r="C70" s="21" t="s">
        <v>94</v>
      </c>
    </row>
    <row r="71" spans="3:7" ht="14.25" customHeight="1"/>
    <row r="72" spans="3:7" ht="14.25" customHeight="1"/>
    <row r="73" spans="3:7" ht="14.25" customHeight="1"/>
    <row r="74" spans="3:7" ht="14.25" customHeight="1">
      <c r="C74" s="20" t="s">
        <v>64</v>
      </c>
      <c r="D74" s="20" t="s">
        <v>65</v>
      </c>
      <c r="E74" s="20" t="s">
        <v>66</v>
      </c>
      <c r="F74" s="20" t="s">
        <v>67</v>
      </c>
      <c r="G74" s="20" t="s">
        <v>68</v>
      </c>
    </row>
    <row r="75" spans="3:7" ht="14.25" customHeight="1">
      <c r="C75" s="121" t="s">
        <v>40</v>
      </c>
      <c r="D75" s="16" t="s">
        <v>71</v>
      </c>
      <c r="E75" s="15"/>
      <c r="F75" s="15"/>
      <c r="G75" s="15"/>
    </row>
    <row r="76" spans="3:7" ht="14.25" customHeight="1">
      <c r="C76" s="121" t="s">
        <v>44</v>
      </c>
      <c r="D76" s="16" t="s">
        <v>74</v>
      </c>
      <c r="E76" s="15"/>
      <c r="F76" s="15"/>
      <c r="G76" s="15"/>
    </row>
    <row r="77" spans="3:7" ht="14.25" customHeight="1">
      <c r="C77" s="121" t="s">
        <v>46</v>
      </c>
      <c r="D77" s="16" t="s">
        <v>77</v>
      </c>
      <c r="E77" s="15"/>
      <c r="F77" s="15"/>
      <c r="G77" s="15"/>
    </row>
    <row r="78" spans="3:7" ht="14.25" customHeight="1">
      <c r="C78" s="121" t="s">
        <v>49</v>
      </c>
      <c r="D78" s="16" t="s">
        <v>74</v>
      </c>
      <c r="E78" s="15"/>
      <c r="F78" s="15"/>
      <c r="G78" s="15"/>
    </row>
    <row r="79" spans="3:7" ht="14.25" customHeight="1">
      <c r="C79" s="121" t="s">
        <v>50</v>
      </c>
      <c r="D79" s="16" t="s">
        <v>80</v>
      </c>
      <c r="E79" s="15"/>
      <c r="F79" s="15"/>
      <c r="G79" s="15"/>
    </row>
    <row r="80" spans="3:7" ht="14.25" customHeight="1">
      <c r="C80" s="121" t="s">
        <v>51</v>
      </c>
      <c r="D80" s="16" t="s">
        <v>82</v>
      </c>
      <c r="E80" s="15"/>
      <c r="F80" s="15"/>
      <c r="G80" s="15"/>
    </row>
    <row r="81" spans="3:8" ht="14.25" customHeight="1">
      <c r="C81" s="121" t="s">
        <v>52</v>
      </c>
      <c r="D81" s="16" t="s">
        <v>547</v>
      </c>
      <c r="E81" s="15"/>
      <c r="F81" s="15"/>
      <c r="G81" s="15"/>
    </row>
    <row r="82" spans="3:8" ht="14.25" customHeight="1">
      <c r="C82" s="121" t="s">
        <v>53</v>
      </c>
      <c r="D82" s="16" t="s">
        <v>88</v>
      </c>
      <c r="E82" s="15"/>
      <c r="F82" s="15"/>
      <c r="G82" s="15"/>
    </row>
    <row r="83" spans="3:8" ht="14.25" customHeight="1">
      <c r="C83" s="121" t="s">
        <v>54</v>
      </c>
      <c r="D83" s="16" t="s">
        <v>77</v>
      </c>
      <c r="E83" s="15"/>
      <c r="F83" s="15"/>
      <c r="G83" s="15"/>
    </row>
    <row r="84" spans="3:8" ht="14.25" customHeight="1">
      <c r="C84" s="121" t="s">
        <v>55</v>
      </c>
      <c r="D84" s="16" t="s">
        <v>89</v>
      </c>
      <c r="E84" s="15"/>
      <c r="F84" s="15"/>
      <c r="G84" s="15"/>
    </row>
    <row r="85" spans="3:8" ht="14.25" customHeight="1">
      <c r="C85" s="115"/>
      <c r="D85" s="123"/>
      <c r="E85" s="115"/>
      <c r="F85" s="115"/>
      <c r="G85" s="115"/>
      <c r="H85" s="115"/>
    </row>
    <row r="86" spans="3:8" ht="14.25" customHeight="1">
      <c r="C86" s="115"/>
      <c r="D86" s="123"/>
      <c r="E86" s="115"/>
      <c r="F86" s="115"/>
      <c r="G86" s="115"/>
    </row>
    <row r="87" spans="3:8" ht="14.25" customHeight="1"/>
    <row r="88" spans="3:8" ht="14.25" customHeight="1"/>
    <row r="89" spans="3:8" ht="14.25" customHeight="1"/>
    <row r="90" spans="3:8" ht="14.25" customHeight="1">
      <c r="C90" s="115" t="s">
        <v>95</v>
      </c>
    </row>
    <row r="91" spans="3:8" ht="14.25" customHeight="1">
      <c r="C91" s="115" t="s">
        <v>96</v>
      </c>
    </row>
    <row r="92" spans="3:8" ht="14.25" customHeight="1"/>
    <row r="93" spans="3:8" ht="14.25" customHeight="1">
      <c r="C93" s="124" t="s">
        <v>97</v>
      </c>
    </row>
    <row r="94" spans="3:8" ht="14.25" customHeight="1"/>
    <row r="95" spans="3:8" ht="14.25" customHeight="1">
      <c r="C95" s="96" t="s">
        <v>98</v>
      </c>
      <c r="D95" s="96" t="s">
        <v>99</v>
      </c>
      <c r="E95" s="96" t="s">
        <v>100</v>
      </c>
      <c r="F95" s="125" t="s">
        <v>101</v>
      </c>
      <c r="G95" s="125" t="s">
        <v>101</v>
      </c>
    </row>
    <row r="96" spans="3:8" ht="14.25" customHeight="1">
      <c r="C96" s="10" t="s">
        <v>102</v>
      </c>
      <c r="D96" s="10">
        <v>59</v>
      </c>
      <c r="E96" s="22">
        <v>45</v>
      </c>
      <c r="F96" s="10" t="str">
        <f>IF(AND(D96&gt;60,E96&gt;50),"Pass","Fail")</f>
        <v>Fail</v>
      </c>
      <c r="G96" s="143" t="str">
        <f>IF(OR(D96&gt;60,E96&gt;50),"Pass","Fail")</f>
        <v>Fail</v>
      </c>
    </row>
    <row r="97" spans="3:7" ht="14.25" customHeight="1">
      <c r="C97" s="10" t="s">
        <v>103</v>
      </c>
      <c r="D97" s="10">
        <v>60</v>
      </c>
      <c r="E97" s="22">
        <v>67</v>
      </c>
      <c r="F97" s="10" t="str">
        <f t="shared" ref="F97:F100" si="5">IF(AND(D97&gt;60,E97&gt;50),"Pass","Fail")</f>
        <v>Fail</v>
      </c>
      <c r="G97" s="143" t="str">
        <f t="shared" ref="G97:G100" si="6">IF(OR(D97&gt;60,E97&gt;50),"Pass","Fail")</f>
        <v>Pass</v>
      </c>
    </row>
    <row r="98" spans="3:7" ht="14.25" customHeight="1">
      <c r="C98" s="10" t="s">
        <v>104</v>
      </c>
      <c r="D98" s="10">
        <v>77</v>
      </c>
      <c r="E98" s="22">
        <v>89</v>
      </c>
      <c r="F98" s="10" t="str">
        <f t="shared" si="5"/>
        <v>Pass</v>
      </c>
      <c r="G98" s="143" t="str">
        <f t="shared" si="6"/>
        <v>Pass</v>
      </c>
    </row>
    <row r="99" spans="3:7" ht="14.25" customHeight="1">
      <c r="C99" s="10" t="s">
        <v>105</v>
      </c>
      <c r="D99" s="10">
        <v>45</v>
      </c>
      <c r="E99" s="22">
        <v>90</v>
      </c>
      <c r="F99" s="10" t="str">
        <f t="shared" si="5"/>
        <v>Fail</v>
      </c>
      <c r="G99" s="143" t="str">
        <f t="shared" si="6"/>
        <v>Pass</v>
      </c>
    </row>
    <row r="100" spans="3:7" ht="14.25" customHeight="1">
      <c r="C100" s="10" t="s">
        <v>106</v>
      </c>
      <c r="D100" s="10">
        <v>88</v>
      </c>
      <c r="E100" s="22">
        <v>56</v>
      </c>
      <c r="F100" s="10" t="str">
        <f t="shared" si="5"/>
        <v>Pass</v>
      </c>
      <c r="G100" s="143" t="str">
        <f t="shared" si="6"/>
        <v>Pass</v>
      </c>
    </row>
    <row r="101" spans="3:7" ht="14.25" customHeight="1"/>
    <row r="102" spans="3:7" ht="14.25" customHeight="1"/>
    <row r="103" spans="3:7" ht="14.25" customHeight="1"/>
    <row r="104" spans="3:7" ht="14.25" customHeight="1"/>
    <row r="105" spans="3:7" ht="14.25" customHeight="1"/>
    <row r="106" spans="3:7" ht="14.25" customHeight="1">
      <c r="C106" s="124" t="s">
        <v>107</v>
      </c>
    </row>
    <row r="107" spans="3:7" ht="14.25" customHeight="1"/>
    <row r="108" spans="3:7" ht="14.25" customHeight="1">
      <c r="C108" s="96" t="s">
        <v>98</v>
      </c>
      <c r="D108" s="96" t="s">
        <v>99</v>
      </c>
      <c r="E108" s="96" t="s">
        <v>100</v>
      </c>
      <c r="F108" s="96" t="s">
        <v>1090</v>
      </c>
      <c r="G108" s="125" t="s">
        <v>101</v>
      </c>
    </row>
    <row r="109" spans="3:7" ht="14.25" customHeight="1">
      <c r="C109" s="10" t="s">
        <v>108</v>
      </c>
      <c r="D109" s="10">
        <v>61</v>
      </c>
      <c r="E109" s="22">
        <v>50</v>
      </c>
      <c r="F109" s="141" t="s">
        <v>23</v>
      </c>
      <c r="G109" s="10" t="str">
        <f>IF(AND(F109="A",OR(D109&gt;60,E109&gt;50)),"Pass","Fail")</f>
        <v>Pass</v>
      </c>
    </row>
    <row r="110" spans="3:7" ht="14.25" customHeight="1">
      <c r="C110" s="10" t="s">
        <v>103</v>
      </c>
      <c r="D110" s="10">
        <v>60</v>
      </c>
      <c r="E110" s="22">
        <v>48</v>
      </c>
      <c r="F110" s="141" t="s">
        <v>1091</v>
      </c>
      <c r="G110" s="10" t="str">
        <f t="shared" ref="G110:G113" si="7">IF(AND(F110="A",OR(D110&gt;60,E110&gt;50)),"Pass","Fail")</f>
        <v>Fail</v>
      </c>
    </row>
    <row r="111" spans="3:7" ht="14.25" customHeight="1">
      <c r="C111" s="10" t="s">
        <v>104</v>
      </c>
      <c r="D111" s="10">
        <v>77</v>
      </c>
      <c r="E111" s="22">
        <v>89</v>
      </c>
      <c r="F111" s="141" t="s">
        <v>23</v>
      </c>
      <c r="G111" s="10" t="str">
        <f t="shared" si="7"/>
        <v>Pass</v>
      </c>
    </row>
    <row r="112" spans="3:7" ht="14.25" customHeight="1">
      <c r="C112" s="10" t="s">
        <v>105</v>
      </c>
      <c r="D112" s="10">
        <v>45</v>
      </c>
      <c r="E112" s="22">
        <v>90</v>
      </c>
      <c r="F112" s="141" t="s">
        <v>23</v>
      </c>
      <c r="G112" s="10" t="str">
        <f t="shared" si="7"/>
        <v>Pass</v>
      </c>
    </row>
    <row r="113" spans="3:8" ht="14.25" customHeight="1">
      <c r="C113" s="10" t="s">
        <v>106</v>
      </c>
      <c r="D113" s="10">
        <v>88</v>
      </c>
      <c r="E113" s="22">
        <v>56</v>
      </c>
      <c r="F113" s="141" t="s">
        <v>1091</v>
      </c>
      <c r="G113" s="10" t="str">
        <f t="shared" si="7"/>
        <v>Fail</v>
      </c>
    </row>
    <row r="114" spans="3:8" ht="14.25" customHeight="1"/>
    <row r="115" spans="3:8" ht="14.25" customHeight="1">
      <c r="H115" s="115"/>
    </row>
    <row r="116" spans="3:8" ht="14.25" customHeight="1"/>
    <row r="117" spans="3:8" ht="14.25" customHeight="1">
      <c r="H117" s="115"/>
    </row>
    <row r="118" spans="3:8" ht="14.25" customHeight="1">
      <c r="C118" s="23" t="s">
        <v>64</v>
      </c>
      <c r="D118" s="23" t="s">
        <v>109</v>
      </c>
      <c r="E118" s="23" t="s">
        <v>110</v>
      </c>
      <c r="F118" s="23" t="s">
        <v>111</v>
      </c>
      <c r="H118" s="115"/>
    </row>
    <row r="119" spans="3:8" ht="14.25" customHeight="1">
      <c r="C119" s="121" t="s">
        <v>112</v>
      </c>
      <c r="D119" s="121">
        <v>6</v>
      </c>
      <c r="E119" s="121">
        <v>8</v>
      </c>
      <c r="F119" s="121"/>
    </row>
    <row r="120" spans="3:8" ht="14.25" customHeight="1">
      <c r="C120" s="121" t="s">
        <v>113</v>
      </c>
      <c r="D120" s="121">
        <v>4</v>
      </c>
      <c r="E120" s="121">
        <v>9</v>
      </c>
      <c r="F120" s="121"/>
    </row>
    <row r="121" spans="3:8" ht="14.25" customHeight="1">
      <c r="C121" s="121" t="s">
        <v>114</v>
      </c>
      <c r="D121" s="121">
        <v>7</v>
      </c>
      <c r="E121" s="121">
        <v>7</v>
      </c>
      <c r="F121" s="121"/>
    </row>
  </sheetData>
  <conditionalFormatting sqref="C7:I16">
    <cfRule type="expression" dxfId="2" priority="1">
      <formula>$I7="Restock"</formula>
    </cfRule>
  </conditionalFormatting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J11"/>
  <sheetViews>
    <sheetView zoomScale="235" zoomScaleNormal="235" workbookViewId="0">
      <selection activeCell="B3" sqref="B3"/>
    </sheetView>
  </sheetViews>
  <sheetFormatPr defaultColWidth="12.6640625" defaultRowHeight="15" customHeight="1"/>
  <cols>
    <col min="1" max="2" width="8.6640625" customWidth="1"/>
    <col min="3" max="3" width="10.109375" customWidth="1"/>
    <col min="4" max="4" width="9.6640625" customWidth="1"/>
    <col min="5" max="26" width="8.6640625" customWidth="1"/>
  </cols>
  <sheetData>
    <row r="3" spans="2:10" ht="14.25" customHeight="1">
      <c r="B3" s="25" t="s">
        <v>116</v>
      </c>
      <c r="C3" s="25" t="s">
        <v>117</v>
      </c>
      <c r="D3" s="25" t="s">
        <v>118</v>
      </c>
      <c r="E3" s="25" t="s">
        <v>119</v>
      </c>
      <c r="G3" s="25" t="s">
        <v>116</v>
      </c>
      <c r="H3" s="115">
        <v>53</v>
      </c>
      <c r="J3" s="115" t="s">
        <v>120</v>
      </c>
    </row>
    <row r="4" spans="2:10" ht="14.25" customHeight="1">
      <c r="B4" s="115">
        <v>79</v>
      </c>
      <c r="C4" s="115" t="s">
        <v>133</v>
      </c>
      <c r="D4" s="115" t="s">
        <v>134</v>
      </c>
      <c r="E4" s="26">
        <v>91632</v>
      </c>
      <c r="G4" s="25" t="s">
        <v>123</v>
      </c>
      <c r="H4" s="126"/>
    </row>
    <row r="5" spans="2:10" ht="14.25" customHeight="1">
      <c r="B5" s="115">
        <v>72</v>
      </c>
      <c r="C5" s="115" t="s">
        <v>121</v>
      </c>
      <c r="D5" s="115" t="s">
        <v>122</v>
      </c>
      <c r="E5" s="26">
        <v>64901</v>
      </c>
      <c r="H5">
        <f>MATCH(H3,B4:B10,-1)</f>
        <v>5</v>
      </c>
    </row>
    <row r="6" spans="2:10" ht="14.25" customHeight="1">
      <c r="B6" s="115">
        <v>66</v>
      </c>
      <c r="C6" s="115" t="s">
        <v>124</v>
      </c>
      <c r="D6" s="115" t="s">
        <v>125</v>
      </c>
      <c r="E6" s="26">
        <v>70855</v>
      </c>
      <c r="G6" s="25"/>
      <c r="H6" s="27"/>
    </row>
    <row r="7" spans="2:10" ht="14.25" customHeight="1">
      <c r="B7" s="115">
        <v>56</v>
      </c>
      <c r="C7" s="115" t="s">
        <v>114</v>
      </c>
      <c r="D7" s="115" t="s">
        <v>131</v>
      </c>
      <c r="E7" s="26">
        <v>125180</v>
      </c>
    </row>
    <row r="8" spans="2:10" ht="14.25" customHeight="1">
      <c r="B8" s="115">
        <v>53</v>
      </c>
      <c r="C8" s="115" t="s">
        <v>128</v>
      </c>
      <c r="D8" s="115" t="s">
        <v>129</v>
      </c>
      <c r="E8" s="26">
        <v>58339</v>
      </c>
      <c r="G8" s="25" t="s">
        <v>130</v>
      </c>
    </row>
    <row r="9" spans="2:10" ht="14.25" customHeight="1">
      <c r="B9" s="115">
        <v>30</v>
      </c>
      <c r="C9" s="115" t="s">
        <v>112</v>
      </c>
      <c r="D9" s="115" t="s">
        <v>127</v>
      </c>
      <c r="E9" s="26">
        <v>97566</v>
      </c>
      <c r="G9" s="115" t="s">
        <v>132</v>
      </c>
    </row>
    <row r="10" spans="2:10" ht="14.25" customHeight="1">
      <c r="B10" s="115">
        <v>14</v>
      </c>
      <c r="C10" s="115" t="s">
        <v>120</v>
      </c>
      <c r="D10" s="115" t="s">
        <v>126</v>
      </c>
      <c r="E10" s="26">
        <v>188657</v>
      </c>
      <c r="G10" s="115" t="s">
        <v>135</v>
      </c>
    </row>
    <row r="11" spans="2:10" ht="14.25" customHeight="1">
      <c r="E11" s="26"/>
      <c r="G11" s="115" t="s">
        <v>136</v>
      </c>
    </row>
  </sheetData>
  <sortState xmlns:xlrd2="http://schemas.microsoft.com/office/spreadsheetml/2017/richdata2" ref="B4:E10">
    <sortCondition descending="1" ref="B3:B10"/>
  </sortState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M69"/>
  <sheetViews>
    <sheetView topLeftCell="A59" zoomScale="175" zoomScaleNormal="175" workbookViewId="0">
      <selection activeCell="D65" sqref="D65"/>
    </sheetView>
  </sheetViews>
  <sheetFormatPr defaultColWidth="12.6640625" defaultRowHeight="15" customHeight="1"/>
  <cols>
    <col min="1" max="1" width="8.6640625" customWidth="1"/>
    <col min="2" max="4" width="23.33203125" customWidth="1"/>
    <col min="5" max="5" width="10.33203125" customWidth="1"/>
    <col min="6" max="6" width="8.6640625" customWidth="1"/>
    <col min="7" max="7" width="8.88671875" customWidth="1"/>
    <col min="8" max="8" width="8.6640625" customWidth="1"/>
    <col min="9" max="9" width="13.6640625" customWidth="1"/>
    <col min="10" max="10" width="23.6640625" customWidth="1"/>
    <col min="11" max="11" width="10.44140625" customWidth="1"/>
    <col min="12" max="26" width="8.6640625" customWidth="1"/>
  </cols>
  <sheetData>
    <row r="2" spans="1:13" ht="14.25" customHeight="1">
      <c r="B2" s="115" t="s">
        <v>138</v>
      </c>
      <c r="C2" s="178" t="s">
        <v>1124</v>
      </c>
      <c r="J2" s="178" t="s">
        <v>146</v>
      </c>
    </row>
    <row r="3" spans="1:13" ht="14.25" customHeight="1">
      <c r="B3" s="120" t="s">
        <v>139</v>
      </c>
      <c r="I3" s="115" t="s">
        <v>140</v>
      </c>
    </row>
    <row r="4" spans="1:13" ht="14.25" customHeight="1">
      <c r="B4" s="14" t="s">
        <v>137</v>
      </c>
      <c r="C4" s="28" t="s">
        <v>142</v>
      </c>
      <c r="D4" s="28" t="s">
        <v>141</v>
      </c>
      <c r="I4" s="14" t="s">
        <v>137</v>
      </c>
      <c r="J4" s="14" t="s">
        <v>142</v>
      </c>
      <c r="K4" s="28" t="s">
        <v>141</v>
      </c>
    </row>
    <row r="5" spans="1:13" ht="14.25" customHeight="1">
      <c r="A5" s="115">
        <v>1</v>
      </c>
      <c r="B5" s="15" t="s">
        <v>143</v>
      </c>
      <c r="C5" s="3"/>
      <c r="D5" s="3" t="str">
        <f>_xlfn.IFNA(VLOOKUP(B5,I:K,3,0),"Absent")</f>
        <v>Attend</v>
      </c>
      <c r="H5" s="115">
        <v>1</v>
      </c>
      <c r="I5" s="15" t="s">
        <v>144</v>
      </c>
      <c r="J5" s="15" t="s">
        <v>145</v>
      </c>
      <c r="K5" s="29" t="s">
        <v>146</v>
      </c>
      <c r="M5" s="115" t="s">
        <v>147</v>
      </c>
    </row>
    <row r="6" spans="1:13" ht="14.25" customHeight="1">
      <c r="A6" s="115">
        <v>2</v>
      </c>
      <c r="B6" s="15" t="s">
        <v>148</v>
      </c>
      <c r="C6" s="3"/>
      <c r="D6" s="3" t="str">
        <f t="shared" ref="D6:D31" si="0">_xlfn.IFNA(VLOOKUP(B6,I:K,3,0),"Absent")</f>
        <v>Absent</v>
      </c>
      <c r="H6" s="115">
        <v>2</v>
      </c>
      <c r="I6" s="15" t="s">
        <v>149</v>
      </c>
      <c r="J6" s="15" t="s">
        <v>150</v>
      </c>
      <c r="K6" s="29" t="s">
        <v>146</v>
      </c>
      <c r="M6" s="115" t="s">
        <v>151</v>
      </c>
    </row>
    <row r="7" spans="1:13" ht="14.25" customHeight="1">
      <c r="A7" s="115">
        <v>3</v>
      </c>
      <c r="B7" s="15" t="s">
        <v>152</v>
      </c>
      <c r="C7" s="3"/>
      <c r="D7" s="3" t="str">
        <f t="shared" si="0"/>
        <v>Absent</v>
      </c>
      <c r="H7" s="115">
        <v>3</v>
      </c>
      <c r="I7" s="15" t="s">
        <v>153</v>
      </c>
      <c r="J7" s="15" t="s">
        <v>154</v>
      </c>
      <c r="K7" s="29" t="s">
        <v>146</v>
      </c>
      <c r="M7" s="115" t="s">
        <v>155</v>
      </c>
    </row>
    <row r="8" spans="1:13" ht="14.25" customHeight="1">
      <c r="A8" s="115">
        <v>4</v>
      </c>
      <c r="B8" s="15" t="s">
        <v>156</v>
      </c>
      <c r="C8" s="3"/>
      <c r="D8" s="3" t="str">
        <f t="shared" si="0"/>
        <v>Absent</v>
      </c>
      <c r="H8" s="115">
        <v>4</v>
      </c>
      <c r="I8" s="15" t="s">
        <v>157</v>
      </c>
      <c r="J8" s="15" t="s">
        <v>158</v>
      </c>
      <c r="K8" s="29" t="s">
        <v>146</v>
      </c>
    </row>
    <row r="9" spans="1:13" ht="14.25" customHeight="1">
      <c r="A9" s="115">
        <v>5</v>
      </c>
      <c r="B9" s="15" t="s">
        <v>159</v>
      </c>
      <c r="C9" s="3"/>
      <c r="D9" s="3" t="str">
        <f t="shared" si="0"/>
        <v>Absent</v>
      </c>
      <c r="H9" s="115">
        <v>5</v>
      </c>
      <c r="I9" s="15" t="s">
        <v>160</v>
      </c>
      <c r="J9" s="15" t="s">
        <v>161</v>
      </c>
      <c r="K9" s="29" t="s">
        <v>146</v>
      </c>
    </row>
    <row r="10" spans="1:13" ht="14.25" customHeight="1">
      <c r="A10" s="115">
        <v>6</v>
      </c>
      <c r="B10" s="15" t="s">
        <v>144</v>
      </c>
      <c r="C10" s="3"/>
      <c r="D10" s="3" t="str">
        <f t="shared" si="0"/>
        <v>Attend</v>
      </c>
      <c r="H10" s="115">
        <v>6</v>
      </c>
      <c r="I10" s="15" t="s">
        <v>162</v>
      </c>
      <c r="J10" s="15" t="s">
        <v>163</v>
      </c>
      <c r="K10" s="29" t="s">
        <v>146</v>
      </c>
    </row>
    <row r="11" spans="1:13" ht="14.25" customHeight="1">
      <c r="A11" s="115">
        <v>7</v>
      </c>
      <c r="B11" s="15" t="s">
        <v>149</v>
      </c>
      <c r="C11" s="3"/>
      <c r="D11" s="3" t="str">
        <f t="shared" si="0"/>
        <v>Attend</v>
      </c>
      <c r="H11" s="115">
        <v>7</v>
      </c>
      <c r="I11" s="15" t="s">
        <v>164</v>
      </c>
      <c r="J11" s="15" t="s">
        <v>165</v>
      </c>
      <c r="K11" s="29" t="s">
        <v>146</v>
      </c>
    </row>
    <row r="12" spans="1:13" ht="14.25" customHeight="1">
      <c r="A12" s="115">
        <v>8</v>
      </c>
      <c r="B12" s="15" t="s">
        <v>153</v>
      </c>
      <c r="C12" s="3"/>
      <c r="D12" s="3" t="str">
        <f t="shared" si="0"/>
        <v>Attend</v>
      </c>
      <c r="H12" s="115">
        <v>8</v>
      </c>
      <c r="I12" s="15" t="s">
        <v>166</v>
      </c>
      <c r="J12" s="15" t="s">
        <v>167</v>
      </c>
      <c r="K12" s="29" t="s">
        <v>146</v>
      </c>
    </row>
    <row r="13" spans="1:13" ht="14.25" customHeight="1">
      <c r="A13" s="115">
        <v>9</v>
      </c>
      <c r="B13" s="15" t="s">
        <v>157</v>
      </c>
      <c r="C13" s="3"/>
      <c r="D13" s="3" t="str">
        <f t="shared" si="0"/>
        <v>Attend</v>
      </c>
      <c r="H13" s="115">
        <v>9</v>
      </c>
      <c r="I13" s="15" t="s">
        <v>168</v>
      </c>
      <c r="J13" s="15" t="s">
        <v>169</v>
      </c>
      <c r="K13" s="29" t="s">
        <v>146</v>
      </c>
    </row>
    <row r="14" spans="1:13" ht="14.25" customHeight="1">
      <c r="A14" s="115">
        <v>10</v>
      </c>
      <c r="B14" s="15" t="s">
        <v>160</v>
      </c>
      <c r="C14" s="3"/>
      <c r="D14" s="3" t="str">
        <f t="shared" si="0"/>
        <v>Attend</v>
      </c>
      <c r="H14" s="115">
        <v>10</v>
      </c>
      <c r="I14" s="15" t="s">
        <v>170</v>
      </c>
      <c r="J14" s="15" t="s">
        <v>171</v>
      </c>
      <c r="K14" s="29" t="s">
        <v>146</v>
      </c>
    </row>
    <row r="15" spans="1:13" ht="14.25" customHeight="1">
      <c r="A15" s="115">
        <v>11</v>
      </c>
      <c r="B15" s="15" t="s">
        <v>162</v>
      </c>
      <c r="C15" s="3"/>
      <c r="D15" s="3" t="str">
        <f t="shared" si="0"/>
        <v>Attend</v>
      </c>
      <c r="H15" s="115">
        <v>11</v>
      </c>
      <c r="I15" s="15" t="s">
        <v>172</v>
      </c>
      <c r="J15" s="15" t="s">
        <v>173</v>
      </c>
      <c r="K15" s="29" t="s">
        <v>146</v>
      </c>
    </row>
    <row r="16" spans="1:13" ht="14.25" customHeight="1">
      <c r="A16" s="115">
        <v>12</v>
      </c>
      <c r="B16" s="15" t="s">
        <v>164</v>
      </c>
      <c r="C16" s="3"/>
      <c r="D16" s="3" t="str">
        <f t="shared" si="0"/>
        <v>Attend</v>
      </c>
      <c r="H16" s="115">
        <v>12</v>
      </c>
      <c r="I16" s="15" t="s">
        <v>174</v>
      </c>
      <c r="J16" s="15" t="s">
        <v>175</v>
      </c>
      <c r="K16" s="29" t="s">
        <v>146</v>
      </c>
    </row>
    <row r="17" spans="1:11" ht="14.25" customHeight="1">
      <c r="A17" s="115">
        <v>13</v>
      </c>
      <c r="B17" s="15" t="s">
        <v>166</v>
      </c>
      <c r="C17" s="3"/>
      <c r="D17" s="3" t="str">
        <f t="shared" si="0"/>
        <v>Attend</v>
      </c>
      <c r="H17" s="115">
        <v>13</v>
      </c>
      <c r="I17" s="15" t="s">
        <v>176</v>
      </c>
      <c r="J17" s="15" t="s">
        <v>177</v>
      </c>
      <c r="K17" s="29" t="s">
        <v>146</v>
      </c>
    </row>
    <row r="18" spans="1:11" ht="14.25" customHeight="1">
      <c r="A18" s="115">
        <v>14</v>
      </c>
      <c r="B18" s="15" t="s">
        <v>178</v>
      </c>
      <c r="C18" s="3"/>
      <c r="D18" s="3" t="str">
        <f t="shared" si="0"/>
        <v>Absent</v>
      </c>
      <c r="H18" s="115">
        <v>14</v>
      </c>
      <c r="I18" s="15" t="s">
        <v>179</v>
      </c>
      <c r="J18" s="15" t="s">
        <v>180</v>
      </c>
      <c r="K18" s="29" t="s">
        <v>146</v>
      </c>
    </row>
    <row r="19" spans="1:11" ht="14.25" customHeight="1">
      <c r="A19" s="115">
        <v>15</v>
      </c>
      <c r="B19" s="15" t="s">
        <v>181</v>
      </c>
      <c r="C19" s="3"/>
      <c r="D19" s="3" t="str">
        <f t="shared" si="0"/>
        <v>Absent</v>
      </c>
      <c r="I19" s="179" t="s">
        <v>143</v>
      </c>
      <c r="J19" s="180" t="s">
        <v>1125</v>
      </c>
      <c r="K19" s="181" t="s">
        <v>146</v>
      </c>
    </row>
    <row r="20" spans="1:11" ht="14.25" customHeight="1">
      <c r="A20" s="115">
        <v>16</v>
      </c>
      <c r="B20" s="15" t="s">
        <v>182</v>
      </c>
      <c r="C20" s="3"/>
      <c r="D20" s="3" t="str">
        <f t="shared" si="0"/>
        <v>Absent</v>
      </c>
    </row>
    <row r="21" spans="1:11" ht="14.25" customHeight="1">
      <c r="A21" s="115">
        <v>17</v>
      </c>
      <c r="B21" s="15" t="s">
        <v>183</v>
      </c>
      <c r="C21" s="3"/>
      <c r="D21" s="3" t="str">
        <f t="shared" si="0"/>
        <v>Absent</v>
      </c>
    </row>
    <row r="22" spans="1:11" ht="14.25" customHeight="1">
      <c r="A22" s="115">
        <v>18</v>
      </c>
      <c r="B22" s="15" t="s">
        <v>184</v>
      </c>
      <c r="C22" s="3"/>
      <c r="D22" s="3" t="str">
        <f t="shared" si="0"/>
        <v>Absent</v>
      </c>
    </row>
    <row r="23" spans="1:11" ht="14.25" customHeight="1">
      <c r="A23" s="115">
        <v>19</v>
      </c>
      <c r="B23" s="15" t="s">
        <v>185</v>
      </c>
      <c r="C23" s="3"/>
      <c r="D23" s="3" t="str">
        <f t="shared" si="0"/>
        <v>Absent</v>
      </c>
    </row>
    <row r="24" spans="1:11" ht="14.25" customHeight="1">
      <c r="A24" s="115">
        <v>20</v>
      </c>
      <c r="B24" s="15" t="s">
        <v>168</v>
      </c>
      <c r="C24" s="3"/>
      <c r="D24" s="3" t="str">
        <f t="shared" si="0"/>
        <v>Attend</v>
      </c>
    </row>
    <row r="25" spans="1:11" ht="14.25" customHeight="1">
      <c r="A25" s="115">
        <v>21</v>
      </c>
      <c r="B25" s="15" t="s">
        <v>170</v>
      </c>
      <c r="C25" s="3"/>
      <c r="D25" s="3" t="str">
        <f t="shared" si="0"/>
        <v>Attend</v>
      </c>
    </row>
    <row r="26" spans="1:11" ht="14.25" customHeight="1">
      <c r="A26" s="115">
        <v>22</v>
      </c>
      <c r="B26" s="15" t="s">
        <v>172</v>
      </c>
      <c r="C26" s="3"/>
      <c r="D26" s="3" t="str">
        <f t="shared" si="0"/>
        <v>Attend</v>
      </c>
    </row>
    <row r="27" spans="1:11" ht="14.25" customHeight="1">
      <c r="A27" s="115">
        <v>23</v>
      </c>
      <c r="B27" s="15" t="s">
        <v>174</v>
      </c>
      <c r="C27" s="3"/>
      <c r="D27" s="3" t="str">
        <f t="shared" si="0"/>
        <v>Attend</v>
      </c>
    </row>
    <row r="28" spans="1:11" ht="14.25" customHeight="1">
      <c r="A28" s="115">
        <v>24</v>
      </c>
      <c r="B28" s="15" t="s">
        <v>186</v>
      </c>
      <c r="C28" s="3"/>
      <c r="D28" s="3" t="str">
        <f t="shared" si="0"/>
        <v>Absent</v>
      </c>
    </row>
    <row r="29" spans="1:11" ht="14.25" customHeight="1">
      <c r="A29" s="115">
        <v>25</v>
      </c>
      <c r="B29" s="15" t="s">
        <v>187</v>
      </c>
      <c r="C29" s="3"/>
      <c r="D29" s="3" t="str">
        <f t="shared" si="0"/>
        <v>Absent</v>
      </c>
    </row>
    <row r="30" spans="1:11" ht="14.25" customHeight="1">
      <c r="A30" s="115">
        <v>26</v>
      </c>
      <c r="B30" s="15" t="s">
        <v>176</v>
      </c>
      <c r="D30" s="3" t="str">
        <f t="shared" si="0"/>
        <v>Attend</v>
      </c>
    </row>
    <row r="31" spans="1:11" ht="14.25" customHeight="1">
      <c r="A31" s="115">
        <v>27</v>
      </c>
      <c r="B31" s="15" t="s">
        <v>179</v>
      </c>
      <c r="D31" s="3" t="str">
        <f t="shared" si="0"/>
        <v>Attend</v>
      </c>
    </row>
    <row r="37" spans="2:9" ht="14.25" customHeight="1">
      <c r="B37" s="127" t="s">
        <v>188</v>
      </c>
    </row>
    <row r="38" spans="2:9" ht="14.25" customHeight="1"/>
    <row r="39" spans="2:9" ht="14.25" customHeight="1">
      <c r="B39" s="14" t="s">
        <v>189</v>
      </c>
      <c r="C39" s="14" t="s">
        <v>190</v>
      </c>
      <c r="D39" s="30" t="s">
        <v>14</v>
      </c>
      <c r="E39" s="14" t="s">
        <v>191</v>
      </c>
      <c r="F39" s="182" t="s">
        <v>1126</v>
      </c>
    </row>
    <row r="40" spans="2:9" ht="14.25" customHeight="1">
      <c r="B40" s="15" t="s">
        <v>192</v>
      </c>
      <c r="C40" s="121" t="s">
        <v>193</v>
      </c>
      <c r="D40" s="31">
        <v>2400</v>
      </c>
      <c r="E40" s="15">
        <v>400</v>
      </c>
      <c r="F40" s="178" t="s">
        <v>23</v>
      </c>
    </row>
    <row r="41" spans="2:9" ht="14.25" customHeight="1">
      <c r="B41" s="15" t="s">
        <v>194</v>
      </c>
      <c r="C41" s="121" t="s">
        <v>195</v>
      </c>
      <c r="D41" s="32">
        <v>90</v>
      </c>
      <c r="E41" s="15">
        <v>17</v>
      </c>
      <c r="F41" s="178" t="s">
        <v>23</v>
      </c>
      <c r="H41" s="106" t="s">
        <v>196</v>
      </c>
      <c r="I41" s="114" t="s">
        <v>194</v>
      </c>
    </row>
    <row r="42" spans="2:9" ht="14.25" customHeight="1">
      <c r="B42" s="15" t="s">
        <v>197</v>
      </c>
      <c r="C42" s="121" t="s">
        <v>198</v>
      </c>
      <c r="D42" s="31">
        <v>12</v>
      </c>
      <c r="E42" s="15">
        <v>23</v>
      </c>
      <c r="F42" s="183" t="s">
        <v>19</v>
      </c>
      <c r="H42" s="33" t="s">
        <v>199</v>
      </c>
      <c r="I42" s="107" t="str" cm="1">
        <f t="array" ref="I42:I44">VLOOKUP(I41,B39:E45,MATCH(H42:H44,B39:E39,0),0)</f>
        <v>Pen</v>
      </c>
    </row>
    <row r="43" spans="2:9" ht="14.25" customHeight="1">
      <c r="B43" s="15" t="s">
        <v>200</v>
      </c>
      <c r="C43" s="121" t="s">
        <v>201</v>
      </c>
      <c r="D43" s="31">
        <v>30</v>
      </c>
      <c r="E43" s="15">
        <v>62</v>
      </c>
      <c r="F43" s="183" t="s">
        <v>21</v>
      </c>
      <c r="H43" s="33" t="s">
        <v>115</v>
      </c>
      <c r="I43" s="15">
        <v>90</v>
      </c>
    </row>
    <row r="44" spans="2:9" ht="14.25" customHeight="1">
      <c r="B44" s="15" t="s">
        <v>202</v>
      </c>
      <c r="C44" s="121" t="s">
        <v>203</v>
      </c>
      <c r="D44" s="31">
        <v>18</v>
      </c>
      <c r="E44" s="15">
        <v>16</v>
      </c>
      <c r="F44" s="183" t="s">
        <v>21</v>
      </c>
      <c r="H44" s="33" t="s">
        <v>204</v>
      </c>
      <c r="I44" s="15">
        <v>17</v>
      </c>
    </row>
    <row r="45" spans="2:9" ht="14.25" customHeight="1">
      <c r="B45" s="15" t="s">
        <v>205</v>
      </c>
      <c r="C45" s="121" t="s">
        <v>206</v>
      </c>
      <c r="D45" s="31">
        <v>150</v>
      </c>
      <c r="E45" s="15">
        <v>98</v>
      </c>
      <c r="F45" s="183" t="s">
        <v>19</v>
      </c>
    </row>
    <row r="46" spans="2:9" ht="14.25" customHeight="1">
      <c r="D46" s="34"/>
    </row>
    <row r="47" spans="2:9" ht="14.25" customHeight="1"/>
    <row r="48" spans="2:9" ht="14.25" customHeight="1">
      <c r="B48" s="35" t="s">
        <v>199</v>
      </c>
      <c r="C48" s="36" t="s">
        <v>207</v>
      </c>
      <c r="D48" s="36" t="s">
        <v>208</v>
      </c>
      <c r="E48" s="36" t="s">
        <v>209</v>
      </c>
    </row>
    <row r="49" spans="2:9" ht="14.25" customHeight="1">
      <c r="B49" s="15" t="s">
        <v>210</v>
      </c>
      <c r="C49" s="6">
        <v>8000</v>
      </c>
      <c r="D49" s="6">
        <v>3500</v>
      </c>
      <c r="E49" s="6">
        <v>10000</v>
      </c>
    </row>
    <row r="50" spans="2:9" ht="14.25" customHeight="1">
      <c r="B50" s="15" t="s">
        <v>211</v>
      </c>
      <c r="C50" s="6">
        <v>5000</v>
      </c>
      <c r="D50" s="6">
        <v>4500</v>
      </c>
      <c r="E50" s="6">
        <v>4000</v>
      </c>
    </row>
    <row r="51" spans="2:9" ht="14.25" customHeight="1">
      <c r="B51" s="15" t="s">
        <v>212</v>
      </c>
      <c r="C51" s="6">
        <v>7000</v>
      </c>
      <c r="D51" s="6">
        <v>3000</v>
      </c>
      <c r="E51" s="6">
        <v>2000</v>
      </c>
    </row>
    <row r="52" spans="2:9" ht="14.25" customHeight="1">
      <c r="B52" s="15" t="s">
        <v>213</v>
      </c>
      <c r="C52" s="6">
        <v>2000</v>
      </c>
      <c r="D52" s="6">
        <v>2100</v>
      </c>
      <c r="E52" s="6">
        <v>3000</v>
      </c>
    </row>
    <row r="53" spans="2:9" ht="14.25" customHeight="1"/>
    <row r="54" spans="2:9" ht="14.25" customHeight="1"/>
    <row r="55" spans="2:9" ht="14.25" customHeight="1">
      <c r="B55" s="35" t="s">
        <v>199</v>
      </c>
      <c r="C55" s="36" t="s">
        <v>207</v>
      </c>
      <c r="D55" s="36" t="s">
        <v>208</v>
      </c>
      <c r="E55" s="36" t="s">
        <v>209</v>
      </c>
      <c r="G55" s="35" t="s">
        <v>199</v>
      </c>
      <c r="H55" s="115" t="s">
        <v>211</v>
      </c>
    </row>
    <row r="56" spans="2:9" ht="14.25" customHeight="1">
      <c r="B56" s="115" t="s">
        <v>212</v>
      </c>
      <c r="G56" s="36" t="s">
        <v>207</v>
      </c>
      <c r="H56" cm="1">
        <f t="array" ref="H56:H58">VLOOKUP(H55,B48:E52,{2;3;4},0)</f>
        <v>5000</v>
      </c>
    </row>
    <row r="57" spans="2:9" ht="15" customHeight="1">
      <c r="G57" s="36" t="s">
        <v>208</v>
      </c>
      <c r="H57">
        <v>4500</v>
      </c>
    </row>
    <row r="58" spans="2:9" ht="15" customHeight="1">
      <c r="G58" s="36" t="s">
        <v>209</v>
      </c>
      <c r="H58">
        <v>4000</v>
      </c>
    </row>
    <row r="60" spans="2:9" ht="15" customHeight="1">
      <c r="B60" s="97"/>
    </row>
    <row r="63" spans="2:9" ht="15" customHeight="1">
      <c r="B63" s="98" t="s">
        <v>214</v>
      </c>
      <c r="C63" s="98" t="s">
        <v>215</v>
      </c>
      <c r="D63" s="98" t="s">
        <v>216</v>
      </c>
      <c r="H63" s="98" t="s">
        <v>215</v>
      </c>
      <c r="I63" s="98" t="s">
        <v>216</v>
      </c>
    </row>
    <row r="64" spans="2:9" ht="15" customHeight="1">
      <c r="B64" s="115" t="s">
        <v>217</v>
      </c>
      <c r="C64">
        <v>90</v>
      </c>
      <c r="D64" t="str">
        <f>VLOOKUP(C64,$H$64:$I$69,2,1)</f>
        <v>A</v>
      </c>
      <c r="H64">
        <v>0</v>
      </c>
      <c r="I64" s="115" t="s">
        <v>218</v>
      </c>
    </row>
    <row r="65" spans="2:9" ht="15" customHeight="1">
      <c r="B65" s="115" t="s">
        <v>219</v>
      </c>
      <c r="C65">
        <v>95</v>
      </c>
      <c r="D65" t="str">
        <f t="shared" ref="D65:D69" si="1">VLOOKUP(C65,$H$64:$I$69,2,1)</f>
        <v>A</v>
      </c>
      <c r="H65">
        <v>40</v>
      </c>
      <c r="I65" s="115" t="s">
        <v>220</v>
      </c>
    </row>
    <row r="66" spans="2:9" ht="15" customHeight="1">
      <c r="B66" s="115" t="s">
        <v>221</v>
      </c>
      <c r="C66">
        <v>23</v>
      </c>
      <c r="D66" t="str">
        <f t="shared" si="1"/>
        <v>F</v>
      </c>
      <c r="H66">
        <v>60</v>
      </c>
      <c r="I66" s="115" t="s">
        <v>222</v>
      </c>
    </row>
    <row r="67" spans="2:9" ht="15" customHeight="1">
      <c r="B67" s="115" t="s">
        <v>223</v>
      </c>
      <c r="C67">
        <v>89</v>
      </c>
      <c r="D67" t="str">
        <f t="shared" si="1"/>
        <v>B</v>
      </c>
      <c r="H67">
        <v>70</v>
      </c>
      <c r="I67" s="115" t="s">
        <v>19</v>
      </c>
    </row>
    <row r="68" spans="2:9" ht="15" customHeight="1">
      <c r="B68" s="115" t="s">
        <v>105</v>
      </c>
      <c r="C68">
        <v>10</v>
      </c>
      <c r="D68" t="str">
        <f t="shared" si="1"/>
        <v>F</v>
      </c>
      <c r="H68">
        <v>80</v>
      </c>
      <c r="I68" s="115" t="s">
        <v>21</v>
      </c>
    </row>
    <row r="69" spans="2:9" ht="15" customHeight="1">
      <c r="B69" s="115" t="s">
        <v>224</v>
      </c>
      <c r="C69">
        <v>67</v>
      </c>
      <c r="D69" t="str">
        <f t="shared" si="1"/>
        <v>D</v>
      </c>
      <c r="H69" s="115">
        <v>90</v>
      </c>
      <c r="I69" s="115" t="s">
        <v>23</v>
      </c>
    </row>
  </sheetData>
  <conditionalFormatting sqref="C4:D4">
    <cfRule type="cellIs" dxfId="1" priority="1" operator="equal">
      <formula>"absent"</formula>
    </cfRule>
  </conditionalFormatting>
  <dataValidations count="2">
    <dataValidation type="list" allowBlank="1" showInputMessage="1" showErrorMessage="1" sqref="B56 H55" xr:uid="{A8AB1176-2B71-4F11-886E-E3D1A6105BBD}">
      <formula1>$B$49:$B$52</formula1>
    </dataValidation>
    <dataValidation type="list" allowBlank="1" showInputMessage="1" showErrorMessage="1" sqref="I41" xr:uid="{2D325982-E900-49CF-8451-0CC1137B2215}">
      <formula1>$B$40:$B$45</formula1>
    </dataValidation>
  </dataValidations>
  <hyperlinks>
    <hyperlink ref="J19" r:id="rId1" xr:uid="{AD698A06-1EAC-4923-8424-5ACFA0210F12}"/>
  </hyperlinks>
  <pageMargins left="0.7" right="0.7" top="0.75" bottom="0.75" header="0" footer="0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E22C6-A9A9-4B8F-B3DF-5FF4CB952E7B}">
  <dimension ref="A3:P202"/>
  <sheetViews>
    <sheetView workbookViewId="0">
      <selection activeCell="R9" sqref="R9"/>
    </sheetView>
  </sheetViews>
  <sheetFormatPr defaultRowHeight="14.4"/>
  <cols>
    <col min="1" max="1" width="9.5546875" bestFit="1" customWidth="1"/>
    <col min="2" max="2" width="10.33203125" style="149" bestFit="1" customWidth="1"/>
    <col min="3" max="3" width="8.33203125" bestFit="1" customWidth="1"/>
    <col min="4" max="4" width="12.6640625" bestFit="1" customWidth="1"/>
    <col min="5" max="5" width="11.6640625" bestFit="1" customWidth="1"/>
    <col min="6" max="6" width="11.5546875" bestFit="1" customWidth="1"/>
    <col min="7" max="7" width="11" bestFit="1" customWidth="1"/>
    <col min="8" max="8" width="7.6640625" bestFit="1" customWidth="1"/>
    <col min="9" max="9" width="8.77734375" bestFit="1" customWidth="1"/>
    <col min="10" max="10" width="8.5546875" bestFit="1" customWidth="1"/>
    <col min="12" max="12" width="2.88671875" style="184" customWidth="1"/>
    <col min="14" max="14" width="12.6640625" bestFit="1" customWidth="1"/>
  </cols>
  <sheetData>
    <row r="3" spans="1:16">
      <c r="A3" t="s">
        <v>379</v>
      </c>
      <c r="B3" s="149" t="s">
        <v>267</v>
      </c>
      <c r="C3" t="s">
        <v>264</v>
      </c>
      <c r="D3" t="s">
        <v>237</v>
      </c>
      <c r="E3" t="s">
        <v>380</v>
      </c>
      <c r="F3" t="s">
        <v>381</v>
      </c>
      <c r="G3" t="s">
        <v>382</v>
      </c>
      <c r="H3" t="s">
        <v>383</v>
      </c>
      <c r="I3" t="s">
        <v>384</v>
      </c>
      <c r="J3" t="s">
        <v>385</v>
      </c>
    </row>
    <row r="4" spans="1:16">
      <c r="A4">
        <v>10010</v>
      </c>
      <c r="B4" s="149">
        <v>44562</v>
      </c>
      <c r="C4" t="s">
        <v>386</v>
      </c>
      <c r="D4" t="s">
        <v>387</v>
      </c>
      <c r="E4" t="s">
        <v>388</v>
      </c>
      <c r="F4">
        <v>1099</v>
      </c>
      <c r="G4">
        <v>289</v>
      </c>
      <c r="H4">
        <v>314</v>
      </c>
      <c r="I4">
        <v>344537</v>
      </c>
      <c r="J4">
        <v>90602</v>
      </c>
      <c r="N4" s="178" t="s">
        <v>237</v>
      </c>
    </row>
    <row r="5" spans="1:16">
      <c r="A5">
        <v>10011</v>
      </c>
      <c r="B5" s="149">
        <v>44562</v>
      </c>
      <c r="C5" t="s">
        <v>386</v>
      </c>
      <c r="D5" t="s">
        <v>389</v>
      </c>
      <c r="E5" t="s">
        <v>390</v>
      </c>
      <c r="F5">
        <v>1099</v>
      </c>
      <c r="G5">
        <v>289</v>
      </c>
      <c r="H5">
        <v>301</v>
      </c>
      <c r="I5">
        <v>330469</v>
      </c>
      <c r="J5">
        <v>86902</v>
      </c>
      <c r="N5" s="178" t="s">
        <v>395</v>
      </c>
    </row>
    <row r="6" spans="1:16">
      <c r="A6">
        <v>10012</v>
      </c>
      <c r="B6" s="149">
        <v>44562</v>
      </c>
      <c r="C6" t="s">
        <v>391</v>
      </c>
      <c r="D6" t="s">
        <v>392</v>
      </c>
      <c r="E6" t="s">
        <v>393</v>
      </c>
      <c r="F6">
        <v>1299</v>
      </c>
      <c r="G6">
        <v>459</v>
      </c>
      <c r="H6">
        <v>482</v>
      </c>
      <c r="I6">
        <v>626378</v>
      </c>
      <c r="J6">
        <v>221330</v>
      </c>
    </row>
    <row r="7" spans="1:16">
      <c r="A7">
        <v>10013</v>
      </c>
      <c r="B7" s="149">
        <v>44562</v>
      </c>
      <c r="C7" t="s">
        <v>394</v>
      </c>
      <c r="D7" t="s">
        <v>395</v>
      </c>
      <c r="E7" t="s">
        <v>396</v>
      </c>
      <c r="F7">
        <v>599</v>
      </c>
      <c r="G7">
        <v>299</v>
      </c>
      <c r="H7">
        <v>109</v>
      </c>
      <c r="I7">
        <v>65291</v>
      </c>
      <c r="J7">
        <v>32591</v>
      </c>
      <c r="N7" t="str" cm="1">
        <f t="array" ref="N7:P12">_xlfn.GROUPBY(D3:D202,H3:I202,_xleta.SUM,3)</f>
        <v>Region</v>
      </c>
      <c r="O7" t="str">
        <v>Quantity</v>
      </c>
      <c r="P7" t="str">
        <v>Revenues</v>
      </c>
    </row>
    <row r="8" spans="1:16">
      <c r="A8">
        <v>10014</v>
      </c>
      <c r="B8" s="149">
        <v>44562</v>
      </c>
      <c r="C8" t="s">
        <v>397</v>
      </c>
      <c r="D8" t="s">
        <v>395</v>
      </c>
      <c r="E8" t="s">
        <v>393</v>
      </c>
      <c r="F8">
        <v>449</v>
      </c>
      <c r="G8">
        <v>159</v>
      </c>
      <c r="H8">
        <v>451</v>
      </c>
      <c r="I8">
        <v>202454</v>
      </c>
      <c r="J8">
        <v>71693</v>
      </c>
      <c r="N8" t="str">
        <v>Asia</v>
      </c>
      <c r="O8">
        <v>16788</v>
      </c>
      <c r="P8">
        <v>13726364</v>
      </c>
    </row>
    <row r="9" spans="1:16">
      <c r="A9">
        <v>10015</v>
      </c>
      <c r="B9" s="149">
        <v>44562</v>
      </c>
      <c r="C9" t="s">
        <v>398</v>
      </c>
      <c r="D9" t="s">
        <v>395</v>
      </c>
      <c r="E9" t="s">
        <v>393</v>
      </c>
      <c r="F9">
        <v>199</v>
      </c>
      <c r="G9">
        <v>39</v>
      </c>
      <c r="H9">
        <v>271</v>
      </c>
      <c r="I9">
        <v>53909</v>
      </c>
      <c r="J9">
        <v>10565</v>
      </c>
      <c r="N9" t="str">
        <v>EMEA</v>
      </c>
      <c r="O9">
        <v>9158</v>
      </c>
      <c r="P9">
        <v>6170610</v>
      </c>
    </row>
    <row r="10" spans="1:16">
      <c r="A10">
        <v>10016</v>
      </c>
      <c r="B10" s="149">
        <v>44652</v>
      </c>
      <c r="C10" t="s">
        <v>398</v>
      </c>
      <c r="D10" t="s">
        <v>395</v>
      </c>
      <c r="E10" t="s">
        <v>388</v>
      </c>
      <c r="F10">
        <v>199</v>
      </c>
      <c r="G10">
        <v>39</v>
      </c>
      <c r="H10">
        <v>443</v>
      </c>
      <c r="I10">
        <v>88177</v>
      </c>
      <c r="J10">
        <v>17281</v>
      </c>
      <c r="N10" t="str">
        <v>North America</v>
      </c>
      <c r="O10">
        <v>13815</v>
      </c>
      <c r="P10">
        <v>7957287</v>
      </c>
    </row>
    <row r="11" spans="1:16">
      <c r="A11">
        <v>10017</v>
      </c>
      <c r="B11" s="149">
        <v>44743</v>
      </c>
      <c r="C11" t="s">
        <v>398</v>
      </c>
      <c r="D11" t="s">
        <v>387</v>
      </c>
      <c r="E11" t="s">
        <v>393</v>
      </c>
      <c r="F11">
        <v>199</v>
      </c>
      <c r="G11">
        <v>39</v>
      </c>
      <c r="H11">
        <v>459</v>
      </c>
      <c r="I11">
        <v>91401</v>
      </c>
      <c r="J11">
        <v>17913</v>
      </c>
      <c r="N11" t="str">
        <v>South America</v>
      </c>
      <c r="O11">
        <v>14562</v>
      </c>
      <c r="P11">
        <v>8263598</v>
      </c>
    </row>
    <row r="12" spans="1:16">
      <c r="A12">
        <v>10018</v>
      </c>
      <c r="B12" s="149">
        <v>44835</v>
      </c>
      <c r="C12" t="s">
        <v>386</v>
      </c>
      <c r="D12" t="s">
        <v>389</v>
      </c>
      <c r="E12" t="s">
        <v>393</v>
      </c>
      <c r="F12">
        <v>1099</v>
      </c>
      <c r="G12">
        <v>289</v>
      </c>
      <c r="H12">
        <v>223</v>
      </c>
      <c r="I12">
        <v>244528</v>
      </c>
      <c r="J12">
        <v>64303</v>
      </c>
      <c r="N12" t="str">
        <v>Total</v>
      </c>
      <c r="O12">
        <v>54323</v>
      </c>
      <c r="P12">
        <v>36117859</v>
      </c>
    </row>
    <row r="13" spans="1:16">
      <c r="A13">
        <v>10019</v>
      </c>
      <c r="B13" s="149" t="s">
        <v>399</v>
      </c>
      <c r="C13" t="s">
        <v>391</v>
      </c>
      <c r="D13" t="s">
        <v>392</v>
      </c>
      <c r="E13" t="s">
        <v>388</v>
      </c>
      <c r="F13">
        <v>1299</v>
      </c>
      <c r="G13">
        <v>459</v>
      </c>
      <c r="H13">
        <v>479</v>
      </c>
      <c r="I13">
        <v>622741</v>
      </c>
      <c r="J13">
        <v>220045</v>
      </c>
    </row>
    <row r="14" spans="1:16">
      <c r="A14">
        <v>10020</v>
      </c>
      <c r="B14" s="149" t="s">
        <v>400</v>
      </c>
      <c r="C14" t="s">
        <v>391</v>
      </c>
      <c r="D14" t="s">
        <v>392</v>
      </c>
      <c r="E14" t="s">
        <v>388</v>
      </c>
      <c r="F14">
        <v>1299</v>
      </c>
      <c r="G14">
        <v>459</v>
      </c>
      <c r="H14">
        <v>301</v>
      </c>
      <c r="I14">
        <v>391259</v>
      </c>
      <c r="J14">
        <v>138251</v>
      </c>
      <c r="N14" s="178" t="s">
        <v>237</v>
      </c>
      <c r="O14" s="178" t="s">
        <v>383</v>
      </c>
    </row>
    <row r="15" spans="1:16">
      <c r="A15">
        <v>10021</v>
      </c>
      <c r="B15" s="149" t="s">
        <v>401</v>
      </c>
      <c r="C15" t="s">
        <v>398</v>
      </c>
      <c r="D15" t="s">
        <v>392</v>
      </c>
      <c r="E15" t="s">
        <v>388</v>
      </c>
      <c r="F15">
        <v>199</v>
      </c>
      <c r="G15">
        <v>39</v>
      </c>
      <c r="H15">
        <v>315</v>
      </c>
      <c r="I15">
        <v>62705</v>
      </c>
      <c r="J15">
        <v>12289</v>
      </c>
      <c r="N15" t="str">
        <f>N5</f>
        <v>South America</v>
      </c>
      <c r="O15">
        <f>VLOOKUP(N5,_xlfn.ANCHORARRAY(N7),2,0)</f>
        <v>14562</v>
      </c>
    </row>
    <row r="16" spans="1:16">
      <c r="A16">
        <v>10022</v>
      </c>
      <c r="B16" s="149" t="s">
        <v>402</v>
      </c>
      <c r="C16" t="s">
        <v>386</v>
      </c>
      <c r="D16" t="s">
        <v>387</v>
      </c>
      <c r="E16" t="s">
        <v>388</v>
      </c>
      <c r="F16">
        <v>1099</v>
      </c>
      <c r="G16">
        <v>289</v>
      </c>
      <c r="H16">
        <v>142</v>
      </c>
      <c r="I16">
        <v>156498</v>
      </c>
      <c r="J16">
        <v>41154</v>
      </c>
    </row>
    <row r="17" spans="1:15">
      <c r="A17">
        <v>10023</v>
      </c>
      <c r="B17" s="149" t="s">
        <v>403</v>
      </c>
      <c r="C17" t="s">
        <v>397</v>
      </c>
      <c r="D17" t="s">
        <v>389</v>
      </c>
      <c r="E17" t="s">
        <v>388</v>
      </c>
      <c r="F17">
        <v>449</v>
      </c>
      <c r="G17">
        <v>159</v>
      </c>
      <c r="H17">
        <v>311</v>
      </c>
      <c r="I17">
        <v>139639</v>
      </c>
      <c r="J17">
        <v>49449</v>
      </c>
      <c r="N17" s="178" t="s">
        <v>237</v>
      </c>
      <c r="O17" s="178" t="s">
        <v>384</v>
      </c>
    </row>
    <row r="18" spans="1:15">
      <c r="A18">
        <v>10024</v>
      </c>
      <c r="B18" s="149">
        <v>44653</v>
      </c>
      <c r="C18" t="s">
        <v>394</v>
      </c>
      <c r="D18" t="s">
        <v>392</v>
      </c>
      <c r="E18" t="s">
        <v>388</v>
      </c>
      <c r="F18">
        <v>599</v>
      </c>
      <c r="G18">
        <v>299</v>
      </c>
      <c r="H18">
        <v>378</v>
      </c>
      <c r="I18">
        <v>226542</v>
      </c>
      <c r="J18">
        <v>113082</v>
      </c>
      <c r="N18" t="str">
        <f>N5</f>
        <v>South America</v>
      </c>
      <c r="O18">
        <f>VLOOKUP(N18,_xlfn.ANCHORARRAY(N7),3,0)</f>
        <v>8263598</v>
      </c>
    </row>
    <row r="19" spans="1:15">
      <c r="A19">
        <v>10025</v>
      </c>
      <c r="B19" s="149">
        <v>44683</v>
      </c>
      <c r="C19" t="s">
        <v>397</v>
      </c>
      <c r="D19" t="s">
        <v>392</v>
      </c>
      <c r="E19" t="s">
        <v>396</v>
      </c>
      <c r="F19">
        <v>449</v>
      </c>
      <c r="G19">
        <v>159</v>
      </c>
      <c r="H19">
        <v>292</v>
      </c>
      <c r="I19">
        <v>131063</v>
      </c>
      <c r="J19">
        <v>46412</v>
      </c>
    </row>
    <row r="20" spans="1:15">
      <c r="A20">
        <v>10026</v>
      </c>
      <c r="B20" s="149">
        <v>44714</v>
      </c>
      <c r="C20" t="s">
        <v>386</v>
      </c>
      <c r="D20" t="s">
        <v>392</v>
      </c>
      <c r="E20" t="s">
        <v>396</v>
      </c>
      <c r="F20">
        <v>1099</v>
      </c>
      <c r="G20">
        <v>289</v>
      </c>
      <c r="H20">
        <v>479</v>
      </c>
      <c r="I20">
        <v>526751</v>
      </c>
      <c r="J20">
        <v>138518</v>
      </c>
    </row>
    <row r="21" spans="1:15">
      <c r="A21">
        <v>10027</v>
      </c>
      <c r="B21" s="149">
        <v>44744</v>
      </c>
      <c r="C21" t="s">
        <v>397</v>
      </c>
      <c r="D21" t="s">
        <v>387</v>
      </c>
      <c r="E21" t="s">
        <v>390</v>
      </c>
      <c r="F21">
        <v>449</v>
      </c>
      <c r="G21">
        <v>159</v>
      </c>
      <c r="H21">
        <v>115</v>
      </c>
      <c r="I21">
        <v>51680</v>
      </c>
      <c r="J21">
        <v>18301</v>
      </c>
    </row>
    <row r="22" spans="1:15">
      <c r="A22">
        <v>10028</v>
      </c>
      <c r="B22" s="149">
        <v>44775</v>
      </c>
      <c r="C22" t="s">
        <v>386</v>
      </c>
      <c r="D22" t="s">
        <v>392</v>
      </c>
      <c r="E22" t="s">
        <v>396</v>
      </c>
      <c r="F22">
        <v>1099</v>
      </c>
      <c r="G22">
        <v>289</v>
      </c>
      <c r="H22">
        <v>348</v>
      </c>
      <c r="I22">
        <v>382232</v>
      </c>
      <c r="J22">
        <v>100514</v>
      </c>
    </row>
    <row r="23" spans="1:15">
      <c r="A23">
        <v>10029</v>
      </c>
      <c r="B23" s="149">
        <v>44775</v>
      </c>
      <c r="C23" t="s">
        <v>391</v>
      </c>
      <c r="D23" t="s">
        <v>392</v>
      </c>
      <c r="E23" t="s">
        <v>396</v>
      </c>
      <c r="F23">
        <v>1299</v>
      </c>
      <c r="G23">
        <v>459</v>
      </c>
      <c r="H23">
        <v>222</v>
      </c>
      <c r="I23">
        <v>288898</v>
      </c>
      <c r="J23">
        <v>102082</v>
      </c>
    </row>
    <row r="24" spans="1:15">
      <c r="A24">
        <v>10030</v>
      </c>
      <c r="B24" s="149">
        <v>44775</v>
      </c>
      <c r="C24" t="s">
        <v>386</v>
      </c>
      <c r="D24" t="s">
        <v>392</v>
      </c>
      <c r="E24" t="s">
        <v>393</v>
      </c>
      <c r="F24">
        <v>1099</v>
      </c>
      <c r="G24">
        <v>289</v>
      </c>
      <c r="H24">
        <v>277</v>
      </c>
      <c r="I24">
        <v>303874</v>
      </c>
      <c r="J24">
        <v>79909</v>
      </c>
    </row>
    <row r="25" spans="1:15">
      <c r="A25">
        <v>10031</v>
      </c>
      <c r="B25" s="149">
        <v>44775</v>
      </c>
      <c r="C25" t="s">
        <v>386</v>
      </c>
      <c r="D25" t="s">
        <v>387</v>
      </c>
      <c r="E25" t="s">
        <v>393</v>
      </c>
      <c r="F25">
        <v>1099</v>
      </c>
      <c r="G25">
        <v>289</v>
      </c>
      <c r="H25">
        <v>151</v>
      </c>
      <c r="I25">
        <v>166169</v>
      </c>
      <c r="J25">
        <v>43697</v>
      </c>
    </row>
    <row r="26" spans="1:15">
      <c r="A26">
        <v>10032</v>
      </c>
      <c r="B26" s="149">
        <v>44775</v>
      </c>
      <c r="C26" t="s">
        <v>398</v>
      </c>
      <c r="D26" t="s">
        <v>387</v>
      </c>
      <c r="E26" t="s">
        <v>393</v>
      </c>
      <c r="F26">
        <v>199</v>
      </c>
      <c r="G26">
        <v>39</v>
      </c>
      <c r="H26">
        <v>172</v>
      </c>
      <c r="I26">
        <v>34148</v>
      </c>
      <c r="J26">
        <v>6692</v>
      </c>
    </row>
    <row r="27" spans="1:15">
      <c r="A27">
        <v>10033</v>
      </c>
      <c r="B27" s="149" t="s">
        <v>404</v>
      </c>
      <c r="C27" t="s">
        <v>394</v>
      </c>
      <c r="D27" t="s">
        <v>389</v>
      </c>
      <c r="E27" t="s">
        <v>393</v>
      </c>
      <c r="F27">
        <v>599</v>
      </c>
      <c r="G27">
        <v>299</v>
      </c>
      <c r="H27">
        <v>365</v>
      </c>
      <c r="I27">
        <v>218875</v>
      </c>
      <c r="J27">
        <v>109255</v>
      </c>
    </row>
    <row r="28" spans="1:15">
      <c r="A28">
        <v>10034</v>
      </c>
      <c r="B28" s="149" t="s">
        <v>404</v>
      </c>
      <c r="C28" t="s">
        <v>391</v>
      </c>
      <c r="D28" t="s">
        <v>389</v>
      </c>
      <c r="E28" t="s">
        <v>388</v>
      </c>
      <c r="F28">
        <v>1299</v>
      </c>
      <c r="G28">
        <v>459</v>
      </c>
      <c r="H28">
        <v>156</v>
      </c>
      <c r="I28">
        <v>202774</v>
      </c>
      <c r="J28">
        <v>71650</v>
      </c>
    </row>
    <row r="29" spans="1:15">
      <c r="A29">
        <v>10035</v>
      </c>
      <c r="B29" s="149" t="s">
        <v>404</v>
      </c>
      <c r="C29" t="s">
        <v>391</v>
      </c>
      <c r="D29" t="s">
        <v>387</v>
      </c>
      <c r="E29" t="s">
        <v>393</v>
      </c>
      <c r="F29">
        <v>1299</v>
      </c>
      <c r="G29">
        <v>459</v>
      </c>
      <c r="H29">
        <v>208</v>
      </c>
      <c r="I29">
        <v>270582</v>
      </c>
      <c r="J29">
        <v>95610</v>
      </c>
    </row>
    <row r="30" spans="1:15">
      <c r="A30">
        <v>10036</v>
      </c>
      <c r="B30" s="149" t="s">
        <v>404</v>
      </c>
      <c r="C30" t="s">
        <v>391</v>
      </c>
      <c r="D30" t="s">
        <v>389</v>
      </c>
      <c r="E30" t="s">
        <v>388</v>
      </c>
      <c r="F30">
        <v>1299</v>
      </c>
      <c r="G30">
        <v>459</v>
      </c>
      <c r="H30">
        <v>267</v>
      </c>
      <c r="I30">
        <v>347223</v>
      </c>
      <c r="J30">
        <v>122691</v>
      </c>
    </row>
    <row r="31" spans="1:15">
      <c r="A31">
        <v>10037</v>
      </c>
      <c r="B31" s="149" t="s">
        <v>405</v>
      </c>
      <c r="C31" t="s">
        <v>394</v>
      </c>
      <c r="D31" t="s">
        <v>389</v>
      </c>
      <c r="E31" t="s">
        <v>388</v>
      </c>
      <c r="F31">
        <v>599</v>
      </c>
      <c r="G31">
        <v>299</v>
      </c>
      <c r="H31">
        <v>339</v>
      </c>
      <c r="I31">
        <v>202762</v>
      </c>
      <c r="J31">
        <v>101212</v>
      </c>
    </row>
    <row r="32" spans="1:15">
      <c r="A32">
        <v>10038</v>
      </c>
      <c r="B32" s="149" t="s">
        <v>406</v>
      </c>
      <c r="C32" t="s">
        <v>386</v>
      </c>
      <c r="D32" t="s">
        <v>392</v>
      </c>
      <c r="E32" t="s">
        <v>393</v>
      </c>
      <c r="F32">
        <v>1099</v>
      </c>
      <c r="G32">
        <v>289</v>
      </c>
      <c r="H32">
        <v>322</v>
      </c>
      <c r="I32">
        <v>353658</v>
      </c>
      <c r="J32">
        <v>93000</v>
      </c>
    </row>
    <row r="33" spans="1:10">
      <c r="A33">
        <v>10039</v>
      </c>
      <c r="B33" s="149" t="s">
        <v>407</v>
      </c>
      <c r="C33" t="s">
        <v>398</v>
      </c>
      <c r="D33" t="s">
        <v>389</v>
      </c>
      <c r="E33" t="s">
        <v>396</v>
      </c>
      <c r="F33">
        <v>199</v>
      </c>
      <c r="G33">
        <v>39</v>
      </c>
      <c r="H33">
        <v>369</v>
      </c>
      <c r="I33">
        <v>73371</v>
      </c>
      <c r="J33">
        <v>14379</v>
      </c>
    </row>
    <row r="34" spans="1:10">
      <c r="A34">
        <v>10040</v>
      </c>
      <c r="B34" s="149" t="s">
        <v>408</v>
      </c>
      <c r="C34" t="s">
        <v>391</v>
      </c>
      <c r="D34" t="s">
        <v>387</v>
      </c>
      <c r="E34" t="s">
        <v>390</v>
      </c>
      <c r="F34">
        <v>1299</v>
      </c>
      <c r="G34">
        <v>459</v>
      </c>
      <c r="H34">
        <v>127</v>
      </c>
      <c r="I34">
        <v>164843</v>
      </c>
      <c r="J34">
        <v>58247</v>
      </c>
    </row>
    <row r="35" spans="1:10">
      <c r="A35">
        <v>10041</v>
      </c>
      <c r="B35" s="149" t="s">
        <v>409</v>
      </c>
      <c r="C35" t="s">
        <v>394</v>
      </c>
      <c r="D35" t="s">
        <v>395</v>
      </c>
      <c r="E35" t="s">
        <v>393</v>
      </c>
      <c r="F35">
        <v>599</v>
      </c>
      <c r="G35">
        <v>299</v>
      </c>
      <c r="H35">
        <v>390</v>
      </c>
      <c r="I35">
        <v>233610</v>
      </c>
      <c r="J35">
        <v>116610</v>
      </c>
    </row>
    <row r="36" spans="1:10">
      <c r="A36">
        <v>10042</v>
      </c>
      <c r="B36" s="149" t="s">
        <v>410</v>
      </c>
      <c r="C36" t="s">
        <v>391</v>
      </c>
      <c r="D36" t="s">
        <v>395</v>
      </c>
      <c r="E36" t="s">
        <v>390</v>
      </c>
      <c r="F36">
        <v>1299</v>
      </c>
      <c r="G36">
        <v>459</v>
      </c>
      <c r="H36">
        <v>388</v>
      </c>
      <c r="I36">
        <v>504402</v>
      </c>
      <c r="J36">
        <v>178230</v>
      </c>
    </row>
    <row r="37" spans="1:10">
      <c r="A37">
        <v>10043</v>
      </c>
      <c r="B37" s="149" t="s">
        <v>411</v>
      </c>
      <c r="C37" t="s">
        <v>391</v>
      </c>
      <c r="D37" t="s">
        <v>395</v>
      </c>
      <c r="E37" t="s">
        <v>393</v>
      </c>
      <c r="F37">
        <v>1299</v>
      </c>
      <c r="G37">
        <v>459</v>
      </c>
      <c r="H37">
        <v>112</v>
      </c>
      <c r="I37">
        <v>145488</v>
      </c>
      <c r="J37">
        <v>51408</v>
      </c>
    </row>
    <row r="38" spans="1:10">
      <c r="A38">
        <v>10044</v>
      </c>
      <c r="B38" s="149" t="s">
        <v>412</v>
      </c>
      <c r="C38" t="s">
        <v>398</v>
      </c>
      <c r="D38" t="s">
        <v>395</v>
      </c>
      <c r="E38" t="s">
        <v>388</v>
      </c>
      <c r="F38">
        <v>199</v>
      </c>
      <c r="G38">
        <v>39</v>
      </c>
      <c r="H38">
        <v>332</v>
      </c>
      <c r="I38">
        <v>66008</v>
      </c>
      <c r="J38">
        <v>12936</v>
      </c>
    </row>
    <row r="39" spans="1:10">
      <c r="A39">
        <v>10045</v>
      </c>
      <c r="B39" s="149">
        <v>44596</v>
      </c>
      <c r="C39" t="s">
        <v>398</v>
      </c>
      <c r="D39" t="s">
        <v>389</v>
      </c>
      <c r="E39" t="s">
        <v>388</v>
      </c>
      <c r="F39">
        <v>199</v>
      </c>
      <c r="G39">
        <v>39</v>
      </c>
      <c r="H39">
        <v>171</v>
      </c>
      <c r="I39">
        <v>34029</v>
      </c>
      <c r="J39">
        <v>6669</v>
      </c>
    </row>
    <row r="40" spans="1:10">
      <c r="A40">
        <v>10046</v>
      </c>
      <c r="B40" s="149">
        <v>44655</v>
      </c>
      <c r="C40" t="s">
        <v>391</v>
      </c>
      <c r="D40" t="s">
        <v>395</v>
      </c>
      <c r="E40" t="s">
        <v>393</v>
      </c>
      <c r="F40">
        <v>1299</v>
      </c>
      <c r="G40">
        <v>459</v>
      </c>
      <c r="H40">
        <v>167</v>
      </c>
      <c r="I40">
        <v>217193</v>
      </c>
      <c r="J40">
        <v>76745</v>
      </c>
    </row>
    <row r="41" spans="1:10">
      <c r="A41">
        <v>10047</v>
      </c>
      <c r="B41" s="149">
        <v>44716</v>
      </c>
      <c r="C41" t="s">
        <v>398</v>
      </c>
      <c r="D41" t="s">
        <v>389</v>
      </c>
      <c r="E41" t="s">
        <v>393</v>
      </c>
      <c r="F41">
        <v>199</v>
      </c>
      <c r="G41">
        <v>39</v>
      </c>
      <c r="H41">
        <v>358</v>
      </c>
      <c r="I41">
        <v>71202</v>
      </c>
      <c r="J41">
        <v>13954</v>
      </c>
    </row>
    <row r="42" spans="1:10">
      <c r="A42">
        <v>10048</v>
      </c>
      <c r="B42" s="149">
        <v>44777</v>
      </c>
      <c r="C42" t="s">
        <v>397</v>
      </c>
      <c r="D42" t="s">
        <v>395</v>
      </c>
      <c r="E42" t="s">
        <v>393</v>
      </c>
      <c r="F42">
        <v>449</v>
      </c>
      <c r="G42">
        <v>159</v>
      </c>
      <c r="H42">
        <v>396</v>
      </c>
      <c r="I42">
        <v>177894</v>
      </c>
      <c r="J42">
        <v>62996</v>
      </c>
    </row>
    <row r="43" spans="1:10">
      <c r="A43">
        <v>10049</v>
      </c>
      <c r="B43" s="149">
        <v>44838</v>
      </c>
      <c r="C43" t="s">
        <v>397</v>
      </c>
      <c r="D43" t="s">
        <v>395</v>
      </c>
      <c r="E43" t="s">
        <v>393</v>
      </c>
      <c r="F43">
        <v>449</v>
      </c>
      <c r="G43">
        <v>159</v>
      </c>
      <c r="H43">
        <v>314</v>
      </c>
      <c r="I43">
        <v>141076</v>
      </c>
      <c r="J43">
        <v>49958</v>
      </c>
    </row>
    <row r="44" spans="1:10">
      <c r="A44">
        <v>10050</v>
      </c>
      <c r="B44" s="149">
        <v>44899</v>
      </c>
      <c r="C44" t="s">
        <v>394</v>
      </c>
      <c r="D44" t="s">
        <v>392</v>
      </c>
      <c r="E44" t="s">
        <v>390</v>
      </c>
      <c r="F44">
        <v>599</v>
      </c>
      <c r="G44">
        <v>299</v>
      </c>
      <c r="H44">
        <v>498</v>
      </c>
      <c r="I44">
        <v>298122</v>
      </c>
      <c r="J44">
        <v>148812</v>
      </c>
    </row>
    <row r="45" spans="1:10">
      <c r="A45">
        <v>10051</v>
      </c>
      <c r="B45" s="149" t="s">
        <v>413</v>
      </c>
      <c r="C45" t="s">
        <v>394</v>
      </c>
      <c r="D45" t="s">
        <v>395</v>
      </c>
      <c r="E45" t="s">
        <v>396</v>
      </c>
      <c r="F45">
        <v>599</v>
      </c>
      <c r="G45">
        <v>299</v>
      </c>
      <c r="H45">
        <v>125</v>
      </c>
      <c r="I45">
        <v>75115</v>
      </c>
      <c r="J45">
        <v>37495</v>
      </c>
    </row>
    <row r="46" spans="1:10">
      <c r="A46">
        <v>10052</v>
      </c>
      <c r="B46" s="149" t="s">
        <v>414</v>
      </c>
      <c r="C46" t="s">
        <v>398</v>
      </c>
      <c r="D46" t="s">
        <v>389</v>
      </c>
      <c r="E46" t="s">
        <v>396</v>
      </c>
      <c r="F46">
        <v>199</v>
      </c>
      <c r="G46">
        <v>39</v>
      </c>
      <c r="H46">
        <v>411</v>
      </c>
      <c r="I46">
        <v>81829</v>
      </c>
      <c r="J46">
        <v>16037</v>
      </c>
    </row>
    <row r="47" spans="1:10">
      <c r="A47">
        <v>10053</v>
      </c>
      <c r="B47" s="149" t="s">
        <v>415</v>
      </c>
      <c r="C47" t="s">
        <v>398</v>
      </c>
      <c r="D47" t="s">
        <v>389</v>
      </c>
      <c r="E47" t="s">
        <v>388</v>
      </c>
      <c r="F47">
        <v>199</v>
      </c>
      <c r="G47">
        <v>39</v>
      </c>
      <c r="H47">
        <v>194</v>
      </c>
      <c r="I47">
        <v>38666</v>
      </c>
      <c r="J47">
        <v>7578</v>
      </c>
    </row>
    <row r="48" spans="1:10">
      <c r="A48">
        <v>10054</v>
      </c>
      <c r="B48" s="149" t="s">
        <v>416</v>
      </c>
      <c r="C48" t="s">
        <v>398</v>
      </c>
      <c r="D48" t="s">
        <v>392</v>
      </c>
      <c r="E48" t="s">
        <v>388</v>
      </c>
      <c r="F48">
        <v>199</v>
      </c>
      <c r="G48">
        <v>39</v>
      </c>
      <c r="H48">
        <v>168</v>
      </c>
      <c r="I48">
        <v>33412</v>
      </c>
      <c r="J48">
        <v>6548</v>
      </c>
    </row>
    <row r="49" spans="1:10">
      <c r="A49">
        <v>10055</v>
      </c>
      <c r="B49" s="149" t="s">
        <v>417</v>
      </c>
      <c r="C49" t="s">
        <v>386</v>
      </c>
      <c r="D49" t="s">
        <v>395</v>
      </c>
      <c r="E49" t="s">
        <v>388</v>
      </c>
      <c r="F49">
        <v>1099</v>
      </c>
      <c r="G49">
        <v>289</v>
      </c>
      <c r="H49">
        <v>132</v>
      </c>
      <c r="I49">
        <v>145288</v>
      </c>
      <c r="J49">
        <v>38206</v>
      </c>
    </row>
    <row r="50" spans="1:10">
      <c r="A50">
        <v>10056</v>
      </c>
      <c r="B50" s="149" t="s">
        <v>418</v>
      </c>
      <c r="C50" t="s">
        <v>386</v>
      </c>
      <c r="D50" t="s">
        <v>392</v>
      </c>
      <c r="E50" t="s">
        <v>388</v>
      </c>
      <c r="F50">
        <v>1099</v>
      </c>
      <c r="G50">
        <v>289</v>
      </c>
      <c r="H50">
        <v>139</v>
      </c>
      <c r="I50">
        <v>153201</v>
      </c>
      <c r="J50">
        <v>40287</v>
      </c>
    </row>
    <row r="51" spans="1:10">
      <c r="A51">
        <v>10057</v>
      </c>
      <c r="B51" s="149" t="s">
        <v>419</v>
      </c>
      <c r="C51" t="s">
        <v>386</v>
      </c>
      <c r="D51" t="s">
        <v>389</v>
      </c>
      <c r="E51" t="s">
        <v>388</v>
      </c>
      <c r="F51">
        <v>1099</v>
      </c>
      <c r="G51">
        <v>289</v>
      </c>
      <c r="H51">
        <v>106</v>
      </c>
      <c r="I51">
        <v>116494</v>
      </c>
      <c r="J51">
        <v>30634</v>
      </c>
    </row>
    <row r="52" spans="1:10">
      <c r="A52">
        <v>10058</v>
      </c>
      <c r="B52" s="149" t="s">
        <v>420</v>
      </c>
      <c r="C52" t="s">
        <v>394</v>
      </c>
      <c r="D52" t="s">
        <v>392</v>
      </c>
      <c r="E52" t="s">
        <v>396</v>
      </c>
      <c r="F52">
        <v>599</v>
      </c>
      <c r="G52">
        <v>299</v>
      </c>
      <c r="H52">
        <v>272</v>
      </c>
      <c r="I52">
        <v>162868</v>
      </c>
      <c r="J52">
        <v>81298</v>
      </c>
    </row>
    <row r="53" spans="1:10">
      <c r="A53">
        <v>10059</v>
      </c>
      <c r="B53" s="149" t="s">
        <v>421</v>
      </c>
      <c r="C53" t="s">
        <v>398</v>
      </c>
      <c r="D53" t="s">
        <v>389</v>
      </c>
      <c r="E53" t="s">
        <v>390</v>
      </c>
      <c r="F53">
        <v>199</v>
      </c>
      <c r="G53">
        <v>39</v>
      </c>
      <c r="H53">
        <v>236</v>
      </c>
      <c r="I53">
        <v>46964</v>
      </c>
      <c r="J53">
        <v>9204</v>
      </c>
    </row>
    <row r="54" spans="1:10">
      <c r="A54">
        <v>10060</v>
      </c>
      <c r="B54" s="149">
        <v>44597</v>
      </c>
      <c r="C54" t="s">
        <v>391</v>
      </c>
      <c r="D54" t="s">
        <v>392</v>
      </c>
      <c r="E54" t="s">
        <v>390</v>
      </c>
      <c r="F54">
        <v>1299</v>
      </c>
      <c r="G54">
        <v>459</v>
      </c>
      <c r="H54">
        <v>340</v>
      </c>
      <c r="I54">
        <v>441400</v>
      </c>
      <c r="J54">
        <v>155968</v>
      </c>
    </row>
    <row r="55" spans="1:10">
      <c r="A55">
        <v>10061</v>
      </c>
      <c r="B55" s="149">
        <v>44656</v>
      </c>
      <c r="C55" t="s">
        <v>394</v>
      </c>
      <c r="D55" t="s">
        <v>392</v>
      </c>
      <c r="E55" t="s">
        <v>393</v>
      </c>
      <c r="F55">
        <v>599</v>
      </c>
      <c r="G55">
        <v>299</v>
      </c>
      <c r="H55">
        <v>404</v>
      </c>
      <c r="I55">
        <v>241756</v>
      </c>
      <c r="J55">
        <v>120676</v>
      </c>
    </row>
    <row r="56" spans="1:10">
      <c r="A56">
        <v>10062</v>
      </c>
      <c r="B56" s="149">
        <v>44717</v>
      </c>
      <c r="C56" t="s">
        <v>391</v>
      </c>
      <c r="D56" t="s">
        <v>395</v>
      </c>
      <c r="E56" t="s">
        <v>393</v>
      </c>
      <c r="F56">
        <v>1299</v>
      </c>
      <c r="G56">
        <v>459</v>
      </c>
      <c r="H56">
        <v>219</v>
      </c>
      <c r="I56">
        <v>283961</v>
      </c>
      <c r="J56">
        <v>100337</v>
      </c>
    </row>
    <row r="57" spans="1:10">
      <c r="A57">
        <v>10063</v>
      </c>
      <c r="B57" s="149">
        <v>44778</v>
      </c>
      <c r="C57" t="s">
        <v>391</v>
      </c>
      <c r="D57" t="s">
        <v>395</v>
      </c>
      <c r="E57" t="s">
        <v>390</v>
      </c>
      <c r="F57">
        <v>1299</v>
      </c>
      <c r="G57">
        <v>459</v>
      </c>
      <c r="H57">
        <v>462</v>
      </c>
      <c r="I57">
        <v>600398</v>
      </c>
      <c r="J57">
        <v>212150</v>
      </c>
    </row>
    <row r="58" spans="1:10">
      <c r="A58">
        <v>10064</v>
      </c>
      <c r="B58" s="149">
        <v>44839</v>
      </c>
      <c r="C58" t="s">
        <v>397</v>
      </c>
      <c r="D58" t="s">
        <v>389</v>
      </c>
      <c r="E58" t="s">
        <v>393</v>
      </c>
      <c r="F58">
        <v>449</v>
      </c>
      <c r="G58">
        <v>159</v>
      </c>
      <c r="H58">
        <v>211</v>
      </c>
      <c r="I58">
        <v>94694</v>
      </c>
      <c r="J58">
        <v>33533</v>
      </c>
    </row>
    <row r="59" spans="1:10">
      <c r="A59">
        <v>10065</v>
      </c>
      <c r="B59" s="149">
        <v>44900</v>
      </c>
      <c r="C59" t="s">
        <v>397</v>
      </c>
      <c r="D59" t="s">
        <v>392</v>
      </c>
      <c r="E59" t="s">
        <v>390</v>
      </c>
      <c r="F59">
        <v>449</v>
      </c>
      <c r="G59">
        <v>159</v>
      </c>
      <c r="H59">
        <v>453</v>
      </c>
      <c r="I59">
        <v>203577</v>
      </c>
      <c r="J59">
        <v>72091</v>
      </c>
    </row>
    <row r="60" spans="1:10">
      <c r="A60">
        <v>10066</v>
      </c>
      <c r="B60" s="149" t="s">
        <v>422</v>
      </c>
      <c r="C60" t="s">
        <v>398</v>
      </c>
      <c r="D60" t="s">
        <v>395</v>
      </c>
      <c r="E60" t="s">
        <v>390</v>
      </c>
      <c r="F60">
        <v>199</v>
      </c>
      <c r="G60">
        <v>39</v>
      </c>
      <c r="H60">
        <v>472</v>
      </c>
      <c r="I60">
        <v>93908</v>
      </c>
      <c r="J60">
        <v>18404</v>
      </c>
    </row>
    <row r="61" spans="1:10">
      <c r="A61">
        <v>10067</v>
      </c>
      <c r="B61" s="149" t="s">
        <v>423</v>
      </c>
      <c r="C61" t="s">
        <v>397</v>
      </c>
      <c r="D61" t="s">
        <v>392</v>
      </c>
      <c r="E61" t="s">
        <v>390</v>
      </c>
      <c r="F61">
        <v>449</v>
      </c>
      <c r="G61">
        <v>159</v>
      </c>
      <c r="H61">
        <v>128</v>
      </c>
      <c r="I61">
        <v>57607</v>
      </c>
      <c r="J61">
        <v>20400</v>
      </c>
    </row>
    <row r="62" spans="1:10">
      <c r="A62">
        <v>10068</v>
      </c>
      <c r="B62" s="149" t="s">
        <v>424</v>
      </c>
      <c r="C62" t="s">
        <v>394</v>
      </c>
      <c r="D62" t="s">
        <v>389</v>
      </c>
      <c r="E62" t="s">
        <v>390</v>
      </c>
      <c r="F62">
        <v>599</v>
      </c>
      <c r="G62">
        <v>299</v>
      </c>
      <c r="H62">
        <v>198</v>
      </c>
      <c r="I62">
        <v>118722</v>
      </c>
      <c r="J62">
        <v>59262</v>
      </c>
    </row>
    <row r="63" spans="1:10">
      <c r="A63">
        <v>10069</v>
      </c>
      <c r="B63" s="149" t="s">
        <v>425</v>
      </c>
      <c r="C63" t="s">
        <v>394</v>
      </c>
      <c r="D63" t="s">
        <v>392</v>
      </c>
      <c r="E63" t="s">
        <v>390</v>
      </c>
      <c r="F63">
        <v>599</v>
      </c>
      <c r="G63">
        <v>299</v>
      </c>
      <c r="H63">
        <v>300</v>
      </c>
      <c r="I63">
        <v>179880</v>
      </c>
      <c r="J63">
        <v>89790</v>
      </c>
    </row>
    <row r="64" spans="1:10">
      <c r="A64">
        <v>10070</v>
      </c>
      <c r="B64" s="149" t="s">
        <v>426</v>
      </c>
      <c r="C64" t="s">
        <v>386</v>
      </c>
      <c r="D64" t="s">
        <v>395</v>
      </c>
      <c r="E64" t="s">
        <v>390</v>
      </c>
      <c r="F64">
        <v>1099</v>
      </c>
      <c r="G64">
        <v>289</v>
      </c>
      <c r="H64">
        <v>129</v>
      </c>
      <c r="I64">
        <v>142211</v>
      </c>
      <c r="J64">
        <v>37397</v>
      </c>
    </row>
    <row r="65" spans="1:10">
      <c r="A65">
        <v>10071</v>
      </c>
      <c r="B65" s="149" t="s">
        <v>427</v>
      </c>
      <c r="C65" t="s">
        <v>386</v>
      </c>
      <c r="D65" t="s">
        <v>392</v>
      </c>
      <c r="E65" t="s">
        <v>390</v>
      </c>
      <c r="F65">
        <v>1099</v>
      </c>
      <c r="G65">
        <v>289</v>
      </c>
      <c r="H65">
        <v>342</v>
      </c>
      <c r="I65">
        <v>375528</v>
      </c>
      <c r="J65">
        <v>98751</v>
      </c>
    </row>
    <row r="66" spans="1:10">
      <c r="A66">
        <v>10072</v>
      </c>
      <c r="B66" s="149" t="s">
        <v>428</v>
      </c>
      <c r="C66" t="s">
        <v>394</v>
      </c>
      <c r="D66" t="s">
        <v>389</v>
      </c>
      <c r="E66" t="s">
        <v>388</v>
      </c>
      <c r="F66">
        <v>599</v>
      </c>
      <c r="G66">
        <v>299</v>
      </c>
      <c r="H66">
        <v>156</v>
      </c>
      <c r="I66">
        <v>93204</v>
      </c>
      <c r="J66">
        <v>46524</v>
      </c>
    </row>
    <row r="67" spans="1:10">
      <c r="A67">
        <v>10073</v>
      </c>
      <c r="B67" s="149" t="s">
        <v>429</v>
      </c>
      <c r="C67" t="s">
        <v>391</v>
      </c>
      <c r="D67" t="s">
        <v>392</v>
      </c>
      <c r="E67" t="s">
        <v>388</v>
      </c>
      <c r="F67">
        <v>1299</v>
      </c>
      <c r="G67">
        <v>459</v>
      </c>
      <c r="H67">
        <v>318</v>
      </c>
      <c r="I67">
        <v>413602</v>
      </c>
      <c r="J67">
        <v>146146</v>
      </c>
    </row>
    <row r="68" spans="1:10">
      <c r="A68">
        <v>10074</v>
      </c>
      <c r="B68" s="149" t="s">
        <v>430</v>
      </c>
      <c r="C68" t="s">
        <v>398</v>
      </c>
      <c r="D68" t="s">
        <v>395</v>
      </c>
      <c r="E68" t="s">
        <v>388</v>
      </c>
      <c r="F68">
        <v>199</v>
      </c>
      <c r="G68">
        <v>39</v>
      </c>
      <c r="H68">
        <v>308</v>
      </c>
      <c r="I68">
        <v>61212</v>
      </c>
      <c r="J68">
        <v>11996</v>
      </c>
    </row>
    <row r="69" spans="1:10">
      <c r="A69">
        <v>10075</v>
      </c>
      <c r="B69" s="149">
        <v>44567</v>
      </c>
      <c r="C69" t="s">
        <v>391</v>
      </c>
      <c r="D69" t="s">
        <v>392</v>
      </c>
      <c r="E69" t="s">
        <v>388</v>
      </c>
      <c r="F69">
        <v>1299</v>
      </c>
      <c r="G69">
        <v>459</v>
      </c>
      <c r="H69">
        <v>187</v>
      </c>
      <c r="I69">
        <v>243303</v>
      </c>
      <c r="J69">
        <v>85971</v>
      </c>
    </row>
    <row r="70" spans="1:10">
      <c r="A70">
        <v>10076</v>
      </c>
      <c r="B70" s="149">
        <v>44626</v>
      </c>
      <c r="C70" t="s">
        <v>398</v>
      </c>
      <c r="D70" t="s">
        <v>389</v>
      </c>
      <c r="E70" t="s">
        <v>388</v>
      </c>
      <c r="F70">
        <v>199</v>
      </c>
      <c r="G70">
        <v>39</v>
      </c>
      <c r="H70">
        <v>157</v>
      </c>
      <c r="I70">
        <v>31323</v>
      </c>
      <c r="J70">
        <v>6139</v>
      </c>
    </row>
    <row r="71" spans="1:10">
      <c r="A71">
        <v>10077</v>
      </c>
      <c r="B71" s="149">
        <v>44687</v>
      </c>
      <c r="C71" t="s">
        <v>397</v>
      </c>
      <c r="D71" t="s">
        <v>392</v>
      </c>
      <c r="E71" t="s">
        <v>388</v>
      </c>
      <c r="F71">
        <v>449</v>
      </c>
      <c r="G71">
        <v>159</v>
      </c>
      <c r="H71">
        <v>219</v>
      </c>
      <c r="I71">
        <v>98466</v>
      </c>
      <c r="J71">
        <v>34869</v>
      </c>
    </row>
    <row r="72" spans="1:10">
      <c r="A72">
        <v>10078</v>
      </c>
      <c r="B72" s="149">
        <v>44748</v>
      </c>
      <c r="C72" t="s">
        <v>398</v>
      </c>
      <c r="D72" t="s">
        <v>395</v>
      </c>
      <c r="E72" t="s">
        <v>393</v>
      </c>
      <c r="F72">
        <v>199</v>
      </c>
      <c r="G72">
        <v>39</v>
      </c>
      <c r="H72">
        <v>133</v>
      </c>
      <c r="I72">
        <v>26467</v>
      </c>
      <c r="J72">
        <v>5187</v>
      </c>
    </row>
    <row r="73" spans="1:10">
      <c r="A73">
        <v>10079</v>
      </c>
      <c r="B73" s="149">
        <v>44810</v>
      </c>
      <c r="C73" t="s">
        <v>391</v>
      </c>
      <c r="D73" t="s">
        <v>395</v>
      </c>
      <c r="E73" t="s">
        <v>393</v>
      </c>
      <c r="F73">
        <v>1299</v>
      </c>
      <c r="G73">
        <v>459</v>
      </c>
      <c r="H73">
        <v>358</v>
      </c>
      <c r="I73">
        <v>464522</v>
      </c>
      <c r="J73">
        <v>164138</v>
      </c>
    </row>
    <row r="74" spans="1:10">
      <c r="A74">
        <v>10080</v>
      </c>
      <c r="B74" s="149">
        <v>44871</v>
      </c>
      <c r="C74" t="s">
        <v>398</v>
      </c>
      <c r="D74" t="s">
        <v>387</v>
      </c>
      <c r="E74" t="s">
        <v>388</v>
      </c>
      <c r="F74">
        <v>199</v>
      </c>
      <c r="G74">
        <v>39</v>
      </c>
      <c r="H74">
        <v>401</v>
      </c>
      <c r="I74">
        <v>79719</v>
      </c>
      <c r="J74">
        <v>15623</v>
      </c>
    </row>
    <row r="75" spans="1:10">
      <c r="A75">
        <v>10081</v>
      </c>
      <c r="B75" s="149" t="s">
        <v>431</v>
      </c>
      <c r="C75" t="s">
        <v>398</v>
      </c>
      <c r="D75" t="s">
        <v>395</v>
      </c>
      <c r="E75" t="s">
        <v>390</v>
      </c>
      <c r="F75">
        <v>199</v>
      </c>
      <c r="G75">
        <v>39</v>
      </c>
      <c r="H75">
        <v>433</v>
      </c>
      <c r="I75">
        <v>86187</v>
      </c>
      <c r="J75">
        <v>16891</v>
      </c>
    </row>
    <row r="76" spans="1:10">
      <c r="A76">
        <v>10082</v>
      </c>
      <c r="B76" s="149" t="s">
        <v>432</v>
      </c>
      <c r="C76" t="s">
        <v>386</v>
      </c>
      <c r="D76" t="s">
        <v>389</v>
      </c>
      <c r="E76" t="s">
        <v>390</v>
      </c>
      <c r="F76">
        <v>1099</v>
      </c>
      <c r="G76">
        <v>289</v>
      </c>
      <c r="H76">
        <v>206</v>
      </c>
      <c r="I76">
        <v>226284</v>
      </c>
      <c r="J76">
        <v>59505</v>
      </c>
    </row>
    <row r="77" spans="1:10">
      <c r="A77">
        <v>10083</v>
      </c>
      <c r="B77" s="149" t="s">
        <v>433</v>
      </c>
      <c r="C77" t="s">
        <v>398</v>
      </c>
      <c r="D77" t="s">
        <v>389</v>
      </c>
      <c r="E77" t="s">
        <v>390</v>
      </c>
      <c r="F77">
        <v>199</v>
      </c>
      <c r="G77">
        <v>39</v>
      </c>
      <c r="H77">
        <v>436</v>
      </c>
      <c r="I77">
        <v>86764</v>
      </c>
      <c r="J77">
        <v>17004</v>
      </c>
    </row>
    <row r="78" spans="1:10">
      <c r="A78">
        <v>10084</v>
      </c>
      <c r="B78" s="149" t="s">
        <v>434</v>
      </c>
      <c r="C78" t="s">
        <v>394</v>
      </c>
      <c r="D78" t="s">
        <v>387</v>
      </c>
      <c r="E78" t="s">
        <v>390</v>
      </c>
      <c r="F78">
        <v>599</v>
      </c>
      <c r="G78">
        <v>299</v>
      </c>
      <c r="H78">
        <v>115</v>
      </c>
      <c r="I78">
        <v>68705</v>
      </c>
      <c r="J78">
        <v>34295</v>
      </c>
    </row>
    <row r="79" spans="1:10">
      <c r="A79">
        <v>10085</v>
      </c>
      <c r="B79" s="149" t="s">
        <v>435</v>
      </c>
      <c r="C79" t="s">
        <v>386</v>
      </c>
      <c r="D79" t="s">
        <v>387</v>
      </c>
      <c r="E79" t="s">
        <v>390</v>
      </c>
      <c r="F79">
        <v>1099</v>
      </c>
      <c r="G79">
        <v>289</v>
      </c>
      <c r="H79">
        <v>214</v>
      </c>
      <c r="I79">
        <v>234966</v>
      </c>
      <c r="J79">
        <v>61788</v>
      </c>
    </row>
    <row r="80" spans="1:10">
      <c r="A80">
        <v>10086</v>
      </c>
      <c r="B80" s="149" t="s">
        <v>436</v>
      </c>
      <c r="C80" t="s">
        <v>391</v>
      </c>
      <c r="D80" t="s">
        <v>387</v>
      </c>
      <c r="E80" t="s">
        <v>390</v>
      </c>
      <c r="F80">
        <v>1299</v>
      </c>
      <c r="G80">
        <v>459</v>
      </c>
      <c r="H80">
        <v>124</v>
      </c>
      <c r="I80">
        <v>161076</v>
      </c>
      <c r="J80">
        <v>56916</v>
      </c>
    </row>
    <row r="81" spans="1:10">
      <c r="A81">
        <v>10087</v>
      </c>
      <c r="B81" s="149" t="s">
        <v>437</v>
      </c>
      <c r="C81" t="s">
        <v>398</v>
      </c>
      <c r="D81" t="s">
        <v>389</v>
      </c>
      <c r="E81" t="s">
        <v>390</v>
      </c>
      <c r="F81">
        <v>199</v>
      </c>
      <c r="G81">
        <v>39</v>
      </c>
      <c r="H81">
        <v>285</v>
      </c>
      <c r="I81">
        <v>56735</v>
      </c>
      <c r="J81">
        <v>11119</v>
      </c>
    </row>
    <row r="82" spans="1:10">
      <c r="A82">
        <v>10088</v>
      </c>
      <c r="B82" s="149" t="s">
        <v>438</v>
      </c>
      <c r="C82" t="s">
        <v>398</v>
      </c>
      <c r="D82" t="s">
        <v>395</v>
      </c>
      <c r="E82" t="s">
        <v>390</v>
      </c>
      <c r="F82">
        <v>199</v>
      </c>
      <c r="G82">
        <v>39</v>
      </c>
      <c r="H82">
        <v>229</v>
      </c>
      <c r="I82">
        <v>45551</v>
      </c>
      <c r="J82">
        <v>8927</v>
      </c>
    </row>
    <row r="83" spans="1:10">
      <c r="A83">
        <v>10089</v>
      </c>
      <c r="B83" s="149" t="s">
        <v>439</v>
      </c>
      <c r="C83" t="s">
        <v>398</v>
      </c>
      <c r="D83" t="s">
        <v>389</v>
      </c>
      <c r="E83" t="s">
        <v>390</v>
      </c>
      <c r="F83">
        <v>199</v>
      </c>
      <c r="G83">
        <v>39</v>
      </c>
      <c r="H83">
        <v>361</v>
      </c>
      <c r="I83">
        <v>71839</v>
      </c>
      <c r="J83">
        <v>14079</v>
      </c>
    </row>
    <row r="84" spans="1:10">
      <c r="A84">
        <v>10090</v>
      </c>
      <c r="B84" s="149">
        <v>44568</v>
      </c>
      <c r="C84" t="s">
        <v>386</v>
      </c>
      <c r="D84" t="s">
        <v>389</v>
      </c>
      <c r="E84" t="s">
        <v>388</v>
      </c>
      <c r="F84">
        <v>1099</v>
      </c>
      <c r="G84">
        <v>289</v>
      </c>
      <c r="H84">
        <v>426</v>
      </c>
      <c r="I84">
        <v>467844</v>
      </c>
      <c r="J84">
        <v>123027</v>
      </c>
    </row>
    <row r="85" spans="1:10">
      <c r="A85">
        <v>10091</v>
      </c>
      <c r="B85" s="149">
        <v>44627</v>
      </c>
      <c r="C85" t="s">
        <v>398</v>
      </c>
      <c r="D85" t="s">
        <v>389</v>
      </c>
      <c r="E85" t="s">
        <v>390</v>
      </c>
      <c r="F85">
        <v>199</v>
      </c>
      <c r="G85">
        <v>39</v>
      </c>
      <c r="H85">
        <v>233</v>
      </c>
      <c r="I85">
        <v>46427</v>
      </c>
      <c r="J85">
        <v>9099</v>
      </c>
    </row>
    <row r="86" spans="1:10">
      <c r="A86">
        <v>10092</v>
      </c>
      <c r="B86" s="149">
        <v>44688</v>
      </c>
      <c r="C86" t="s">
        <v>394</v>
      </c>
      <c r="D86" t="s">
        <v>395</v>
      </c>
      <c r="E86" t="s">
        <v>388</v>
      </c>
      <c r="F86">
        <v>599</v>
      </c>
      <c r="G86">
        <v>299</v>
      </c>
      <c r="H86">
        <v>381</v>
      </c>
      <c r="I86">
        <v>228339</v>
      </c>
      <c r="J86">
        <v>113979</v>
      </c>
    </row>
    <row r="87" spans="1:10">
      <c r="A87">
        <v>10093</v>
      </c>
      <c r="B87" s="149">
        <v>44749</v>
      </c>
      <c r="C87" t="s">
        <v>391</v>
      </c>
      <c r="D87" t="s">
        <v>392</v>
      </c>
      <c r="E87" t="s">
        <v>390</v>
      </c>
      <c r="F87">
        <v>1299</v>
      </c>
      <c r="G87">
        <v>459</v>
      </c>
      <c r="H87">
        <v>415</v>
      </c>
      <c r="I87">
        <v>539475</v>
      </c>
      <c r="J87">
        <v>190623</v>
      </c>
    </row>
    <row r="88" spans="1:10">
      <c r="A88">
        <v>10094</v>
      </c>
      <c r="B88" s="149">
        <v>44811</v>
      </c>
      <c r="C88" t="s">
        <v>386</v>
      </c>
      <c r="D88" t="s">
        <v>392</v>
      </c>
      <c r="E88" t="s">
        <v>393</v>
      </c>
      <c r="F88">
        <v>1099</v>
      </c>
      <c r="G88">
        <v>289</v>
      </c>
      <c r="H88">
        <v>250</v>
      </c>
      <c r="I88">
        <v>275190</v>
      </c>
      <c r="J88">
        <v>72366</v>
      </c>
    </row>
    <row r="89" spans="1:10">
      <c r="A89">
        <v>10095</v>
      </c>
      <c r="B89" s="149">
        <v>44872</v>
      </c>
      <c r="C89" t="s">
        <v>397</v>
      </c>
      <c r="D89" t="s">
        <v>392</v>
      </c>
      <c r="E89" t="s">
        <v>396</v>
      </c>
      <c r="F89">
        <v>449</v>
      </c>
      <c r="G89">
        <v>159</v>
      </c>
      <c r="H89">
        <v>280</v>
      </c>
      <c r="I89">
        <v>125765</v>
      </c>
      <c r="J89">
        <v>44536</v>
      </c>
    </row>
    <row r="90" spans="1:10">
      <c r="A90">
        <v>10096</v>
      </c>
      <c r="B90" s="149" t="s">
        <v>440</v>
      </c>
      <c r="C90" t="s">
        <v>398</v>
      </c>
      <c r="D90" t="s">
        <v>392</v>
      </c>
      <c r="E90" t="s">
        <v>390</v>
      </c>
      <c r="F90">
        <v>199</v>
      </c>
      <c r="G90">
        <v>39</v>
      </c>
      <c r="H90">
        <v>215</v>
      </c>
      <c r="I90">
        <v>42765</v>
      </c>
      <c r="J90">
        <v>8381</v>
      </c>
    </row>
    <row r="91" spans="1:10">
      <c r="A91">
        <v>10097</v>
      </c>
      <c r="B91" s="149" t="s">
        <v>441</v>
      </c>
      <c r="C91" t="s">
        <v>394</v>
      </c>
      <c r="D91" t="s">
        <v>392</v>
      </c>
      <c r="E91" t="s">
        <v>390</v>
      </c>
      <c r="F91">
        <v>599</v>
      </c>
      <c r="G91">
        <v>299</v>
      </c>
      <c r="H91">
        <v>319</v>
      </c>
      <c r="I91">
        <v>191201</v>
      </c>
      <c r="J91">
        <v>95441</v>
      </c>
    </row>
    <row r="92" spans="1:10">
      <c r="A92">
        <v>10098</v>
      </c>
      <c r="B92" s="149" t="s">
        <v>442</v>
      </c>
      <c r="C92" t="s">
        <v>391</v>
      </c>
      <c r="D92" t="s">
        <v>389</v>
      </c>
      <c r="E92" t="s">
        <v>396</v>
      </c>
      <c r="F92">
        <v>1299</v>
      </c>
      <c r="G92">
        <v>459</v>
      </c>
      <c r="H92">
        <v>210</v>
      </c>
      <c r="I92">
        <v>272660</v>
      </c>
      <c r="J92">
        <v>96344</v>
      </c>
    </row>
    <row r="93" spans="1:10">
      <c r="A93">
        <v>10099</v>
      </c>
      <c r="B93" s="149" t="s">
        <v>443</v>
      </c>
      <c r="C93" t="s">
        <v>386</v>
      </c>
      <c r="D93" t="s">
        <v>387</v>
      </c>
      <c r="E93" t="s">
        <v>390</v>
      </c>
      <c r="F93">
        <v>1099</v>
      </c>
      <c r="G93">
        <v>289</v>
      </c>
      <c r="H93">
        <v>198</v>
      </c>
      <c r="I93">
        <v>217492</v>
      </c>
      <c r="J93">
        <v>57193</v>
      </c>
    </row>
    <row r="94" spans="1:10">
      <c r="A94">
        <v>10100</v>
      </c>
      <c r="B94" s="149" t="s">
        <v>444</v>
      </c>
      <c r="C94" t="s">
        <v>386</v>
      </c>
      <c r="D94" t="s">
        <v>387</v>
      </c>
      <c r="E94" t="s">
        <v>390</v>
      </c>
      <c r="F94">
        <v>1099</v>
      </c>
      <c r="G94">
        <v>289</v>
      </c>
      <c r="H94">
        <v>122</v>
      </c>
      <c r="I94">
        <v>134298</v>
      </c>
      <c r="J94">
        <v>35316</v>
      </c>
    </row>
    <row r="95" spans="1:10">
      <c r="A95">
        <v>10101</v>
      </c>
      <c r="B95" s="149" t="s">
        <v>445</v>
      </c>
      <c r="C95" t="s">
        <v>398</v>
      </c>
      <c r="D95" t="s">
        <v>389</v>
      </c>
      <c r="E95" t="s">
        <v>390</v>
      </c>
      <c r="F95">
        <v>199</v>
      </c>
      <c r="G95">
        <v>39</v>
      </c>
      <c r="H95">
        <v>379</v>
      </c>
      <c r="I95">
        <v>75481</v>
      </c>
      <c r="J95">
        <v>14793</v>
      </c>
    </row>
    <row r="96" spans="1:10">
      <c r="A96">
        <v>10102</v>
      </c>
      <c r="B96" s="149" t="s">
        <v>446</v>
      </c>
      <c r="C96" t="s">
        <v>397</v>
      </c>
      <c r="D96" t="s">
        <v>392</v>
      </c>
      <c r="E96" t="s">
        <v>396</v>
      </c>
      <c r="F96">
        <v>449</v>
      </c>
      <c r="G96">
        <v>159</v>
      </c>
      <c r="H96">
        <v>121</v>
      </c>
      <c r="I96">
        <v>54239</v>
      </c>
      <c r="J96">
        <v>19207</v>
      </c>
    </row>
    <row r="97" spans="1:10">
      <c r="A97">
        <v>10103</v>
      </c>
      <c r="B97" s="149" t="s">
        <v>447</v>
      </c>
      <c r="C97" t="s">
        <v>397</v>
      </c>
      <c r="D97" t="s">
        <v>395</v>
      </c>
      <c r="E97" t="s">
        <v>390</v>
      </c>
      <c r="F97">
        <v>449</v>
      </c>
      <c r="G97">
        <v>159</v>
      </c>
      <c r="H97">
        <v>454</v>
      </c>
      <c r="I97">
        <v>203981</v>
      </c>
      <c r="J97">
        <v>72234</v>
      </c>
    </row>
    <row r="98" spans="1:10">
      <c r="A98">
        <v>10104</v>
      </c>
      <c r="B98" s="149" t="s">
        <v>448</v>
      </c>
      <c r="C98" t="s">
        <v>386</v>
      </c>
      <c r="D98" t="s">
        <v>395</v>
      </c>
      <c r="E98" t="s">
        <v>396</v>
      </c>
      <c r="F98">
        <v>199</v>
      </c>
      <c r="G98">
        <v>39</v>
      </c>
      <c r="H98">
        <v>246</v>
      </c>
      <c r="I98">
        <v>48914</v>
      </c>
      <c r="J98">
        <v>9586</v>
      </c>
    </row>
    <row r="99" spans="1:10">
      <c r="A99">
        <v>10105</v>
      </c>
      <c r="B99" s="149" t="s">
        <v>449</v>
      </c>
      <c r="C99" t="s">
        <v>386</v>
      </c>
      <c r="D99" t="s">
        <v>395</v>
      </c>
      <c r="E99" t="s">
        <v>396</v>
      </c>
      <c r="F99">
        <v>199</v>
      </c>
      <c r="G99">
        <v>39</v>
      </c>
      <c r="H99">
        <v>315</v>
      </c>
      <c r="I99">
        <v>62705</v>
      </c>
      <c r="J99">
        <v>12289</v>
      </c>
    </row>
    <row r="100" spans="1:10">
      <c r="A100">
        <v>10106</v>
      </c>
      <c r="B100" s="149">
        <v>44600</v>
      </c>
      <c r="C100" t="s">
        <v>391</v>
      </c>
      <c r="D100" t="s">
        <v>395</v>
      </c>
      <c r="E100" t="s">
        <v>396</v>
      </c>
      <c r="F100">
        <v>1099</v>
      </c>
      <c r="G100">
        <v>289</v>
      </c>
      <c r="H100">
        <v>142</v>
      </c>
      <c r="I100">
        <v>156498</v>
      </c>
      <c r="J100">
        <v>41154</v>
      </c>
    </row>
    <row r="101" spans="1:10">
      <c r="A101">
        <v>10107</v>
      </c>
      <c r="B101" s="149">
        <v>44659</v>
      </c>
      <c r="C101" t="s">
        <v>394</v>
      </c>
      <c r="D101" t="s">
        <v>387</v>
      </c>
      <c r="E101" t="s">
        <v>393</v>
      </c>
      <c r="F101">
        <v>449</v>
      </c>
      <c r="G101">
        <v>159</v>
      </c>
      <c r="H101">
        <v>311</v>
      </c>
      <c r="I101">
        <v>139639</v>
      </c>
      <c r="J101">
        <v>49449</v>
      </c>
    </row>
    <row r="102" spans="1:10">
      <c r="A102">
        <v>10108</v>
      </c>
      <c r="B102" s="149">
        <v>44659</v>
      </c>
      <c r="C102" t="s">
        <v>397</v>
      </c>
      <c r="D102" t="s">
        <v>389</v>
      </c>
      <c r="E102" t="s">
        <v>393</v>
      </c>
      <c r="F102">
        <v>599</v>
      </c>
      <c r="G102">
        <v>299</v>
      </c>
      <c r="H102">
        <v>378</v>
      </c>
      <c r="I102">
        <v>226542</v>
      </c>
      <c r="J102">
        <v>113082</v>
      </c>
    </row>
    <row r="103" spans="1:10">
      <c r="A103">
        <v>10109</v>
      </c>
      <c r="B103" s="149">
        <v>44659</v>
      </c>
      <c r="C103" t="s">
        <v>398</v>
      </c>
      <c r="D103" t="s">
        <v>392</v>
      </c>
      <c r="E103" t="s">
        <v>396</v>
      </c>
      <c r="F103">
        <v>449</v>
      </c>
      <c r="G103">
        <v>159</v>
      </c>
      <c r="H103">
        <v>292</v>
      </c>
      <c r="I103">
        <v>131063</v>
      </c>
      <c r="J103">
        <v>46412</v>
      </c>
    </row>
    <row r="104" spans="1:10">
      <c r="A104">
        <v>10110</v>
      </c>
      <c r="B104" s="149">
        <v>44659</v>
      </c>
      <c r="C104" t="s">
        <v>398</v>
      </c>
      <c r="D104" t="s">
        <v>392</v>
      </c>
      <c r="E104" t="s">
        <v>388</v>
      </c>
      <c r="F104">
        <v>1099</v>
      </c>
      <c r="G104">
        <v>289</v>
      </c>
      <c r="H104">
        <v>479</v>
      </c>
      <c r="I104">
        <v>526751</v>
      </c>
      <c r="J104">
        <v>138518</v>
      </c>
    </row>
    <row r="105" spans="1:10">
      <c r="A105">
        <v>10111</v>
      </c>
      <c r="B105" s="149">
        <v>44659</v>
      </c>
      <c r="C105" t="s">
        <v>398</v>
      </c>
      <c r="D105" t="s">
        <v>392</v>
      </c>
      <c r="E105" t="s">
        <v>390</v>
      </c>
      <c r="F105">
        <v>449</v>
      </c>
      <c r="G105">
        <v>159</v>
      </c>
      <c r="H105">
        <v>115</v>
      </c>
      <c r="I105">
        <v>51680</v>
      </c>
      <c r="J105">
        <v>18301</v>
      </c>
    </row>
    <row r="106" spans="1:10">
      <c r="A106">
        <v>10112</v>
      </c>
      <c r="B106" s="149">
        <v>44659</v>
      </c>
      <c r="C106" t="s">
        <v>386</v>
      </c>
      <c r="D106" t="s">
        <v>387</v>
      </c>
      <c r="E106" t="s">
        <v>393</v>
      </c>
      <c r="F106">
        <v>1099</v>
      </c>
      <c r="G106">
        <v>289</v>
      </c>
      <c r="H106">
        <v>348</v>
      </c>
      <c r="I106">
        <v>382232</v>
      </c>
      <c r="J106">
        <v>100514</v>
      </c>
    </row>
    <row r="107" spans="1:10">
      <c r="A107">
        <v>10113</v>
      </c>
      <c r="B107" s="149">
        <v>44659</v>
      </c>
      <c r="C107" t="s">
        <v>391</v>
      </c>
      <c r="D107" t="s">
        <v>389</v>
      </c>
      <c r="E107" t="s">
        <v>396</v>
      </c>
      <c r="F107">
        <v>1299</v>
      </c>
      <c r="G107">
        <v>459</v>
      </c>
      <c r="H107">
        <v>222</v>
      </c>
      <c r="I107">
        <v>288898</v>
      </c>
      <c r="J107">
        <v>102082</v>
      </c>
    </row>
    <row r="108" spans="1:10">
      <c r="A108">
        <v>10114</v>
      </c>
      <c r="B108" s="149">
        <v>44659</v>
      </c>
      <c r="C108" t="s">
        <v>391</v>
      </c>
      <c r="D108" t="s">
        <v>392</v>
      </c>
      <c r="E108" t="s">
        <v>393</v>
      </c>
      <c r="F108">
        <v>1099</v>
      </c>
      <c r="G108">
        <v>289</v>
      </c>
      <c r="H108">
        <v>277</v>
      </c>
      <c r="I108">
        <v>303874</v>
      </c>
      <c r="J108">
        <v>79909</v>
      </c>
    </row>
    <row r="109" spans="1:10">
      <c r="A109">
        <v>10115</v>
      </c>
      <c r="B109" s="149">
        <v>44659</v>
      </c>
      <c r="C109" t="s">
        <v>398</v>
      </c>
      <c r="D109" t="s">
        <v>392</v>
      </c>
      <c r="E109" t="s">
        <v>393</v>
      </c>
      <c r="F109">
        <v>1099</v>
      </c>
      <c r="G109">
        <v>289</v>
      </c>
      <c r="H109">
        <v>151</v>
      </c>
      <c r="I109">
        <v>166169</v>
      </c>
      <c r="J109">
        <v>43697</v>
      </c>
    </row>
    <row r="110" spans="1:10">
      <c r="A110">
        <v>10116</v>
      </c>
      <c r="B110" s="149">
        <v>44659</v>
      </c>
      <c r="C110" t="s">
        <v>386</v>
      </c>
      <c r="D110" t="s">
        <v>392</v>
      </c>
      <c r="E110" t="s">
        <v>388</v>
      </c>
      <c r="F110">
        <v>199</v>
      </c>
      <c r="G110">
        <v>39</v>
      </c>
      <c r="H110">
        <v>172</v>
      </c>
      <c r="I110">
        <v>34148</v>
      </c>
      <c r="J110">
        <v>6692</v>
      </c>
    </row>
    <row r="111" spans="1:10">
      <c r="A111">
        <v>10117</v>
      </c>
      <c r="B111" s="149">
        <v>44659</v>
      </c>
      <c r="C111" t="s">
        <v>397</v>
      </c>
      <c r="D111" t="s">
        <v>387</v>
      </c>
      <c r="E111" t="s">
        <v>393</v>
      </c>
      <c r="F111">
        <v>599</v>
      </c>
      <c r="G111">
        <v>299</v>
      </c>
      <c r="H111">
        <v>365</v>
      </c>
      <c r="I111">
        <v>218875</v>
      </c>
      <c r="J111">
        <v>109255</v>
      </c>
    </row>
    <row r="112" spans="1:10">
      <c r="A112">
        <v>10118</v>
      </c>
      <c r="B112" s="149">
        <v>44659</v>
      </c>
      <c r="C112" t="s">
        <v>394</v>
      </c>
      <c r="D112" t="s">
        <v>392</v>
      </c>
      <c r="E112" t="s">
        <v>393</v>
      </c>
      <c r="F112">
        <v>1299</v>
      </c>
      <c r="G112">
        <v>459</v>
      </c>
      <c r="H112">
        <v>156</v>
      </c>
      <c r="I112">
        <v>202774</v>
      </c>
      <c r="J112">
        <v>71650</v>
      </c>
    </row>
    <row r="113" spans="1:10">
      <c r="A113">
        <v>10119</v>
      </c>
      <c r="B113" s="149">
        <v>44659</v>
      </c>
      <c r="C113" t="s">
        <v>397</v>
      </c>
      <c r="D113" t="s">
        <v>392</v>
      </c>
      <c r="E113" t="s">
        <v>388</v>
      </c>
      <c r="F113">
        <v>1299</v>
      </c>
      <c r="G113">
        <v>459</v>
      </c>
      <c r="H113">
        <v>208</v>
      </c>
      <c r="I113">
        <v>270582</v>
      </c>
      <c r="J113">
        <v>95610</v>
      </c>
    </row>
    <row r="114" spans="1:10">
      <c r="A114">
        <v>10120</v>
      </c>
      <c r="B114" s="149">
        <v>44720</v>
      </c>
      <c r="C114" t="s">
        <v>386</v>
      </c>
      <c r="D114" t="s">
        <v>392</v>
      </c>
      <c r="E114" t="s">
        <v>388</v>
      </c>
      <c r="F114">
        <v>1299</v>
      </c>
      <c r="G114">
        <v>459</v>
      </c>
      <c r="H114">
        <v>267</v>
      </c>
      <c r="I114">
        <v>347223</v>
      </c>
      <c r="J114">
        <v>122691</v>
      </c>
    </row>
    <row r="115" spans="1:10">
      <c r="A115">
        <v>10121</v>
      </c>
      <c r="B115" s="149">
        <v>44781</v>
      </c>
      <c r="C115" t="s">
        <v>397</v>
      </c>
      <c r="D115" t="s">
        <v>387</v>
      </c>
      <c r="E115" t="s">
        <v>388</v>
      </c>
      <c r="F115">
        <v>599</v>
      </c>
      <c r="G115">
        <v>299</v>
      </c>
      <c r="H115">
        <v>339</v>
      </c>
      <c r="I115">
        <v>202762</v>
      </c>
      <c r="J115">
        <v>101212</v>
      </c>
    </row>
    <row r="116" spans="1:10">
      <c r="A116">
        <v>10122</v>
      </c>
      <c r="B116" s="149">
        <v>44842</v>
      </c>
      <c r="C116" t="s">
        <v>386</v>
      </c>
      <c r="D116" t="s">
        <v>387</v>
      </c>
      <c r="E116" t="s">
        <v>388</v>
      </c>
      <c r="F116">
        <v>1099</v>
      </c>
      <c r="G116">
        <v>289</v>
      </c>
      <c r="H116">
        <v>322</v>
      </c>
      <c r="I116">
        <v>353658</v>
      </c>
      <c r="J116">
        <v>93000</v>
      </c>
    </row>
    <row r="117" spans="1:10">
      <c r="A117">
        <v>10123</v>
      </c>
      <c r="B117" s="149">
        <v>44903</v>
      </c>
      <c r="C117" t="s">
        <v>391</v>
      </c>
      <c r="D117" t="s">
        <v>389</v>
      </c>
      <c r="E117" t="s">
        <v>388</v>
      </c>
      <c r="F117">
        <v>199</v>
      </c>
      <c r="G117">
        <v>39</v>
      </c>
      <c r="H117">
        <v>369</v>
      </c>
      <c r="I117">
        <v>73371</v>
      </c>
      <c r="J117">
        <v>14379</v>
      </c>
    </row>
    <row r="118" spans="1:10">
      <c r="A118">
        <v>10124</v>
      </c>
      <c r="B118" s="149" t="s">
        <v>450</v>
      </c>
      <c r="C118" t="s">
        <v>386</v>
      </c>
      <c r="D118" t="s">
        <v>389</v>
      </c>
      <c r="E118" t="s">
        <v>388</v>
      </c>
      <c r="F118">
        <v>1299</v>
      </c>
      <c r="G118">
        <v>459</v>
      </c>
      <c r="H118">
        <v>127</v>
      </c>
      <c r="I118">
        <v>164843</v>
      </c>
      <c r="J118">
        <v>58247</v>
      </c>
    </row>
    <row r="119" spans="1:10">
      <c r="A119">
        <v>10125</v>
      </c>
      <c r="B119" s="149" t="s">
        <v>451</v>
      </c>
      <c r="C119" t="s">
        <v>386</v>
      </c>
      <c r="D119" t="s">
        <v>387</v>
      </c>
      <c r="E119" t="s">
        <v>396</v>
      </c>
      <c r="F119">
        <v>599</v>
      </c>
      <c r="G119">
        <v>299</v>
      </c>
      <c r="H119">
        <v>390</v>
      </c>
      <c r="I119">
        <v>233610</v>
      </c>
      <c r="J119">
        <v>116610</v>
      </c>
    </row>
    <row r="120" spans="1:10">
      <c r="A120">
        <v>10126</v>
      </c>
      <c r="B120" s="149" t="s">
        <v>452</v>
      </c>
      <c r="C120" t="s">
        <v>398</v>
      </c>
      <c r="D120" t="s">
        <v>389</v>
      </c>
      <c r="E120" t="s">
        <v>396</v>
      </c>
      <c r="F120">
        <v>1299</v>
      </c>
      <c r="G120">
        <v>459</v>
      </c>
      <c r="H120">
        <v>388</v>
      </c>
      <c r="I120">
        <v>504402</v>
      </c>
      <c r="J120">
        <v>178230</v>
      </c>
    </row>
    <row r="121" spans="1:10">
      <c r="A121">
        <v>10127</v>
      </c>
      <c r="B121" s="149" t="s">
        <v>453</v>
      </c>
      <c r="C121" t="s">
        <v>394</v>
      </c>
      <c r="D121" t="s">
        <v>389</v>
      </c>
      <c r="E121" t="s">
        <v>390</v>
      </c>
      <c r="F121">
        <v>1299</v>
      </c>
      <c r="G121">
        <v>459</v>
      </c>
      <c r="H121">
        <v>112</v>
      </c>
      <c r="I121">
        <v>145488</v>
      </c>
      <c r="J121">
        <v>51408</v>
      </c>
    </row>
    <row r="122" spans="1:10">
      <c r="A122">
        <v>10128</v>
      </c>
      <c r="B122" s="149" t="s">
        <v>454</v>
      </c>
      <c r="C122" t="s">
        <v>391</v>
      </c>
      <c r="D122" t="s">
        <v>392</v>
      </c>
      <c r="E122" t="s">
        <v>396</v>
      </c>
      <c r="F122">
        <v>199</v>
      </c>
      <c r="G122">
        <v>39</v>
      </c>
      <c r="H122">
        <v>332</v>
      </c>
      <c r="I122">
        <v>66008</v>
      </c>
      <c r="J122">
        <v>12936</v>
      </c>
    </row>
    <row r="123" spans="1:10">
      <c r="A123">
        <v>10129</v>
      </c>
      <c r="B123" s="149" t="s">
        <v>455</v>
      </c>
      <c r="C123" t="s">
        <v>391</v>
      </c>
      <c r="D123" t="s">
        <v>389</v>
      </c>
      <c r="E123" t="s">
        <v>396</v>
      </c>
      <c r="F123">
        <v>199</v>
      </c>
      <c r="G123">
        <v>39</v>
      </c>
      <c r="H123">
        <v>171</v>
      </c>
      <c r="I123">
        <v>34029</v>
      </c>
      <c r="J123">
        <v>6669</v>
      </c>
    </row>
    <row r="124" spans="1:10">
      <c r="A124">
        <v>10130</v>
      </c>
      <c r="B124" s="149" t="s">
        <v>456</v>
      </c>
      <c r="C124" t="s">
        <v>391</v>
      </c>
      <c r="D124" t="s">
        <v>387</v>
      </c>
      <c r="E124" t="s">
        <v>393</v>
      </c>
      <c r="F124">
        <v>1299</v>
      </c>
      <c r="G124">
        <v>459</v>
      </c>
      <c r="H124">
        <v>167</v>
      </c>
      <c r="I124">
        <v>217193</v>
      </c>
      <c r="J124">
        <v>76745</v>
      </c>
    </row>
    <row r="125" spans="1:10">
      <c r="A125">
        <v>10131</v>
      </c>
      <c r="B125" s="149" t="s">
        <v>457</v>
      </c>
      <c r="C125" t="s">
        <v>394</v>
      </c>
      <c r="D125" t="s">
        <v>395</v>
      </c>
      <c r="E125" t="s">
        <v>393</v>
      </c>
      <c r="F125">
        <v>199</v>
      </c>
      <c r="G125">
        <v>39</v>
      </c>
      <c r="H125">
        <v>358</v>
      </c>
      <c r="I125">
        <v>71202</v>
      </c>
      <c r="J125">
        <v>13954</v>
      </c>
    </row>
    <row r="126" spans="1:10">
      <c r="A126">
        <v>10132</v>
      </c>
      <c r="B126" s="149" t="s">
        <v>458</v>
      </c>
      <c r="C126" t="s">
        <v>386</v>
      </c>
      <c r="D126" t="s">
        <v>395</v>
      </c>
      <c r="E126" t="s">
        <v>393</v>
      </c>
      <c r="F126">
        <v>449</v>
      </c>
      <c r="G126">
        <v>159</v>
      </c>
      <c r="H126">
        <v>396</v>
      </c>
      <c r="I126">
        <v>177894</v>
      </c>
      <c r="J126">
        <v>62996</v>
      </c>
    </row>
    <row r="127" spans="1:10">
      <c r="A127">
        <v>10133</v>
      </c>
      <c r="B127" s="149">
        <v>44570</v>
      </c>
      <c r="C127" t="s">
        <v>398</v>
      </c>
      <c r="D127" t="s">
        <v>395</v>
      </c>
      <c r="E127" t="s">
        <v>393</v>
      </c>
      <c r="F127">
        <v>449</v>
      </c>
      <c r="G127">
        <v>159</v>
      </c>
      <c r="H127">
        <v>314</v>
      </c>
      <c r="I127">
        <v>141076</v>
      </c>
      <c r="J127">
        <v>49958</v>
      </c>
    </row>
    <row r="128" spans="1:10">
      <c r="A128">
        <v>10134</v>
      </c>
      <c r="B128" s="149">
        <v>44629</v>
      </c>
      <c r="C128" t="s">
        <v>391</v>
      </c>
      <c r="D128" t="s">
        <v>395</v>
      </c>
      <c r="E128" t="s">
        <v>388</v>
      </c>
      <c r="F128">
        <v>599</v>
      </c>
      <c r="G128">
        <v>299</v>
      </c>
      <c r="H128">
        <v>498</v>
      </c>
      <c r="I128">
        <v>298122</v>
      </c>
      <c r="J128">
        <v>148812</v>
      </c>
    </row>
    <row r="129" spans="1:10">
      <c r="A129">
        <v>10135</v>
      </c>
      <c r="B129" s="149">
        <v>44690</v>
      </c>
      <c r="C129" t="s">
        <v>394</v>
      </c>
      <c r="D129" t="s">
        <v>389</v>
      </c>
      <c r="E129" t="s">
        <v>393</v>
      </c>
      <c r="F129">
        <v>599</v>
      </c>
      <c r="G129">
        <v>299</v>
      </c>
      <c r="H129">
        <v>125</v>
      </c>
      <c r="I129">
        <v>75115</v>
      </c>
      <c r="J129">
        <v>37495</v>
      </c>
    </row>
    <row r="130" spans="1:10">
      <c r="A130">
        <v>10136</v>
      </c>
      <c r="B130" s="149">
        <v>44751</v>
      </c>
      <c r="C130" t="s">
        <v>391</v>
      </c>
      <c r="D130" t="s">
        <v>395</v>
      </c>
      <c r="E130" t="s">
        <v>388</v>
      </c>
      <c r="F130">
        <v>199</v>
      </c>
      <c r="G130">
        <v>39</v>
      </c>
      <c r="H130">
        <v>411</v>
      </c>
      <c r="I130">
        <v>81829</v>
      </c>
      <c r="J130">
        <v>16037</v>
      </c>
    </row>
    <row r="131" spans="1:10">
      <c r="A131">
        <v>10137</v>
      </c>
      <c r="B131" s="149">
        <v>44813</v>
      </c>
      <c r="C131" t="s">
        <v>391</v>
      </c>
      <c r="D131" t="s">
        <v>389</v>
      </c>
      <c r="E131" t="s">
        <v>388</v>
      </c>
      <c r="F131">
        <v>199</v>
      </c>
      <c r="G131">
        <v>39</v>
      </c>
      <c r="H131">
        <v>194</v>
      </c>
      <c r="I131">
        <v>38666</v>
      </c>
      <c r="J131">
        <v>7578</v>
      </c>
    </row>
    <row r="132" spans="1:10">
      <c r="A132">
        <v>10138</v>
      </c>
      <c r="B132" s="149">
        <v>44874</v>
      </c>
      <c r="C132" t="s">
        <v>398</v>
      </c>
      <c r="D132" t="s">
        <v>395</v>
      </c>
      <c r="E132" t="s">
        <v>393</v>
      </c>
      <c r="F132">
        <v>199</v>
      </c>
      <c r="G132">
        <v>39</v>
      </c>
      <c r="H132">
        <v>168</v>
      </c>
      <c r="I132">
        <v>33412</v>
      </c>
      <c r="J132">
        <v>6548</v>
      </c>
    </row>
    <row r="133" spans="1:10">
      <c r="A133">
        <v>10139</v>
      </c>
      <c r="B133" s="149" t="s">
        <v>459</v>
      </c>
      <c r="C133" t="s">
        <v>398</v>
      </c>
      <c r="D133" t="s">
        <v>395</v>
      </c>
      <c r="E133" t="s">
        <v>396</v>
      </c>
      <c r="F133">
        <v>1099</v>
      </c>
      <c r="G133">
        <v>289</v>
      </c>
      <c r="H133">
        <v>132</v>
      </c>
      <c r="I133">
        <v>145288</v>
      </c>
      <c r="J133">
        <v>38206</v>
      </c>
    </row>
    <row r="134" spans="1:10">
      <c r="A134">
        <v>10140</v>
      </c>
      <c r="B134" s="149" t="s">
        <v>460</v>
      </c>
      <c r="C134" t="s">
        <v>391</v>
      </c>
      <c r="D134" t="s">
        <v>392</v>
      </c>
      <c r="E134" t="s">
        <v>390</v>
      </c>
      <c r="F134">
        <v>1099</v>
      </c>
      <c r="G134">
        <v>289</v>
      </c>
      <c r="H134">
        <v>139</v>
      </c>
      <c r="I134">
        <v>153201</v>
      </c>
      <c r="J134">
        <v>40287</v>
      </c>
    </row>
    <row r="135" spans="1:10">
      <c r="A135">
        <v>10141</v>
      </c>
      <c r="B135" s="149" t="s">
        <v>461</v>
      </c>
      <c r="C135" t="s">
        <v>398</v>
      </c>
      <c r="D135" t="s">
        <v>395</v>
      </c>
      <c r="E135" t="s">
        <v>393</v>
      </c>
      <c r="F135">
        <v>1099</v>
      </c>
      <c r="G135">
        <v>289</v>
      </c>
      <c r="H135">
        <v>106</v>
      </c>
      <c r="I135">
        <v>116494</v>
      </c>
      <c r="J135">
        <v>30634</v>
      </c>
    </row>
    <row r="136" spans="1:10">
      <c r="A136">
        <v>10142</v>
      </c>
      <c r="B136" s="149" t="s">
        <v>462</v>
      </c>
      <c r="C136" t="s">
        <v>397</v>
      </c>
      <c r="D136" t="s">
        <v>389</v>
      </c>
      <c r="E136" t="s">
        <v>390</v>
      </c>
      <c r="F136">
        <v>599</v>
      </c>
      <c r="G136">
        <v>299</v>
      </c>
      <c r="H136">
        <v>272</v>
      </c>
      <c r="I136">
        <v>162868</v>
      </c>
      <c r="J136">
        <v>81298</v>
      </c>
    </row>
    <row r="137" spans="1:10">
      <c r="A137">
        <v>10143</v>
      </c>
      <c r="B137" s="149" t="s">
        <v>463</v>
      </c>
      <c r="C137" t="s">
        <v>397</v>
      </c>
      <c r="D137" t="s">
        <v>389</v>
      </c>
      <c r="E137" t="s">
        <v>393</v>
      </c>
      <c r="F137">
        <v>199</v>
      </c>
      <c r="G137">
        <v>39</v>
      </c>
      <c r="H137">
        <v>236</v>
      </c>
      <c r="I137">
        <v>46964</v>
      </c>
      <c r="J137">
        <v>9204</v>
      </c>
    </row>
    <row r="138" spans="1:10">
      <c r="A138">
        <v>10144</v>
      </c>
      <c r="B138" s="149" t="s">
        <v>464</v>
      </c>
      <c r="C138" t="s">
        <v>394</v>
      </c>
      <c r="D138" t="s">
        <v>392</v>
      </c>
      <c r="E138" t="s">
        <v>388</v>
      </c>
      <c r="F138">
        <v>1299</v>
      </c>
      <c r="G138">
        <v>459</v>
      </c>
      <c r="H138">
        <v>340</v>
      </c>
      <c r="I138">
        <v>441400</v>
      </c>
      <c r="J138">
        <v>155968</v>
      </c>
    </row>
    <row r="139" spans="1:10">
      <c r="A139">
        <v>10145</v>
      </c>
      <c r="B139" s="149" t="s">
        <v>465</v>
      </c>
      <c r="C139" t="s">
        <v>394</v>
      </c>
      <c r="D139" t="s">
        <v>395</v>
      </c>
      <c r="E139" t="s">
        <v>388</v>
      </c>
      <c r="F139">
        <v>599</v>
      </c>
      <c r="G139">
        <v>299</v>
      </c>
      <c r="H139">
        <v>404</v>
      </c>
      <c r="I139">
        <v>241756</v>
      </c>
      <c r="J139">
        <v>120676</v>
      </c>
    </row>
    <row r="140" spans="1:10">
      <c r="A140">
        <v>10146</v>
      </c>
      <c r="B140" s="149" t="s">
        <v>466</v>
      </c>
      <c r="C140" t="s">
        <v>398</v>
      </c>
      <c r="D140" t="s">
        <v>392</v>
      </c>
      <c r="E140" t="s">
        <v>393</v>
      </c>
      <c r="F140">
        <v>1299</v>
      </c>
      <c r="G140">
        <v>459</v>
      </c>
      <c r="H140">
        <v>219</v>
      </c>
      <c r="I140">
        <v>283961</v>
      </c>
      <c r="J140">
        <v>100337</v>
      </c>
    </row>
    <row r="141" spans="1:10">
      <c r="A141">
        <v>10147</v>
      </c>
      <c r="B141" s="149" t="s">
        <v>467</v>
      </c>
      <c r="C141" t="s">
        <v>398</v>
      </c>
      <c r="D141" t="s">
        <v>389</v>
      </c>
      <c r="E141" t="s">
        <v>393</v>
      </c>
      <c r="F141">
        <v>1299</v>
      </c>
      <c r="G141">
        <v>459</v>
      </c>
      <c r="H141">
        <v>462</v>
      </c>
      <c r="I141">
        <v>600398</v>
      </c>
      <c r="J141">
        <v>212150</v>
      </c>
    </row>
    <row r="142" spans="1:10">
      <c r="A142">
        <v>10148</v>
      </c>
      <c r="B142" s="149">
        <v>44571</v>
      </c>
      <c r="C142" t="s">
        <v>398</v>
      </c>
      <c r="D142" t="s">
        <v>392</v>
      </c>
      <c r="E142" t="s">
        <v>393</v>
      </c>
      <c r="F142">
        <v>449</v>
      </c>
      <c r="G142">
        <v>159</v>
      </c>
      <c r="H142">
        <v>211</v>
      </c>
      <c r="I142">
        <v>94694</v>
      </c>
      <c r="J142">
        <v>33533</v>
      </c>
    </row>
    <row r="143" spans="1:10">
      <c r="A143">
        <v>10149</v>
      </c>
      <c r="B143" s="149">
        <v>44630</v>
      </c>
      <c r="C143" t="s">
        <v>386</v>
      </c>
      <c r="D143" t="s">
        <v>389</v>
      </c>
      <c r="E143" t="s">
        <v>393</v>
      </c>
      <c r="F143">
        <v>449</v>
      </c>
      <c r="G143">
        <v>159</v>
      </c>
      <c r="H143">
        <v>453</v>
      </c>
      <c r="I143">
        <v>203577</v>
      </c>
      <c r="J143">
        <v>72091</v>
      </c>
    </row>
    <row r="144" spans="1:10">
      <c r="A144">
        <v>10150</v>
      </c>
      <c r="B144" s="149">
        <v>44691</v>
      </c>
      <c r="C144" t="s">
        <v>386</v>
      </c>
      <c r="D144" t="s">
        <v>392</v>
      </c>
      <c r="E144" t="s">
        <v>390</v>
      </c>
      <c r="F144">
        <v>199</v>
      </c>
      <c r="G144">
        <v>39</v>
      </c>
      <c r="H144">
        <v>472</v>
      </c>
      <c r="I144">
        <v>93908</v>
      </c>
      <c r="J144">
        <v>18404</v>
      </c>
    </row>
    <row r="145" spans="1:10">
      <c r="A145">
        <v>10151</v>
      </c>
      <c r="B145" s="149">
        <v>44752</v>
      </c>
      <c r="C145" t="s">
        <v>386</v>
      </c>
      <c r="D145" t="s">
        <v>392</v>
      </c>
      <c r="E145" t="s">
        <v>396</v>
      </c>
      <c r="F145">
        <v>449</v>
      </c>
      <c r="G145">
        <v>159</v>
      </c>
      <c r="H145">
        <v>128</v>
      </c>
      <c r="I145">
        <v>57607</v>
      </c>
      <c r="J145">
        <v>20400</v>
      </c>
    </row>
    <row r="146" spans="1:10">
      <c r="A146">
        <v>10152</v>
      </c>
      <c r="B146" s="149">
        <v>44814</v>
      </c>
      <c r="C146" t="s">
        <v>394</v>
      </c>
      <c r="D146" t="s">
        <v>395</v>
      </c>
      <c r="E146" t="s">
        <v>396</v>
      </c>
      <c r="F146">
        <v>599</v>
      </c>
      <c r="G146">
        <v>299</v>
      </c>
      <c r="H146">
        <v>198</v>
      </c>
      <c r="I146">
        <v>118722</v>
      </c>
      <c r="J146">
        <v>59262</v>
      </c>
    </row>
    <row r="147" spans="1:10">
      <c r="A147">
        <v>10153</v>
      </c>
      <c r="B147" s="149">
        <v>44875</v>
      </c>
      <c r="C147" t="s">
        <v>398</v>
      </c>
      <c r="D147" t="s">
        <v>395</v>
      </c>
      <c r="E147" t="s">
        <v>388</v>
      </c>
      <c r="F147">
        <v>599</v>
      </c>
      <c r="G147">
        <v>299</v>
      </c>
      <c r="H147">
        <v>300</v>
      </c>
      <c r="I147">
        <v>179880</v>
      </c>
      <c r="J147">
        <v>89790</v>
      </c>
    </row>
    <row r="148" spans="1:10">
      <c r="A148">
        <v>10154</v>
      </c>
      <c r="B148" s="149">
        <v>44875</v>
      </c>
      <c r="C148" t="s">
        <v>391</v>
      </c>
      <c r="D148" t="s">
        <v>389</v>
      </c>
      <c r="E148" t="s">
        <v>388</v>
      </c>
      <c r="F148">
        <v>1099</v>
      </c>
      <c r="G148">
        <v>289</v>
      </c>
      <c r="H148">
        <v>129</v>
      </c>
      <c r="I148">
        <v>142211</v>
      </c>
      <c r="J148">
        <v>37397</v>
      </c>
    </row>
    <row r="149" spans="1:10">
      <c r="A149">
        <v>10155</v>
      </c>
      <c r="B149" s="149">
        <v>44875</v>
      </c>
      <c r="C149" t="s">
        <v>394</v>
      </c>
      <c r="D149" t="s">
        <v>392</v>
      </c>
      <c r="E149" t="s">
        <v>388</v>
      </c>
      <c r="F149">
        <v>1099</v>
      </c>
      <c r="G149">
        <v>289</v>
      </c>
      <c r="H149">
        <v>342</v>
      </c>
      <c r="I149">
        <v>375528</v>
      </c>
      <c r="J149">
        <v>98751</v>
      </c>
    </row>
    <row r="150" spans="1:10">
      <c r="A150">
        <v>10156</v>
      </c>
      <c r="B150" s="149">
        <v>44875</v>
      </c>
      <c r="C150" t="s">
        <v>391</v>
      </c>
      <c r="D150" t="s">
        <v>395</v>
      </c>
      <c r="E150" t="s">
        <v>388</v>
      </c>
      <c r="F150">
        <v>599</v>
      </c>
      <c r="G150">
        <v>299</v>
      </c>
      <c r="H150">
        <v>156</v>
      </c>
      <c r="I150">
        <v>93204</v>
      </c>
      <c r="J150">
        <v>46524</v>
      </c>
    </row>
    <row r="151" spans="1:10">
      <c r="A151">
        <v>10157</v>
      </c>
      <c r="B151" s="149">
        <v>44875</v>
      </c>
      <c r="C151" t="s">
        <v>391</v>
      </c>
      <c r="D151" t="s">
        <v>392</v>
      </c>
      <c r="E151" t="s">
        <v>388</v>
      </c>
      <c r="F151">
        <v>1299</v>
      </c>
      <c r="G151">
        <v>459</v>
      </c>
      <c r="H151">
        <v>318</v>
      </c>
      <c r="I151">
        <v>413602</v>
      </c>
      <c r="J151">
        <v>146146</v>
      </c>
    </row>
    <row r="152" spans="1:10">
      <c r="A152">
        <v>10158</v>
      </c>
      <c r="B152" s="149">
        <v>44875</v>
      </c>
      <c r="C152" t="s">
        <v>397</v>
      </c>
      <c r="D152" t="s">
        <v>389</v>
      </c>
      <c r="E152" t="s">
        <v>396</v>
      </c>
      <c r="F152">
        <v>199</v>
      </c>
      <c r="G152">
        <v>39</v>
      </c>
      <c r="H152">
        <v>308</v>
      </c>
      <c r="I152">
        <v>61212</v>
      </c>
      <c r="J152">
        <v>11996</v>
      </c>
    </row>
    <row r="153" spans="1:10">
      <c r="A153">
        <v>10159</v>
      </c>
      <c r="B153" s="149">
        <v>44875</v>
      </c>
      <c r="C153" t="s">
        <v>397</v>
      </c>
      <c r="D153" t="s">
        <v>392</v>
      </c>
      <c r="E153" t="s">
        <v>390</v>
      </c>
      <c r="F153">
        <v>1299</v>
      </c>
      <c r="G153">
        <v>459</v>
      </c>
      <c r="H153">
        <v>187</v>
      </c>
      <c r="I153">
        <v>243303</v>
      </c>
      <c r="J153">
        <v>85971</v>
      </c>
    </row>
    <row r="154" spans="1:10">
      <c r="A154">
        <v>10160</v>
      </c>
      <c r="B154" s="149">
        <v>44875</v>
      </c>
      <c r="C154" t="s">
        <v>398</v>
      </c>
      <c r="D154" t="s">
        <v>395</v>
      </c>
      <c r="E154" t="s">
        <v>390</v>
      </c>
      <c r="F154">
        <v>199</v>
      </c>
      <c r="G154">
        <v>39</v>
      </c>
      <c r="H154">
        <v>157</v>
      </c>
      <c r="I154">
        <v>31323</v>
      </c>
      <c r="J154">
        <v>6139</v>
      </c>
    </row>
    <row r="155" spans="1:10">
      <c r="A155">
        <v>10161</v>
      </c>
      <c r="B155" s="149">
        <v>44875</v>
      </c>
      <c r="C155" t="s">
        <v>397</v>
      </c>
      <c r="D155" t="s">
        <v>392</v>
      </c>
      <c r="E155" t="s">
        <v>393</v>
      </c>
      <c r="F155">
        <v>449</v>
      </c>
      <c r="G155">
        <v>159</v>
      </c>
      <c r="H155">
        <v>219</v>
      </c>
      <c r="I155">
        <v>98466</v>
      </c>
      <c r="J155">
        <v>34869</v>
      </c>
    </row>
    <row r="156" spans="1:10">
      <c r="A156">
        <v>10162</v>
      </c>
      <c r="B156" s="149">
        <v>44875</v>
      </c>
      <c r="C156" t="s">
        <v>394</v>
      </c>
      <c r="D156" t="s">
        <v>389</v>
      </c>
      <c r="E156" t="s">
        <v>393</v>
      </c>
      <c r="F156">
        <v>199</v>
      </c>
      <c r="G156">
        <v>39</v>
      </c>
      <c r="H156">
        <v>133</v>
      </c>
      <c r="I156">
        <v>26467</v>
      </c>
      <c r="J156">
        <v>5187</v>
      </c>
    </row>
    <row r="157" spans="1:10">
      <c r="A157">
        <v>10163</v>
      </c>
      <c r="B157" s="149">
        <v>44875</v>
      </c>
      <c r="C157" t="s">
        <v>394</v>
      </c>
      <c r="D157" t="s">
        <v>392</v>
      </c>
      <c r="E157" t="s">
        <v>390</v>
      </c>
      <c r="F157">
        <v>1299</v>
      </c>
      <c r="G157">
        <v>459</v>
      </c>
      <c r="H157">
        <v>358</v>
      </c>
      <c r="I157">
        <v>464522</v>
      </c>
      <c r="J157">
        <v>164138</v>
      </c>
    </row>
    <row r="158" spans="1:10">
      <c r="A158">
        <v>10164</v>
      </c>
      <c r="B158" s="149">
        <v>44875</v>
      </c>
      <c r="C158" t="s">
        <v>386</v>
      </c>
      <c r="D158" t="s">
        <v>395</v>
      </c>
      <c r="E158" t="s">
        <v>393</v>
      </c>
      <c r="F158">
        <v>199</v>
      </c>
      <c r="G158">
        <v>39</v>
      </c>
      <c r="H158">
        <v>401</v>
      </c>
      <c r="I158">
        <v>79719</v>
      </c>
      <c r="J158">
        <v>15623</v>
      </c>
    </row>
    <row r="159" spans="1:10">
      <c r="A159">
        <v>10165</v>
      </c>
      <c r="B159" s="149">
        <v>44875</v>
      </c>
      <c r="C159" t="s">
        <v>386</v>
      </c>
      <c r="D159" t="s">
        <v>392</v>
      </c>
      <c r="E159" t="s">
        <v>390</v>
      </c>
      <c r="F159">
        <v>199</v>
      </c>
      <c r="G159">
        <v>39</v>
      </c>
      <c r="H159">
        <v>433</v>
      </c>
      <c r="I159">
        <v>86187</v>
      </c>
      <c r="J159">
        <v>16891</v>
      </c>
    </row>
    <row r="160" spans="1:10">
      <c r="A160">
        <v>10166</v>
      </c>
      <c r="B160" s="149">
        <v>44875</v>
      </c>
      <c r="C160" t="s">
        <v>394</v>
      </c>
      <c r="D160" t="s">
        <v>389</v>
      </c>
      <c r="E160" t="s">
        <v>390</v>
      </c>
      <c r="F160">
        <v>1099</v>
      </c>
      <c r="G160">
        <v>289</v>
      </c>
      <c r="H160">
        <v>206</v>
      </c>
      <c r="I160">
        <v>226284</v>
      </c>
      <c r="J160">
        <v>59505</v>
      </c>
    </row>
    <row r="161" spans="1:10">
      <c r="A161">
        <v>10167</v>
      </c>
      <c r="B161" s="149" t="s">
        <v>468</v>
      </c>
      <c r="C161" t="s">
        <v>391</v>
      </c>
      <c r="D161" t="s">
        <v>392</v>
      </c>
      <c r="E161" t="s">
        <v>390</v>
      </c>
      <c r="F161">
        <v>199</v>
      </c>
      <c r="G161">
        <v>39</v>
      </c>
      <c r="H161">
        <v>436</v>
      </c>
      <c r="I161">
        <v>86764</v>
      </c>
      <c r="J161">
        <v>17004</v>
      </c>
    </row>
    <row r="162" spans="1:10">
      <c r="A162">
        <v>10168</v>
      </c>
      <c r="B162" s="149" t="s">
        <v>469</v>
      </c>
      <c r="C162" t="s">
        <v>398</v>
      </c>
      <c r="D162" t="s">
        <v>395</v>
      </c>
      <c r="E162" t="s">
        <v>390</v>
      </c>
      <c r="F162">
        <v>599</v>
      </c>
      <c r="G162">
        <v>299</v>
      </c>
      <c r="H162">
        <v>115</v>
      </c>
      <c r="I162">
        <v>68705</v>
      </c>
      <c r="J162">
        <v>34295</v>
      </c>
    </row>
    <row r="163" spans="1:10">
      <c r="A163">
        <v>10169</v>
      </c>
      <c r="B163" s="149" t="s">
        <v>470</v>
      </c>
      <c r="C163" t="s">
        <v>391</v>
      </c>
      <c r="D163" t="s">
        <v>395</v>
      </c>
      <c r="E163" t="s">
        <v>390</v>
      </c>
      <c r="F163">
        <v>1099</v>
      </c>
      <c r="G163">
        <v>289</v>
      </c>
      <c r="H163">
        <v>214</v>
      </c>
      <c r="I163">
        <v>234966</v>
      </c>
      <c r="J163">
        <v>61788</v>
      </c>
    </row>
    <row r="164" spans="1:10">
      <c r="A164">
        <v>10170</v>
      </c>
      <c r="B164" s="149" t="s">
        <v>471</v>
      </c>
      <c r="C164" t="s">
        <v>398</v>
      </c>
      <c r="D164" t="s">
        <v>387</v>
      </c>
      <c r="E164" t="s">
        <v>390</v>
      </c>
      <c r="F164">
        <v>1299</v>
      </c>
      <c r="G164">
        <v>459</v>
      </c>
      <c r="H164">
        <v>124</v>
      </c>
      <c r="I164">
        <v>161076</v>
      </c>
      <c r="J164">
        <v>56916</v>
      </c>
    </row>
    <row r="165" spans="1:10">
      <c r="A165">
        <v>10171</v>
      </c>
      <c r="B165" s="149" t="s">
        <v>472</v>
      </c>
      <c r="C165" t="s">
        <v>397</v>
      </c>
      <c r="D165" t="s">
        <v>395</v>
      </c>
      <c r="E165" t="s">
        <v>390</v>
      </c>
      <c r="F165">
        <v>199</v>
      </c>
      <c r="G165">
        <v>39</v>
      </c>
      <c r="H165">
        <v>285</v>
      </c>
      <c r="I165">
        <v>56735</v>
      </c>
      <c r="J165">
        <v>11119</v>
      </c>
    </row>
    <row r="166" spans="1:10">
      <c r="A166">
        <v>10172</v>
      </c>
      <c r="B166" s="149" t="s">
        <v>473</v>
      </c>
      <c r="C166" t="s">
        <v>398</v>
      </c>
      <c r="D166" t="s">
        <v>389</v>
      </c>
      <c r="E166" t="s">
        <v>388</v>
      </c>
      <c r="F166">
        <v>199</v>
      </c>
      <c r="G166">
        <v>39</v>
      </c>
      <c r="H166">
        <v>229</v>
      </c>
      <c r="I166">
        <v>45551</v>
      </c>
      <c r="J166">
        <v>8927</v>
      </c>
    </row>
    <row r="167" spans="1:10">
      <c r="A167">
        <v>10173</v>
      </c>
      <c r="B167" s="149" t="s">
        <v>474</v>
      </c>
      <c r="C167" t="s">
        <v>391</v>
      </c>
      <c r="D167" t="s">
        <v>389</v>
      </c>
      <c r="E167" t="s">
        <v>388</v>
      </c>
      <c r="F167">
        <v>199</v>
      </c>
      <c r="G167">
        <v>39</v>
      </c>
      <c r="H167">
        <v>361</v>
      </c>
      <c r="I167">
        <v>71839</v>
      </c>
      <c r="J167">
        <v>14079</v>
      </c>
    </row>
    <row r="168" spans="1:10">
      <c r="A168">
        <v>10174</v>
      </c>
      <c r="B168" s="149" t="s">
        <v>475</v>
      </c>
      <c r="C168" t="s">
        <v>398</v>
      </c>
      <c r="D168" t="s">
        <v>387</v>
      </c>
      <c r="E168" t="s">
        <v>388</v>
      </c>
      <c r="F168">
        <v>1099</v>
      </c>
      <c r="G168">
        <v>289</v>
      </c>
      <c r="H168">
        <v>426</v>
      </c>
      <c r="I168">
        <v>467844</v>
      </c>
      <c r="J168">
        <v>123027</v>
      </c>
    </row>
    <row r="169" spans="1:10">
      <c r="A169">
        <v>10175</v>
      </c>
      <c r="B169" s="149" t="s">
        <v>476</v>
      </c>
      <c r="C169" t="s">
        <v>398</v>
      </c>
      <c r="D169" t="s">
        <v>387</v>
      </c>
      <c r="E169" t="s">
        <v>388</v>
      </c>
      <c r="F169">
        <v>199</v>
      </c>
      <c r="G169">
        <v>39</v>
      </c>
      <c r="H169">
        <v>233</v>
      </c>
      <c r="I169">
        <v>46427</v>
      </c>
      <c r="J169">
        <v>9099</v>
      </c>
    </row>
    <row r="170" spans="1:10">
      <c r="A170">
        <v>10176</v>
      </c>
      <c r="B170" s="149" t="s">
        <v>477</v>
      </c>
      <c r="C170" t="s">
        <v>386</v>
      </c>
      <c r="D170" t="s">
        <v>387</v>
      </c>
      <c r="E170" t="s">
        <v>388</v>
      </c>
      <c r="F170">
        <v>599</v>
      </c>
      <c r="G170">
        <v>299</v>
      </c>
      <c r="H170">
        <v>381</v>
      </c>
      <c r="I170">
        <v>228339</v>
      </c>
      <c r="J170">
        <v>113979</v>
      </c>
    </row>
    <row r="171" spans="1:10">
      <c r="A171">
        <v>10177</v>
      </c>
      <c r="B171" s="149">
        <v>44603</v>
      </c>
      <c r="C171" t="s">
        <v>398</v>
      </c>
      <c r="D171" t="s">
        <v>389</v>
      </c>
      <c r="E171" t="s">
        <v>388</v>
      </c>
      <c r="F171">
        <v>1299</v>
      </c>
      <c r="G171">
        <v>459</v>
      </c>
      <c r="H171">
        <v>415</v>
      </c>
      <c r="I171">
        <v>539475</v>
      </c>
      <c r="J171">
        <v>190623</v>
      </c>
    </row>
    <row r="172" spans="1:10">
      <c r="A172">
        <v>10178</v>
      </c>
      <c r="B172" s="149">
        <v>44662</v>
      </c>
      <c r="C172" t="s">
        <v>394</v>
      </c>
      <c r="D172" t="s">
        <v>395</v>
      </c>
      <c r="E172" t="s">
        <v>393</v>
      </c>
      <c r="F172">
        <v>1099</v>
      </c>
      <c r="G172">
        <v>289</v>
      </c>
      <c r="H172">
        <v>250</v>
      </c>
      <c r="I172">
        <v>275190</v>
      </c>
      <c r="J172">
        <v>72366</v>
      </c>
    </row>
    <row r="173" spans="1:10">
      <c r="A173">
        <v>10179</v>
      </c>
      <c r="B173" s="149">
        <v>44723</v>
      </c>
      <c r="C173" t="s">
        <v>386</v>
      </c>
      <c r="D173" t="s">
        <v>389</v>
      </c>
      <c r="E173" t="s">
        <v>393</v>
      </c>
      <c r="F173">
        <v>449</v>
      </c>
      <c r="G173">
        <v>159</v>
      </c>
      <c r="H173">
        <v>280</v>
      </c>
      <c r="I173">
        <v>125765</v>
      </c>
      <c r="J173">
        <v>44536</v>
      </c>
    </row>
    <row r="174" spans="1:10">
      <c r="A174">
        <v>10180</v>
      </c>
      <c r="B174" s="149">
        <v>44784</v>
      </c>
      <c r="C174" t="s">
        <v>391</v>
      </c>
      <c r="D174" t="s">
        <v>389</v>
      </c>
      <c r="E174" t="s">
        <v>388</v>
      </c>
      <c r="F174">
        <v>199</v>
      </c>
      <c r="G174">
        <v>39</v>
      </c>
      <c r="H174">
        <v>215</v>
      </c>
      <c r="I174">
        <v>42765</v>
      </c>
      <c r="J174">
        <v>8381</v>
      </c>
    </row>
    <row r="175" spans="1:10">
      <c r="A175">
        <v>10181</v>
      </c>
      <c r="B175" s="149">
        <v>44845</v>
      </c>
      <c r="C175" t="s">
        <v>398</v>
      </c>
      <c r="D175" t="s">
        <v>389</v>
      </c>
      <c r="E175" t="s">
        <v>390</v>
      </c>
      <c r="F175">
        <v>599</v>
      </c>
      <c r="G175">
        <v>299</v>
      </c>
      <c r="H175">
        <v>319</v>
      </c>
      <c r="I175">
        <v>191201</v>
      </c>
      <c r="J175">
        <v>95441</v>
      </c>
    </row>
    <row r="176" spans="1:10">
      <c r="A176">
        <v>10182</v>
      </c>
      <c r="B176" s="149">
        <v>44906</v>
      </c>
      <c r="C176" t="s">
        <v>398</v>
      </c>
      <c r="D176" t="s">
        <v>395</v>
      </c>
      <c r="E176" t="s">
        <v>390</v>
      </c>
      <c r="F176">
        <v>1299</v>
      </c>
      <c r="G176">
        <v>459</v>
      </c>
      <c r="H176">
        <v>210</v>
      </c>
      <c r="I176">
        <v>272660</v>
      </c>
      <c r="J176">
        <v>96344</v>
      </c>
    </row>
    <row r="177" spans="1:10">
      <c r="A177">
        <v>10183</v>
      </c>
      <c r="B177" s="149" t="s">
        <v>478</v>
      </c>
      <c r="C177" t="s">
        <v>398</v>
      </c>
      <c r="D177" t="s">
        <v>392</v>
      </c>
      <c r="E177" t="s">
        <v>390</v>
      </c>
      <c r="F177">
        <v>1099</v>
      </c>
      <c r="G177">
        <v>289</v>
      </c>
      <c r="H177">
        <v>198</v>
      </c>
      <c r="I177">
        <v>217492</v>
      </c>
      <c r="J177">
        <v>57193</v>
      </c>
    </row>
    <row r="178" spans="1:10">
      <c r="A178">
        <v>10184</v>
      </c>
      <c r="B178" s="149" t="s">
        <v>478</v>
      </c>
      <c r="C178" t="s">
        <v>386</v>
      </c>
      <c r="D178" t="s">
        <v>392</v>
      </c>
      <c r="E178" t="s">
        <v>390</v>
      </c>
      <c r="F178">
        <v>1099</v>
      </c>
      <c r="G178">
        <v>289</v>
      </c>
      <c r="H178">
        <v>122</v>
      </c>
      <c r="I178">
        <v>134298</v>
      </c>
      <c r="J178">
        <v>35316</v>
      </c>
    </row>
    <row r="179" spans="1:10">
      <c r="A179">
        <v>10185</v>
      </c>
      <c r="B179" s="149" t="s">
        <v>478</v>
      </c>
      <c r="C179" t="s">
        <v>398</v>
      </c>
      <c r="D179" t="s">
        <v>392</v>
      </c>
      <c r="E179" t="s">
        <v>390</v>
      </c>
      <c r="F179">
        <v>199</v>
      </c>
      <c r="G179">
        <v>39</v>
      </c>
      <c r="H179">
        <v>379</v>
      </c>
      <c r="I179">
        <v>75481</v>
      </c>
      <c r="J179">
        <v>14793</v>
      </c>
    </row>
    <row r="180" spans="1:10">
      <c r="A180">
        <v>10186</v>
      </c>
      <c r="B180" s="149" t="s">
        <v>478</v>
      </c>
      <c r="C180" t="s">
        <v>394</v>
      </c>
      <c r="D180" t="s">
        <v>392</v>
      </c>
      <c r="E180" t="s">
        <v>390</v>
      </c>
      <c r="F180">
        <v>449</v>
      </c>
      <c r="G180">
        <v>159</v>
      </c>
      <c r="H180">
        <v>121</v>
      </c>
      <c r="I180">
        <v>54239</v>
      </c>
      <c r="J180">
        <v>19207</v>
      </c>
    </row>
    <row r="181" spans="1:10">
      <c r="A181">
        <v>10187</v>
      </c>
      <c r="B181" s="149" t="s">
        <v>478</v>
      </c>
      <c r="C181" t="s">
        <v>391</v>
      </c>
      <c r="D181" t="s">
        <v>392</v>
      </c>
      <c r="E181" t="s">
        <v>390</v>
      </c>
      <c r="F181">
        <v>449</v>
      </c>
      <c r="G181">
        <v>159</v>
      </c>
      <c r="H181">
        <v>454</v>
      </c>
      <c r="I181">
        <v>203981</v>
      </c>
      <c r="J181">
        <v>72234</v>
      </c>
    </row>
    <row r="182" spans="1:10">
      <c r="A182">
        <v>10188</v>
      </c>
      <c r="B182" s="149" t="s">
        <v>479</v>
      </c>
      <c r="C182" t="s">
        <v>386</v>
      </c>
      <c r="D182" t="s">
        <v>389</v>
      </c>
      <c r="E182" t="s">
        <v>390</v>
      </c>
      <c r="F182">
        <v>199</v>
      </c>
      <c r="G182">
        <v>39</v>
      </c>
      <c r="H182">
        <v>246</v>
      </c>
      <c r="I182">
        <v>48914</v>
      </c>
      <c r="J182">
        <v>9586</v>
      </c>
    </row>
    <row r="183" spans="1:10">
      <c r="A183">
        <v>10189</v>
      </c>
      <c r="B183" s="149" t="s">
        <v>480</v>
      </c>
      <c r="C183" t="s">
        <v>397</v>
      </c>
      <c r="D183" t="s">
        <v>387</v>
      </c>
      <c r="E183" t="s">
        <v>390</v>
      </c>
      <c r="F183">
        <v>199</v>
      </c>
      <c r="G183">
        <v>39</v>
      </c>
      <c r="H183">
        <v>286</v>
      </c>
      <c r="I183">
        <v>56815</v>
      </c>
      <c r="J183">
        <v>11135</v>
      </c>
    </row>
    <row r="184" spans="1:10">
      <c r="A184">
        <v>10190</v>
      </c>
      <c r="B184" s="149" t="s">
        <v>478</v>
      </c>
      <c r="C184" t="s">
        <v>398</v>
      </c>
      <c r="D184" t="s">
        <v>395</v>
      </c>
      <c r="E184" t="s">
        <v>388</v>
      </c>
      <c r="F184">
        <v>199</v>
      </c>
      <c r="G184">
        <v>39</v>
      </c>
      <c r="H184">
        <v>242</v>
      </c>
      <c r="I184">
        <v>48178</v>
      </c>
      <c r="J184">
        <v>9442</v>
      </c>
    </row>
    <row r="185" spans="1:10">
      <c r="A185">
        <v>10191</v>
      </c>
      <c r="B185" s="149" t="s">
        <v>479</v>
      </c>
      <c r="C185" t="s">
        <v>394</v>
      </c>
      <c r="D185" t="s">
        <v>395</v>
      </c>
      <c r="E185" t="s">
        <v>390</v>
      </c>
      <c r="F185">
        <v>599</v>
      </c>
      <c r="G185">
        <v>299</v>
      </c>
      <c r="H185">
        <v>134</v>
      </c>
      <c r="I185">
        <v>80206</v>
      </c>
      <c r="J185">
        <v>40036</v>
      </c>
    </row>
    <row r="186" spans="1:10">
      <c r="A186">
        <v>10192</v>
      </c>
      <c r="B186" s="149" t="s">
        <v>480</v>
      </c>
      <c r="C186" t="s">
        <v>391</v>
      </c>
      <c r="D186" t="s">
        <v>395</v>
      </c>
      <c r="E186" t="s">
        <v>388</v>
      </c>
      <c r="F186">
        <v>599</v>
      </c>
      <c r="G186">
        <v>299</v>
      </c>
      <c r="H186">
        <v>289</v>
      </c>
      <c r="I186">
        <v>172871</v>
      </c>
      <c r="J186">
        <v>86291</v>
      </c>
    </row>
    <row r="187" spans="1:10">
      <c r="A187">
        <v>10193</v>
      </c>
      <c r="B187" s="149" t="s">
        <v>481</v>
      </c>
      <c r="C187" t="s">
        <v>386</v>
      </c>
      <c r="D187" t="s">
        <v>389</v>
      </c>
      <c r="E187" t="s">
        <v>390</v>
      </c>
      <c r="F187">
        <v>199</v>
      </c>
      <c r="G187">
        <v>39</v>
      </c>
      <c r="H187">
        <v>200</v>
      </c>
      <c r="I187">
        <v>39820</v>
      </c>
      <c r="J187">
        <v>7804</v>
      </c>
    </row>
    <row r="188" spans="1:10">
      <c r="A188">
        <v>10194</v>
      </c>
      <c r="B188" s="149" t="s">
        <v>478</v>
      </c>
      <c r="C188" t="s">
        <v>386</v>
      </c>
      <c r="D188" t="s">
        <v>387</v>
      </c>
      <c r="E188" t="s">
        <v>393</v>
      </c>
      <c r="F188">
        <v>1099</v>
      </c>
      <c r="G188">
        <v>289</v>
      </c>
      <c r="H188">
        <v>214</v>
      </c>
      <c r="I188">
        <v>234966</v>
      </c>
      <c r="J188">
        <v>61788</v>
      </c>
    </row>
    <row r="189" spans="1:10">
      <c r="A189">
        <v>10195</v>
      </c>
      <c r="B189" s="149" t="s">
        <v>479</v>
      </c>
      <c r="C189" t="s">
        <v>398</v>
      </c>
      <c r="D189" t="s">
        <v>395</v>
      </c>
      <c r="E189" t="s">
        <v>396</v>
      </c>
      <c r="F189">
        <v>1299</v>
      </c>
      <c r="G189">
        <v>459</v>
      </c>
      <c r="H189">
        <v>124</v>
      </c>
      <c r="I189">
        <v>161076</v>
      </c>
      <c r="J189">
        <v>56916</v>
      </c>
    </row>
    <row r="190" spans="1:10">
      <c r="A190">
        <v>10196</v>
      </c>
      <c r="B190" s="149" t="s">
        <v>480</v>
      </c>
      <c r="C190" t="s">
        <v>397</v>
      </c>
      <c r="D190" t="s">
        <v>387</v>
      </c>
      <c r="E190" t="s">
        <v>390</v>
      </c>
      <c r="F190">
        <v>199</v>
      </c>
      <c r="G190">
        <v>39</v>
      </c>
      <c r="H190">
        <v>285</v>
      </c>
      <c r="I190">
        <v>56735</v>
      </c>
      <c r="J190">
        <v>11119</v>
      </c>
    </row>
    <row r="191" spans="1:10">
      <c r="A191">
        <v>10197</v>
      </c>
      <c r="B191" s="149" t="s">
        <v>481</v>
      </c>
      <c r="C191" t="s">
        <v>397</v>
      </c>
      <c r="D191" t="s">
        <v>387</v>
      </c>
      <c r="E191" t="s">
        <v>390</v>
      </c>
      <c r="F191">
        <v>199</v>
      </c>
      <c r="G191">
        <v>39</v>
      </c>
      <c r="H191">
        <v>229</v>
      </c>
      <c r="I191">
        <v>45551</v>
      </c>
      <c r="J191">
        <v>8927</v>
      </c>
    </row>
    <row r="192" spans="1:10">
      <c r="A192">
        <v>10198</v>
      </c>
      <c r="B192" s="149" t="s">
        <v>482</v>
      </c>
      <c r="C192" t="s">
        <v>398</v>
      </c>
      <c r="D192" t="s">
        <v>387</v>
      </c>
      <c r="E192" t="s">
        <v>396</v>
      </c>
      <c r="F192">
        <v>199</v>
      </c>
      <c r="G192">
        <v>39</v>
      </c>
      <c r="H192">
        <v>361</v>
      </c>
      <c r="I192">
        <v>71839</v>
      </c>
      <c r="J192">
        <v>14079</v>
      </c>
    </row>
    <row r="193" spans="1:10">
      <c r="A193">
        <v>10199</v>
      </c>
      <c r="B193" s="149" t="s">
        <v>483</v>
      </c>
      <c r="C193" t="s">
        <v>398</v>
      </c>
      <c r="D193" t="s">
        <v>387</v>
      </c>
      <c r="E193" t="s">
        <v>390</v>
      </c>
      <c r="F193">
        <v>1099</v>
      </c>
      <c r="G193">
        <v>289</v>
      </c>
      <c r="H193">
        <v>426</v>
      </c>
      <c r="I193">
        <v>467844</v>
      </c>
      <c r="J193">
        <v>123027</v>
      </c>
    </row>
    <row r="194" spans="1:10">
      <c r="A194">
        <v>10200</v>
      </c>
      <c r="B194" s="149" t="s">
        <v>484</v>
      </c>
      <c r="C194" t="s">
        <v>398</v>
      </c>
      <c r="D194" t="s">
        <v>395</v>
      </c>
      <c r="E194" t="s">
        <v>388</v>
      </c>
      <c r="F194">
        <v>199</v>
      </c>
      <c r="G194">
        <v>39</v>
      </c>
      <c r="H194">
        <v>242</v>
      </c>
      <c r="I194">
        <v>48178</v>
      </c>
      <c r="J194">
        <v>9442</v>
      </c>
    </row>
    <row r="195" spans="1:10">
      <c r="A195">
        <v>10201</v>
      </c>
      <c r="B195" s="149" t="s">
        <v>485</v>
      </c>
      <c r="C195" t="s">
        <v>394</v>
      </c>
      <c r="D195" t="s">
        <v>395</v>
      </c>
      <c r="E195" t="s">
        <v>390</v>
      </c>
      <c r="F195">
        <v>599</v>
      </c>
      <c r="G195">
        <v>299</v>
      </c>
      <c r="H195">
        <v>134</v>
      </c>
      <c r="I195">
        <v>80206</v>
      </c>
      <c r="J195">
        <v>40036</v>
      </c>
    </row>
    <row r="196" spans="1:10">
      <c r="A196">
        <v>10202</v>
      </c>
      <c r="B196" s="149" t="s">
        <v>486</v>
      </c>
      <c r="C196" t="s">
        <v>391</v>
      </c>
      <c r="D196" t="s">
        <v>395</v>
      </c>
      <c r="E196" t="s">
        <v>388</v>
      </c>
      <c r="F196">
        <v>599</v>
      </c>
      <c r="G196">
        <v>299</v>
      </c>
      <c r="H196">
        <v>289</v>
      </c>
      <c r="I196">
        <v>172871</v>
      </c>
      <c r="J196">
        <v>86291</v>
      </c>
    </row>
    <row r="197" spans="1:10">
      <c r="A197">
        <v>10203</v>
      </c>
      <c r="B197" s="149" t="s">
        <v>487</v>
      </c>
      <c r="C197" t="s">
        <v>386</v>
      </c>
      <c r="D197" t="s">
        <v>389</v>
      </c>
      <c r="E197" t="s">
        <v>390</v>
      </c>
      <c r="F197">
        <v>199</v>
      </c>
      <c r="G197">
        <v>39</v>
      </c>
      <c r="H197">
        <v>200</v>
      </c>
      <c r="I197">
        <v>39820</v>
      </c>
      <c r="J197">
        <v>7804</v>
      </c>
    </row>
    <row r="198" spans="1:10">
      <c r="A198">
        <v>10204</v>
      </c>
      <c r="B198" s="149" t="s">
        <v>488</v>
      </c>
      <c r="C198" t="s">
        <v>386</v>
      </c>
      <c r="D198" t="s">
        <v>387</v>
      </c>
      <c r="E198" t="s">
        <v>393</v>
      </c>
      <c r="F198">
        <v>1099</v>
      </c>
      <c r="G198">
        <v>289</v>
      </c>
      <c r="H198">
        <v>214</v>
      </c>
      <c r="I198">
        <v>234966</v>
      </c>
      <c r="J198">
        <v>61788</v>
      </c>
    </row>
    <row r="199" spans="1:10">
      <c r="A199">
        <v>10205</v>
      </c>
      <c r="B199" s="149" t="s">
        <v>489</v>
      </c>
      <c r="C199" t="s">
        <v>398</v>
      </c>
      <c r="D199" t="s">
        <v>395</v>
      </c>
      <c r="E199" t="s">
        <v>396</v>
      </c>
      <c r="F199">
        <v>1299</v>
      </c>
      <c r="G199">
        <v>459</v>
      </c>
      <c r="H199">
        <v>124</v>
      </c>
      <c r="I199">
        <v>161076</v>
      </c>
      <c r="J199">
        <v>56916</v>
      </c>
    </row>
    <row r="200" spans="1:10">
      <c r="A200">
        <v>10206</v>
      </c>
      <c r="B200" s="149" t="s">
        <v>490</v>
      </c>
      <c r="C200" t="s">
        <v>397</v>
      </c>
      <c r="D200" t="s">
        <v>387</v>
      </c>
      <c r="E200" t="s">
        <v>390</v>
      </c>
      <c r="F200">
        <v>199</v>
      </c>
      <c r="G200">
        <v>39</v>
      </c>
      <c r="H200">
        <v>285</v>
      </c>
      <c r="I200">
        <v>56735</v>
      </c>
      <c r="J200">
        <v>11119</v>
      </c>
    </row>
    <row r="201" spans="1:10">
      <c r="A201">
        <v>10207</v>
      </c>
      <c r="B201" s="149" t="s">
        <v>491</v>
      </c>
      <c r="C201" t="s">
        <v>397</v>
      </c>
      <c r="D201" t="s">
        <v>387</v>
      </c>
      <c r="E201" t="s">
        <v>390</v>
      </c>
      <c r="F201">
        <v>199</v>
      </c>
      <c r="G201">
        <v>39</v>
      </c>
      <c r="H201">
        <v>229</v>
      </c>
      <c r="I201">
        <v>45551</v>
      </c>
      <c r="J201">
        <v>8927</v>
      </c>
    </row>
    <row r="202" spans="1:10">
      <c r="A202">
        <v>10208</v>
      </c>
      <c r="B202" s="149" t="s">
        <v>492</v>
      </c>
      <c r="C202" t="s">
        <v>398</v>
      </c>
      <c r="D202" t="s">
        <v>387</v>
      </c>
      <c r="E202" t="s">
        <v>396</v>
      </c>
      <c r="F202">
        <v>199</v>
      </c>
      <c r="G202">
        <v>39</v>
      </c>
      <c r="H202">
        <v>361</v>
      </c>
      <c r="I202">
        <v>71839</v>
      </c>
      <c r="J202">
        <v>14079</v>
      </c>
    </row>
  </sheetData>
  <dataValidations count="1">
    <dataValidation type="list" allowBlank="1" showInputMessage="1" showErrorMessage="1" sqref="N5" xr:uid="{36E34CC8-D837-4CB5-91E4-B96848326B3E}">
      <formula1>$N$8:$N$11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4:O19"/>
  <sheetViews>
    <sheetView topLeftCell="A4" zoomScale="175" zoomScaleNormal="175" workbookViewId="0">
      <selection activeCell="D11" sqref="D11:D12"/>
    </sheetView>
  </sheetViews>
  <sheetFormatPr defaultColWidth="12.6640625" defaultRowHeight="15" customHeight="1"/>
  <cols>
    <col min="1" max="2" width="8.6640625" customWidth="1"/>
    <col min="3" max="3" width="12.33203125" customWidth="1"/>
    <col min="4" max="4" width="11" bestFit="1" customWidth="1"/>
    <col min="5" max="5" width="11.88671875" customWidth="1"/>
    <col min="6" max="6" width="16.5546875" bestFit="1" customWidth="1"/>
    <col min="7" max="7" width="10.77734375" bestFit="1" customWidth="1"/>
    <col min="8" max="8" width="14.33203125" customWidth="1"/>
    <col min="9" max="10" width="8.6640625" customWidth="1"/>
    <col min="11" max="11" width="12.33203125" customWidth="1"/>
    <col min="12" max="12" width="11.88671875" customWidth="1"/>
    <col min="13" max="13" width="7.6640625" customWidth="1"/>
    <col min="14" max="14" width="7.44140625" customWidth="1"/>
    <col min="15" max="15" width="11.44140625" customWidth="1"/>
    <col min="16" max="26" width="8.6640625" customWidth="1"/>
  </cols>
  <sheetData>
    <row r="4" spans="3:15" ht="14.25" customHeight="1">
      <c r="C4" s="37" t="s">
        <v>65</v>
      </c>
      <c r="D4" s="37" t="s">
        <v>137</v>
      </c>
      <c r="E4" s="37" t="s">
        <v>70</v>
      </c>
      <c r="F4" s="37" t="s">
        <v>225</v>
      </c>
      <c r="G4" s="37" t="s">
        <v>73</v>
      </c>
      <c r="H4" s="37" t="s">
        <v>226</v>
      </c>
      <c r="K4" s="37" t="s">
        <v>65</v>
      </c>
      <c r="L4" s="37" t="s">
        <v>70</v>
      </c>
      <c r="M4" s="37" t="s">
        <v>137</v>
      </c>
      <c r="N4" s="37" t="s">
        <v>68</v>
      </c>
      <c r="O4" s="37" t="s">
        <v>227</v>
      </c>
    </row>
    <row r="5" spans="3:15" ht="14.25" customHeight="1">
      <c r="C5" s="3">
        <v>10023</v>
      </c>
      <c r="D5" s="15" t="s">
        <v>228</v>
      </c>
      <c r="E5" s="15" t="str">
        <f>_xlfn.XLOOKUP(D5,$M$5:$M$12,$L$5:$L$12,,0)</f>
        <v>Sales</v>
      </c>
      <c r="F5" s="15" t="str">
        <f>_xlfn.XLOOKUP(D5,$M$5:$M$12,$L$5:$L$12,,0,-1)</f>
        <v>HR</v>
      </c>
      <c r="G5" s="15">
        <v>25000</v>
      </c>
      <c r="H5" s="15" t="str">
        <f>_xlfn.XLOOKUP(G5,$K$16:$K$19,$L$16:$L$19,"No Reward",-1)</f>
        <v>50 Points</v>
      </c>
      <c r="K5" s="3">
        <v>10023</v>
      </c>
      <c r="L5" s="15" t="s">
        <v>73</v>
      </c>
      <c r="M5" s="15" t="s">
        <v>228</v>
      </c>
      <c r="N5" s="3" t="s">
        <v>83</v>
      </c>
      <c r="O5" s="15">
        <v>2018</v>
      </c>
    </row>
    <row r="6" spans="3:15" ht="14.25" customHeight="1">
      <c r="C6" s="3">
        <v>10054</v>
      </c>
      <c r="D6" s="15" t="s">
        <v>229</v>
      </c>
      <c r="E6" s="15" t="str">
        <f t="shared" ref="E6:E9" si="0">_xlfn.XLOOKUP(D6,$M$5:$M$12,$L$5:$L$12,,0)</f>
        <v>Marketing</v>
      </c>
      <c r="F6" s="15" t="str">
        <f t="shared" ref="F6:F9" si="1">_xlfn.XLOOKUP(D6,$M$5:$M$12,$L$5:$L$12,,0,-1)</f>
        <v>Sales</v>
      </c>
      <c r="G6" s="15">
        <v>35000</v>
      </c>
      <c r="H6" s="15" t="str">
        <f t="shared" ref="H6:H9" si="2">_xlfn.XLOOKUP(G6,$K$16:$K$19,$L$16:$L$19,"No Reward",-1)</f>
        <v>100 Points</v>
      </c>
      <c r="K6" s="3">
        <v>10054</v>
      </c>
      <c r="L6" s="15" t="s">
        <v>76</v>
      </c>
      <c r="M6" s="15" t="s">
        <v>229</v>
      </c>
      <c r="N6" s="3" t="s">
        <v>86</v>
      </c>
      <c r="O6" s="15">
        <v>2019</v>
      </c>
    </row>
    <row r="7" spans="3:15" ht="14.25" customHeight="1">
      <c r="C7" s="3">
        <v>10083</v>
      </c>
      <c r="D7" s="15" t="s">
        <v>224</v>
      </c>
      <c r="E7" s="15" t="str">
        <f t="shared" si="0"/>
        <v>Sales</v>
      </c>
      <c r="F7" s="15" t="str">
        <f t="shared" si="1"/>
        <v>Sales</v>
      </c>
      <c r="G7" s="15">
        <v>45000</v>
      </c>
      <c r="H7" s="15" t="str">
        <f t="shared" si="2"/>
        <v>150 Points</v>
      </c>
      <c r="K7" s="3">
        <v>10083</v>
      </c>
      <c r="L7" s="15" t="s">
        <v>73</v>
      </c>
      <c r="M7" s="15" t="s">
        <v>224</v>
      </c>
      <c r="N7" s="3" t="s">
        <v>83</v>
      </c>
      <c r="O7" s="15">
        <v>2019</v>
      </c>
    </row>
    <row r="8" spans="3:15" ht="14.25" customHeight="1">
      <c r="C8" s="3">
        <v>10032</v>
      </c>
      <c r="D8" s="15" t="s">
        <v>230</v>
      </c>
      <c r="E8" s="15" t="str">
        <f t="shared" si="0"/>
        <v>Sales</v>
      </c>
      <c r="F8" s="15" t="str">
        <f t="shared" si="1"/>
        <v>Sales</v>
      </c>
      <c r="G8" s="15">
        <v>50000</v>
      </c>
      <c r="H8" s="15" t="str">
        <f t="shared" si="2"/>
        <v>200 Points</v>
      </c>
      <c r="K8" s="3">
        <v>10032</v>
      </c>
      <c r="L8" s="15" t="s">
        <v>73</v>
      </c>
      <c r="M8" s="15" t="s">
        <v>230</v>
      </c>
      <c r="N8" s="3" t="s">
        <v>83</v>
      </c>
      <c r="O8" s="15">
        <v>2020</v>
      </c>
    </row>
    <row r="9" spans="3:15" ht="14.25" customHeight="1">
      <c r="C9" s="3">
        <v>10056</v>
      </c>
      <c r="D9" s="15" t="s">
        <v>113</v>
      </c>
      <c r="E9" s="15" t="str">
        <f t="shared" si="0"/>
        <v>Marketing</v>
      </c>
      <c r="F9" s="15" t="str">
        <f t="shared" si="1"/>
        <v>Marketing</v>
      </c>
      <c r="G9" s="15">
        <v>10000</v>
      </c>
      <c r="H9" s="15" t="str">
        <f t="shared" si="2"/>
        <v>No Reward</v>
      </c>
      <c r="K9" s="3">
        <v>10056</v>
      </c>
      <c r="L9" s="15" t="s">
        <v>76</v>
      </c>
      <c r="M9" s="15" t="s">
        <v>113</v>
      </c>
      <c r="N9" s="3" t="s">
        <v>86</v>
      </c>
      <c r="O9" s="15">
        <v>2021</v>
      </c>
    </row>
    <row r="10" spans="3:15" ht="14.25" customHeight="1">
      <c r="K10" s="3">
        <v>10023</v>
      </c>
      <c r="L10" s="15" t="s">
        <v>79</v>
      </c>
      <c r="M10" s="15" t="s">
        <v>228</v>
      </c>
      <c r="N10" s="3" t="s">
        <v>83</v>
      </c>
      <c r="O10" s="15">
        <v>2021</v>
      </c>
    </row>
    <row r="11" spans="3:15" ht="14.25" customHeight="1">
      <c r="D11" t="s">
        <v>137</v>
      </c>
      <c r="K11" s="3">
        <v>10054</v>
      </c>
      <c r="L11" s="15" t="s">
        <v>73</v>
      </c>
      <c r="M11" s="15" t="s">
        <v>229</v>
      </c>
      <c r="N11" s="3" t="s">
        <v>86</v>
      </c>
      <c r="O11" s="15">
        <v>2021</v>
      </c>
    </row>
    <row r="12" spans="3:15" ht="14.25" customHeight="1">
      <c r="D12" t="s">
        <v>228</v>
      </c>
      <c r="K12" s="3">
        <v>10023</v>
      </c>
      <c r="L12" s="15" t="s">
        <v>231</v>
      </c>
      <c r="M12" s="15" t="s">
        <v>228</v>
      </c>
      <c r="N12" s="3" t="s">
        <v>83</v>
      </c>
      <c r="O12" s="15">
        <v>2022</v>
      </c>
    </row>
    <row r="13" spans="3:15" ht="14.25" customHeight="1"/>
    <row r="14" spans="3:15" ht="14.25" customHeight="1"/>
    <row r="15" spans="3:15" ht="14.25" customHeight="1">
      <c r="C15" s="37" t="s">
        <v>65</v>
      </c>
      <c r="D15" s="37" t="s">
        <v>70</v>
      </c>
      <c r="E15" s="37" t="s">
        <v>137</v>
      </c>
      <c r="F15" s="37" t="s">
        <v>68</v>
      </c>
      <c r="G15" s="37" t="s">
        <v>227</v>
      </c>
      <c r="K15" s="37" t="s">
        <v>73</v>
      </c>
      <c r="L15" s="37" t="s">
        <v>226</v>
      </c>
    </row>
    <row r="16" spans="3:15" ht="14.25" customHeight="1">
      <c r="C16" s="3">
        <v>10023</v>
      </c>
      <c r="D16" s="15" t="s">
        <v>73</v>
      </c>
      <c r="E16" s="15" t="s">
        <v>228</v>
      </c>
      <c r="F16" s="3" t="s">
        <v>83</v>
      </c>
      <c r="G16" s="15">
        <v>2018</v>
      </c>
      <c r="K16" s="3">
        <v>20000</v>
      </c>
      <c r="L16" s="3" t="s">
        <v>232</v>
      </c>
    </row>
    <row r="17" spans="3:12" ht="14.25" customHeight="1">
      <c r="C17" s="3">
        <v>10023</v>
      </c>
      <c r="D17" s="15" t="s">
        <v>79</v>
      </c>
      <c r="E17" s="15" t="s">
        <v>228</v>
      </c>
      <c r="F17" s="3" t="s">
        <v>83</v>
      </c>
      <c r="G17" s="15">
        <v>2021</v>
      </c>
      <c r="K17" s="3">
        <v>30000</v>
      </c>
      <c r="L17" s="3" t="s">
        <v>233</v>
      </c>
    </row>
    <row r="18" spans="3:12" ht="14.25" customHeight="1">
      <c r="C18" s="3">
        <v>10023</v>
      </c>
      <c r="D18" s="15" t="s">
        <v>231</v>
      </c>
      <c r="E18" s="15" t="s">
        <v>228</v>
      </c>
      <c r="F18" s="3" t="s">
        <v>83</v>
      </c>
      <c r="G18" s="15">
        <v>2022</v>
      </c>
      <c r="K18" s="3">
        <v>40000</v>
      </c>
      <c r="L18" s="3" t="s">
        <v>234</v>
      </c>
    </row>
    <row r="19" spans="3:12" ht="14.25" customHeight="1">
      <c r="K19" s="3">
        <v>50000</v>
      </c>
      <c r="L19" s="3" t="s">
        <v>235</v>
      </c>
    </row>
  </sheetData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97D79-989F-412F-BBC2-375339C1FE05}">
  <dimension ref="A2:H31"/>
  <sheetViews>
    <sheetView topLeftCell="A21" zoomScale="190" zoomScaleNormal="190" workbookViewId="0">
      <selection activeCell="B30" sqref="B30:B31"/>
    </sheetView>
  </sheetViews>
  <sheetFormatPr defaultRowHeight="14.4"/>
  <cols>
    <col min="1" max="1" width="20.77734375" bestFit="1" customWidth="1"/>
    <col min="2" max="2" width="19.109375" bestFit="1" customWidth="1"/>
    <col min="3" max="3" width="10" bestFit="1" customWidth="1"/>
    <col min="4" max="4" width="9.88671875" bestFit="1" customWidth="1"/>
    <col min="7" max="7" width="16.109375" customWidth="1"/>
    <col min="8" max="8" width="10.5546875" bestFit="1" customWidth="1"/>
  </cols>
  <sheetData>
    <row r="2" spans="1:5">
      <c r="A2" s="144" t="s">
        <v>1113</v>
      </c>
    </row>
    <row r="3" spans="1:5">
      <c r="A3" s="142" t="s">
        <v>137</v>
      </c>
      <c r="B3" s="142" t="s">
        <v>142</v>
      </c>
      <c r="C3" s="141" t="s">
        <v>1106</v>
      </c>
      <c r="D3" s="141" t="s">
        <v>1105</v>
      </c>
    </row>
    <row r="4" spans="1:5">
      <c r="A4" s="142" t="s">
        <v>228</v>
      </c>
      <c r="B4" s="152" t="s">
        <v>1101</v>
      </c>
      <c r="C4" t="s">
        <v>1107</v>
      </c>
      <c r="D4" t="s">
        <v>1108</v>
      </c>
    </row>
    <row r="5" spans="1:5">
      <c r="A5" s="142" t="s">
        <v>103</v>
      </c>
      <c r="B5" s="152" t="s">
        <v>1102</v>
      </c>
      <c r="C5" t="s">
        <v>1109</v>
      </c>
      <c r="D5" t="s">
        <v>1110</v>
      </c>
    </row>
    <row r="6" spans="1:5">
      <c r="A6" s="142" t="s">
        <v>1103</v>
      </c>
      <c r="B6" s="153" t="s">
        <v>1104</v>
      </c>
      <c r="C6" t="s">
        <v>1111</v>
      </c>
      <c r="D6" t="s">
        <v>1112</v>
      </c>
    </row>
    <row r="10" spans="1:5">
      <c r="A10" s="136" t="s">
        <v>137</v>
      </c>
      <c r="B10" s="136" t="s">
        <v>142</v>
      </c>
      <c r="C10" s="144" t="s">
        <v>1114</v>
      </c>
      <c r="D10" s="144" t="s">
        <v>1115</v>
      </c>
    </row>
    <row r="11" spans="1:5">
      <c r="A11" s="142" t="s">
        <v>228</v>
      </c>
      <c r="B11" s="152" t="s">
        <v>1101</v>
      </c>
      <c r="C11" t="str">
        <f>_xlfn.TEXTBEFORE(B11,"@")</f>
        <v>alex97</v>
      </c>
      <c r="D11" t="str">
        <f>_xlfn.TEXTAFTER(B11,"@")</f>
        <v>gmail,com</v>
      </c>
      <c r="E11" t="str">
        <f>IF(_xlfn.TEXTAFTER(B11,"@")="yahoo.com","Replace","Keep")</f>
        <v>Keep</v>
      </c>
    </row>
    <row r="12" spans="1:5">
      <c r="A12" s="142" t="s">
        <v>103</v>
      </c>
      <c r="B12" s="152" t="s">
        <v>1102</v>
      </c>
      <c r="C12" t="str">
        <f t="shared" ref="C12:C13" si="0">_xlfn.TEXTBEFORE(B12,"@")</f>
        <v>ahmad67</v>
      </c>
      <c r="D12" t="str">
        <f t="shared" ref="D12:D13" si="1">_xlfn.TEXTAFTER(B12,"@")</f>
        <v>gmail.com</v>
      </c>
      <c r="E12" t="str">
        <f t="shared" ref="E12:E13" si="2">IF(_xlfn.TEXTAFTER(B12,"@")="yahoo.com","Replace","Keep")</f>
        <v>Keep</v>
      </c>
    </row>
    <row r="13" spans="1:5">
      <c r="A13" s="142" t="s">
        <v>1103</v>
      </c>
      <c r="B13" s="153" t="s">
        <v>1104</v>
      </c>
      <c r="C13" t="str">
        <f t="shared" si="0"/>
        <v>meimei</v>
      </c>
      <c r="D13" t="str">
        <f t="shared" si="1"/>
        <v>yahoo.com</v>
      </c>
      <c r="E13" t="str">
        <f t="shared" si="2"/>
        <v>Replace</v>
      </c>
    </row>
    <row r="16" spans="1:5">
      <c r="C16" s="141" t="s">
        <v>61</v>
      </c>
      <c r="D16" s="141" t="s">
        <v>62</v>
      </c>
      <c r="E16" s="141" t="s">
        <v>63</v>
      </c>
    </row>
    <row r="17" spans="1:8">
      <c r="A17" s="20" t="s">
        <v>64</v>
      </c>
      <c r="B17" s="20" t="s">
        <v>65</v>
      </c>
      <c r="C17" s="20" t="s">
        <v>66</v>
      </c>
      <c r="D17" s="20" t="s">
        <v>67</v>
      </c>
      <c r="E17" s="20" t="s">
        <v>68</v>
      </c>
    </row>
    <row r="18" spans="1:8">
      <c r="A18" s="121" t="s">
        <v>40</v>
      </c>
      <c r="B18" s="16" t="s">
        <v>71</v>
      </c>
      <c r="C18" s="15" t="str">
        <f>LEFT(B18,2)</f>
        <v>SA</v>
      </c>
      <c r="D18" s="15" t="str">
        <f>MID(B18,3,4)</f>
        <v>2018</v>
      </c>
      <c r="E18" s="15" t="str">
        <f>RIGHT(B18,1)</f>
        <v>L</v>
      </c>
      <c r="G18" s="154">
        <v>45981</v>
      </c>
      <c r="H18" t="str">
        <f>TEXT(G18,"DDDD")</f>
        <v>Thursday</v>
      </c>
    </row>
    <row r="19" spans="1:8">
      <c r="A19" s="121" t="s">
        <v>44</v>
      </c>
      <c r="B19" s="16" t="s">
        <v>74</v>
      </c>
      <c r="C19" s="15" t="str">
        <f t="shared" ref="C19:C27" si="3">LEFT(B19,2)</f>
        <v>SA</v>
      </c>
      <c r="D19" s="15" t="str">
        <f t="shared" ref="D19:D27" si="4">MID(B19,3,4)</f>
        <v>2019</v>
      </c>
      <c r="E19" s="15" t="str">
        <f t="shared" ref="E19:E27" si="5">RIGHT(B19,1)</f>
        <v>P</v>
      </c>
      <c r="G19" s="149">
        <v>45981</v>
      </c>
      <c r="H19" t="str">
        <f>TEXT(G19,"DDDD")</f>
        <v>Thursday</v>
      </c>
    </row>
    <row r="20" spans="1:8">
      <c r="A20" s="121" t="s">
        <v>46</v>
      </c>
      <c r="B20" s="16" t="s">
        <v>77</v>
      </c>
      <c r="C20" s="15" t="str">
        <f t="shared" si="3"/>
        <v>MK</v>
      </c>
      <c r="D20" s="15" t="str">
        <f t="shared" si="4"/>
        <v>2020</v>
      </c>
      <c r="E20" s="15" t="str">
        <f t="shared" si="5"/>
        <v>L</v>
      </c>
    </row>
    <row r="21" spans="1:8">
      <c r="A21" s="121" t="s">
        <v>49</v>
      </c>
      <c r="B21" s="16" t="s">
        <v>74</v>
      </c>
      <c r="C21" s="15" t="str">
        <f t="shared" si="3"/>
        <v>SA</v>
      </c>
      <c r="D21" s="15" t="str">
        <f t="shared" si="4"/>
        <v>2019</v>
      </c>
      <c r="E21" s="15" t="str">
        <f t="shared" si="5"/>
        <v>P</v>
      </c>
    </row>
    <row r="22" spans="1:8">
      <c r="A22" s="121" t="s">
        <v>50</v>
      </c>
      <c r="B22" s="16" t="s">
        <v>80</v>
      </c>
      <c r="C22" s="15" t="str">
        <f t="shared" si="3"/>
        <v>AD</v>
      </c>
      <c r="D22" s="15" t="str">
        <f t="shared" si="4"/>
        <v>2019</v>
      </c>
      <c r="E22" s="15" t="str">
        <f t="shared" si="5"/>
        <v>L</v>
      </c>
    </row>
    <row r="23" spans="1:8">
      <c r="A23" s="121" t="s">
        <v>51</v>
      </c>
      <c r="B23" s="16" t="s">
        <v>82</v>
      </c>
      <c r="C23" s="15" t="str">
        <f t="shared" si="3"/>
        <v>MK</v>
      </c>
      <c r="D23" s="15" t="str">
        <f t="shared" si="4"/>
        <v>2017</v>
      </c>
      <c r="E23" s="15" t="str">
        <f t="shared" si="5"/>
        <v>P</v>
      </c>
    </row>
    <row r="24" spans="1:8">
      <c r="A24" s="121" t="s">
        <v>52</v>
      </c>
      <c r="B24" s="16" t="s">
        <v>547</v>
      </c>
      <c r="C24" s="15" t="str">
        <f t="shared" si="3"/>
        <v>SA</v>
      </c>
      <c r="D24" s="15" t="str">
        <f t="shared" si="4"/>
        <v>2020</v>
      </c>
      <c r="E24" s="15" t="str">
        <f t="shared" si="5"/>
        <v>L</v>
      </c>
    </row>
    <row r="25" spans="1:8">
      <c r="A25" s="121" t="s">
        <v>53</v>
      </c>
      <c r="B25" s="16" t="s">
        <v>88</v>
      </c>
      <c r="C25" s="15" t="str">
        <f t="shared" si="3"/>
        <v>MK</v>
      </c>
      <c r="D25" s="15" t="str">
        <f t="shared" si="4"/>
        <v>2019</v>
      </c>
      <c r="E25" s="15" t="str">
        <f t="shared" si="5"/>
        <v>P</v>
      </c>
    </row>
    <row r="26" spans="1:8">
      <c r="A26" s="121" t="s">
        <v>54</v>
      </c>
      <c r="B26" s="16" t="s">
        <v>77</v>
      </c>
      <c r="C26" s="15" t="str">
        <f t="shared" si="3"/>
        <v>MK</v>
      </c>
      <c r="D26" s="15" t="str">
        <f t="shared" si="4"/>
        <v>2020</v>
      </c>
      <c r="E26" s="15" t="str">
        <f t="shared" si="5"/>
        <v>L</v>
      </c>
    </row>
    <row r="27" spans="1:8">
      <c r="A27" s="121" t="s">
        <v>55</v>
      </c>
      <c r="B27" s="16" t="s">
        <v>89</v>
      </c>
      <c r="C27" s="15" t="str">
        <f t="shared" si="3"/>
        <v>AD</v>
      </c>
      <c r="D27" s="15" t="str">
        <f t="shared" si="4"/>
        <v>2019</v>
      </c>
      <c r="E27" s="15" t="str">
        <f t="shared" si="5"/>
        <v>P</v>
      </c>
    </row>
    <row r="30" spans="1:8">
      <c r="A30" s="141" t="s">
        <v>1116</v>
      </c>
    </row>
    <row r="31" spans="1:8">
      <c r="A31" s="151" t="s">
        <v>1117</v>
      </c>
    </row>
  </sheetData>
  <hyperlinks>
    <hyperlink ref="B4" r:id="rId1" xr:uid="{8B35915E-B74B-4E37-889F-A46AC39DC0ED}"/>
    <hyperlink ref="B5" r:id="rId2" xr:uid="{D14EB1D2-5DD1-4C93-920F-4FF735F635E8}"/>
    <hyperlink ref="B6" r:id="rId3" xr:uid="{55A8940B-7D92-4680-851F-8ADA673BBF45}"/>
    <hyperlink ref="B11" r:id="rId4" xr:uid="{FB549A15-B606-46FB-AD60-688C53193144}"/>
    <hyperlink ref="B12" r:id="rId5" xr:uid="{DEB2471D-9CC2-4C71-A8BC-39A442E91A99}"/>
    <hyperlink ref="B13" r:id="rId6" xr:uid="{23CA9BB2-8E8B-4839-BD3C-841E3AA56EE5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B2:I45"/>
  <sheetViews>
    <sheetView workbookViewId="0">
      <selection activeCell="D9" sqref="B2:I45"/>
    </sheetView>
  </sheetViews>
  <sheetFormatPr defaultColWidth="12.6640625" defaultRowHeight="15" customHeight="1"/>
  <sheetData>
    <row r="2" spans="2:9">
      <c r="B2" s="38" t="s">
        <v>236</v>
      </c>
      <c r="C2" s="38" t="s">
        <v>237</v>
      </c>
      <c r="D2" s="38" t="s">
        <v>238</v>
      </c>
      <c r="E2" s="38" t="s">
        <v>199</v>
      </c>
      <c r="F2" s="38" t="s">
        <v>239</v>
      </c>
      <c r="G2" s="38" t="s">
        <v>240</v>
      </c>
      <c r="H2" s="38" t="s">
        <v>241</v>
      </c>
      <c r="I2" s="38" t="s">
        <v>242</v>
      </c>
    </row>
    <row r="3" spans="2:9">
      <c r="B3" s="39">
        <v>41280</v>
      </c>
      <c r="C3" s="40" t="s">
        <v>243</v>
      </c>
      <c r="D3" s="40" t="s">
        <v>244</v>
      </c>
      <c r="E3" s="40" t="s">
        <v>245</v>
      </c>
      <c r="F3" s="41">
        <v>95</v>
      </c>
      <c r="G3" s="41">
        <v>1.99</v>
      </c>
      <c r="H3" s="41">
        <v>189.05</v>
      </c>
      <c r="I3" s="40" t="s">
        <v>246</v>
      </c>
    </row>
    <row r="4" spans="2:9">
      <c r="B4" s="39">
        <v>41297</v>
      </c>
      <c r="C4" s="40" t="s">
        <v>247</v>
      </c>
      <c r="D4" s="40" t="s">
        <v>248</v>
      </c>
      <c r="E4" s="40" t="s">
        <v>249</v>
      </c>
      <c r="F4" s="41">
        <v>50</v>
      </c>
      <c r="G4" s="41">
        <v>19.989999999999998</v>
      </c>
      <c r="H4" s="41">
        <v>999.5</v>
      </c>
      <c r="I4" s="40" t="s">
        <v>246</v>
      </c>
    </row>
    <row r="5" spans="2:9">
      <c r="B5" s="39">
        <v>41314</v>
      </c>
      <c r="C5" s="40" t="s">
        <v>247</v>
      </c>
      <c r="D5" s="40" t="s">
        <v>250</v>
      </c>
      <c r="E5" s="40" t="s">
        <v>245</v>
      </c>
      <c r="F5" s="41">
        <v>36</v>
      </c>
      <c r="G5" s="41">
        <v>4.99</v>
      </c>
      <c r="H5" s="41">
        <v>179.64</v>
      </c>
      <c r="I5" s="40" t="s">
        <v>246</v>
      </c>
    </row>
    <row r="6" spans="2:9">
      <c r="B6" s="39">
        <v>41331</v>
      </c>
      <c r="C6" s="40" t="s">
        <v>247</v>
      </c>
      <c r="D6" s="40" t="s">
        <v>251</v>
      </c>
      <c r="E6" s="40" t="s">
        <v>195</v>
      </c>
      <c r="F6" s="41">
        <v>27</v>
      </c>
      <c r="G6" s="41">
        <v>19.989999999999998</v>
      </c>
      <c r="H6" s="41">
        <v>539.73</v>
      </c>
      <c r="I6" s="40" t="s">
        <v>246</v>
      </c>
    </row>
    <row r="7" spans="2:9">
      <c r="B7" s="39">
        <v>41348</v>
      </c>
      <c r="C7" s="40" t="s">
        <v>252</v>
      </c>
      <c r="D7" s="40" t="s">
        <v>253</v>
      </c>
      <c r="E7" s="40" t="s">
        <v>245</v>
      </c>
      <c r="F7" s="41">
        <v>56</v>
      </c>
      <c r="G7" s="41">
        <v>2.99</v>
      </c>
      <c r="H7" s="41">
        <v>167.44</v>
      </c>
      <c r="I7" s="40" t="s">
        <v>254</v>
      </c>
    </row>
    <row r="8" spans="2:9">
      <c r="B8" s="39">
        <v>41365</v>
      </c>
      <c r="C8" s="40" t="s">
        <v>243</v>
      </c>
      <c r="D8" s="40" t="s">
        <v>244</v>
      </c>
      <c r="E8" s="40" t="s">
        <v>249</v>
      </c>
      <c r="F8" s="41">
        <v>60</v>
      </c>
      <c r="G8" s="41">
        <v>4.99</v>
      </c>
      <c r="H8" s="41">
        <v>299.39999999999998</v>
      </c>
      <c r="I8" s="40" t="s">
        <v>254</v>
      </c>
    </row>
    <row r="9" spans="2:9">
      <c r="B9" s="39">
        <v>41382</v>
      </c>
      <c r="C9" s="40" t="s">
        <v>247</v>
      </c>
      <c r="D9" s="40" t="s">
        <v>255</v>
      </c>
      <c r="E9" s="40" t="s">
        <v>245</v>
      </c>
      <c r="F9" s="41">
        <v>75</v>
      </c>
      <c r="G9" s="41">
        <v>1.99</v>
      </c>
      <c r="H9" s="41">
        <v>149.25</v>
      </c>
      <c r="I9" s="40" t="s">
        <v>246</v>
      </c>
    </row>
    <row r="10" spans="2:9">
      <c r="B10" s="39">
        <v>41399</v>
      </c>
      <c r="C10" s="40" t="s">
        <v>247</v>
      </c>
      <c r="D10" s="40" t="s">
        <v>250</v>
      </c>
      <c r="E10" s="40" t="s">
        <v>245</v>
      </c>
      <c r="F10" s="41">
        <v>90</v>
      </c>
      <c r="G10" s="41">
        <v>4.99</v>
      </c>
      <c r="H10" s="41">
        <v>449.1</v>
      </c>
      <c r="I10" s="40" t="s">
        <v>256</v>
      </c>
    </row>
    <row r="11" spans="2:9">
      <c r="B11" s="39">
        <v>41416</v>
      </c>
      <c r="C11" s="40" t="s">
        <v>252</v>
      </c>
      <c r="D11" s="40" t="s">
        <v>257</v>
      </c>
      <c r="E11" s="40" t="s">
        <v>245</v>
      </c>
      <c r="F11" s="41">
        <v>32</v>
      </c>
      <c r="G11" s="41">
        <v>1.99</v>
      </c>
      <c r="H11" s="41">
        <v>63.68</v>
      </c>
      <c r="I11" s="40" t="s">
        <v>246</v>
      </c>
    </row>
    <row r="12" spans="2:9">
      <c r="B12" s="39">
        <v>41433</v>
      </c>
      <c r="C12" s="40" t="s">
        <v>243</v>
      </c>
      <c r="D12" s="40" t="s">
        <v>244</v>
      </c>
      <c r="E12" s="40" t="s">
        <v>249</v>
      </c>
      <c r="F12" s="41">
        <v>60</v>
      </c>
      <c r="G12" s="41">
        <v>8.99</v>
      </c>
      <c r="H12" s="41">
        <v>539.4</v>
      </c>
      <c r="I12" s="40" t="s">
        <v>254</v>
      </c>
    </row>
    <row r="13" spans="2:9">
      <c r="B13" s="39">
        <v>41450</v>
      </c>
      <c r="C13" s="40" t="s">
        <v>247</v>
      </c>
      <c r="D13" s="40" t="s">
        <v>258</v>
      </c>
      <c r="E13" s="40" t="s">
        <v>245</v>
      </c>
      <c r="F13" s="41">
        <v>90</v>
      </c>
      <c r="G13" s="41">
        <v>4.99</v>
      </c>
      <c r="H13" s="41">
        <v>449.1</v>
      </c>
      <c r="I13" s="40" t="s">
        <v>256</v>
      </c>
    </row>
    <row r="14" spans="2:9">
      <c r="B14" s="39">
        <v>41467</v>
      </c>
      <c r="C14" s="40" t="s">
        <v>243</v>
      </c>
      <c r="D14" s="40" t="s">
        <v>259</v>
      </c>
      <c r="E14" s="40" t="s">
        <v>249</v>
      </c>
      <c r="F14" s="41">
        <v>29</v>
      </c>
      <c r="G14" s="41">
        <v>1.99</v>
      </c>
      <c r="H14" s="41">
        <v>57.71</v>
      </c>
      <c r="I14" s="40" t="s">
        <v>246</v>
      </c>
    </row>
    <row r="15" spans="2:9">
      <c r="B15" s="39">
        <v>41484</v>
      </c>
      <c r="C15" s="40" t="s">
        <v>243</v>
      </c>
      <c r="D15" s="40" t="s">
        <v>260</v>
      </c>
      <c r="E15" s="40" t="s">
        <v>249</v>
      </c>
      <c r="F15" s="41">
        <v>81</v>
      </c>
      <c r="G15" s="41">
        <v>19.989999999999998</v>
      </c>
      <c r="H15" s="41">
        <v>1619.19</v>
      </c>
      <c r="I15" s="40" t="s">
        <v>246</v>
      </c>
    </row>
    <row r="16" spans="2:9">
      <c r="B16" s="39">
        <v>41501</v>
      </c>
      <c r="C16" s="40" t="s">
        <v>243</v>
      </c>
      <c r="D16" s="40" t="s">
        <v>244</v>
      </c>
      <c r="E16" s="40" t="s">
        <v>245</v>
      </c>
      <c r="F16" s="41">
        <v>35</v>
      </c>
      <c r="G16" s="41">
        <v>4.99</v>
      </c>
      <c r="H16" s="41">
        <v>174.65</v>
      </c>
      <c r="I16" s="40" t="s">
        <v>246</v>
      </c>
    </row>
    <row r="17" spans="2:9">
      <c r="B17" s="39">
        <v>41518</v>
      </c>
      <c r="C17" s="40" t="s">
        <v>247</v>
      </c>
      <c r="D17" s="40" t="s">
        <v>122</v>
      </c>
      <c r="E17" s="40" t="s">
        <v>261</v>
      </c>
      <c r="F17" s="41">
        <v>2</v>
      </c>
      <c r="G17" s="41">
        <v>125</v>
      </c>
      <c r="H17" s="41">
        <v>250</v>
      </c>
      <c r="I17" s="40" t="s">
        <v>256</v>
      </c>
    </row>
    <row r="18" spans="2:9">
      <c r="B18" s="39">
        <v>41535</v>
      </c>
      <c r="C18" s="40" t="s">
        <v>243</v>
      </c>
      <c r="D18" s="40" t="s">
        <v>244</v>
      </c>
      <c r="E18" s="40" t="s">
        <v>262</v>
      </c>
      <c r="F18" s="41">
        <v>16</v>
      </c>
      <c r="G18" s="41">
        <v>15.99</v>
      </c>
      <c r="H18" s="41">
        <v>255.84</v>
      </c>
      <c r="I18" s="40" t="s">
        <v>256</v>
      </c>
    </row>
    <row r="19" spans="2:9">
      <c r="B19" s="39">
        <v>41552</v>
      </c>
      <c r="C19" s="40" t="s">
        <v>247</v>
      </c>
      <c r="D19" s="40" t="s">
        <v>258</v>
      </c>
      <c r="E19" s="40" t="s">
        <v>249</v>
      </c>
      <c r="F19" s="41">
        <v>28</v>
      </c>
      <c r="G19" s="41">
        <v>8.99</v>
      </c>
      <c r="H19" s="41">
        <v>251.72</v>
      </c>
      <c r="I19" s="40" t="s">
        <v>256</v>
      </c>
    </row>
    <row r="20" spans="2:9">
      <c r="B20" s="39">
        <v>41569</v>
      </c>
      <c r="C20" s="40" t="s">
        <v>243</v>
      </c>
      <c r="D20" s="40" t="s">
        <v>244</v>
      </c>
      <c r="E20" s="40" t="s">
        <v>195</v>
      </c>
      <c r="F20" s="41">
        <v>64</v>
      </c>
      <c r="G20" s="41">
        <v>8.99</v>
      </c>
      <c r="H20" s="41">
        <v>575.36</v>
      </c>
      <c r="I20" s="40" t="s">
        <v>254</v>
      </c>
    </row>
    <row r="21" spans="2:9">
      <c r="B21" s="39">
        <v>41586</v>
      </c>
      <c r="C21" s="40" t="s">
        <v>243</v>
      </c>
      <c r="D21" s="40" t="s">
        <v>260</v>
      </c>
      <c r="E21" s="40" t="s">
        <v>195</v>
      </c>
      <c r="F21" s="41">
        <v>15</v>
      </c>
      <c r="G21" s="41">
        <v>19.989999999999998</v>
      </c>
      <c r="H21" s="41">
        <v>299.85000000000002</v>
      </c>
      <c r="I21" s="40" t="s">
        <v>254</v>
      </c>
    </row>
    <row r="22" spans="2:9">
      <c r="B22" s="39">
        <v>41603</v>
      </c>
      <c r="C22" s="40" t="s">
        <v>247</v>
      </c>
      <c r="D22" s="40" t="s">
        <v>248</v>
      </c>
      <c r="E22" s="40" t="s">
        <v>262</v>
      </c>
      <c r="F22" s="41">
        <v>96</v>
      </c>
      <c r="G22" s="41">
        <v>4.99</v>
      </c>
      <c r="H22" s="41">
        <v>479.04</v>
      </c>
      <c r="I22" s="40" t="s">
        <v>254</v>
      </c>
    </row>
    <row r="23" spans="2:9">
      <c r="B23" s="39">
        <v>41620</v>
      </c>
      <c r="C23" s="40" t="s">
        <v>247</v>
      </c>
      <c r="D23" s="40" t="s">
        <v>122</v>
      </c>
      <c r="E23" s="40" t="s">
        <v>245</v>
      </c>
      <c r="F23" s="41">
        <v>67</v>
      </c>
      <c r="G23" s="41">
        <v>1.29</v>
      </c>
      <c r="H23" s="41">
        <v>86.43</v>
      </c>
      <c r="I23" s="40" t="s">
        <v>246</v>
      </c>
    </row>
    <row r="24" spans="2:9">
      <c r="B24" s="39">
        <v>41637</v>
      </c>
      <c r="C24" s="40" t="s">
        <v>243</v>
      </c>
      <c r="D24" s="40" t="s">
        <v>260</v>
      </c>
      <c r="E24" s="40" t="s">
        <v>262</v>
      </c>
      <c r="F24" s="41">
        <v>74</v>
      </c>
      <c r="G24" s="41">
        <v>15.99</v>
      </c>
      <c r="H24" s="41">
        <v>1183.26</v>
      </c>
      <c r="I24" s="40" t="s">
        <v>246</v>
      </c>
    </row>
    <row r="25" spans="2:9">
      <c r="B25" s="39">
        <v>41654</v>
      </c>
      <c r="C25" s="40" t="s">
        <v>247</v>
      </c>
      <c r="D25" s="40" t="s">
        <v>251</v>
      </c>
      <c r="E25" s="40" t="s">
        <v>249</v>
      </c>
      <c r="F25" s="41">
        <v>46</v>
      </c>
      <c r="G25" s="41">
        <v>8.99</v>
      </c>
      <c r="H25" s="41">
        <v>413.54</v>
      </c>
      <c r="I25" s="40" t="s">
        <v>246</v>
      </c>
    </row>
    <row r="26" spans="2:9">
      <c r="B26" s="39">
        <v>41671</v>
      </c>
      <c r="C26" s="40" t="s">
        <v>247</v>
      </c>
      <c r="D26" s="40" t="s">
        <v>122</v>
      </c>
      <c r="E26" s="40" t="s">
        <v>249</v>
      </c>
      <c r="F26" s="41">
        <v>87</v>
      </c>
      <c r="G26" s="41">
        <v>15</v>
      </c>
      <c r="H26" s="41">
        <v>1305</v>
      </c>
      <c r="I26" s="40" t="s">
        <v>246</v>
      </c>
    </row>
    <row r="27" spans="2:9">
      <c r="B27" s="39">
        <v>41688</v>
      </c>
      <c r="C27" s="40" t="s">
        <v>243</v>
      </c>
      <c r="D27" s="40" t="s">
        <v>244</v>
      </c>
      <c r="E27" s="40" t="s">
        <v>249</v>
      </c>
      <c r="F27" s="41">
        <v>4</v>
      </c>
      <c r="G27" s="41">
        <v>4.99</v>
      </c>
      <c r="H27" s="41">
        <v>19.96</v>
      </c>
      <c r="I27" s="40" t="s">
        <v>246</v>
      </c>
    </row>
    <row r="28" spans="2:9">
      <c r="B28" s="39">
        <v>41705</v>
      </c>
      <c r="C28" s="40" t="s">
        <v>252</v>
      </c>
      <c r="D28" s="40" t="s">
        <v>253</v>
      </c>
      <c r="E28" s="40" t="s">
        <v>249</v>
      </c>
      <c r="F28" s="41">
        <v>7</v>
      </c>
      <c r="G28" s="41">
        <v>19.989999999999998</v>
      </c>
      <c r="H28" s="41">
        <v>139.93</v>
      </c>
      <c r="I28" s="40" t="s">
        <v>256</v>
      </c>
    </row>
    <row r="29" spans="2:9">
      <c r="B29" s="39">
        <v>41722</v>
      </c>
      <c r="C29" s="40" t="s">
        <v>247</v>
      </c>
      <c r="D29" s="40" t="s">
        <v>250</v>
      </c>
      <c r="E29" s="40" t="s">
        <v>262</v>
      </c>
      <c r="F29" s="41">
        <v>50</v>
      </c>
      <c r="G29" s="41">
        <v>4.99</v>
      </c>
      <c r="H29" s="41">
        <v>249.5</v>
      </c>
      <c r="I29" s="40" t="s">
        <v>256</v>
      </c>
    </row>
    <row r="30" spans="2:9">
      <c r="B30" s="39">
        <v>41739</v>
      </c>
      <c r="C30" s="40" t="s">
        <v>247</v>
      </c>
      <c r="D30" s="40" t="s">
        <v>255</v>
      </c>
      <c r="E30" s="40" t="s">
        <v>245</v>
      </c>
      <c r="F30" s="41">
        <v>66</v>
      </c>
      <c r="G30" s="41">
        <v>1.99</v>
      </c>
      <c r="H30" s="41">
        <v>131.34</v>
      </c>
      <c r="I30" s="40" t="s">
        <v>256</v>
      </c>
    </row>
    <row r="31" spans="2:9">
      <c r="B31" s="39">
        <v>41756</v>
      </c>
      <c r="C31" s="40" t="s">
        <v>243</v>
      </c>
      <c r="D31" s="40" t="s">
        <v>259</v>
      </c>
      <c r="E31" s="40" t="s">
        <v>195</v>
      </c>
      <c r="F31" s="41">
        <v>96</v>
      </c>
      <c r="G31" s="41">
        <v>4.99</v>
      </c>
      <c r="H31" s="41">
        <v>479.04</v>
      </c>
      <c r="I31" s="40" t="s">
        <v>254</v>
      </c>
    </row>
    <row r="32" spans="2:9">
      <c r="B32" s="39">
        <v>41773</v>
      </c>
      <c r="C32" s="40" t="s">
        <v>247</v>
      </c>
      <c r="D32" s="40" t="s">
        <v>251</v>
      </c>
      <c r="E32" s="40" t="s">
        <v>245</v>
      </c>
      <c r="F32" s="41">
        <v>53</v>
      </c>
      <c r="G32" s="41">
        <v>1.29</v>
      </c>
      <c r="H32" s="41">
        <v>68.37</v>
      </c>
      <c r="I32" s="40" t="s">
        <v>254</v>
      </c>
    </row>
    <row r="33" spans="2:9">
      <c r="B33" s="39">
        <v>41790</v>
      </c>
      <c r="C33" s="40" t="s">
        <v>247</v>
      </c>
      <c r="D33" s="40" t="s">
        <v>251</v>
      </c>
      <c r="E33" s="40" t="s">
        <v>249</v>
      </c>
      <c r="F33" s="41">
        <v>80</v>
      </c>
      <c r="G33" s="41">
        <v>8.99</v>
      </c>
      <c r="H33" s="41">
        <v>719.2</v>
      </c>
      <c r="I33" s="40" t="s">
        <v>254</v>
      </c>
    </row>
    <row r="34" spans="2:9">
      <c r="B34" s="39">
        <v>41807</v>
      </c>
      <c r="C34" s="40" t="s">
        <v>247</v>
      </c>
      <c r="D34" s="40" t="s">
        <v>248</v>
      </c>
      <c r="E34" s="40" t="s">
        <v>261</v>
      </c>
      <c r="F34" s="41">
        <v>5</v>
      </c>
      <c r="G34" s="41">
        <v>125</v>
      </c>
      <c r="H34" s="41">
        <v>625</v>
      </c>
      <c r="I34" s="40" t="s">
        <v>256</v>
      </c>
    </row>
    <row r="35" spans="2:9">
      <c r="B35" s="39">
        <v>41824</v>
      </c>
      <c r="C35" s="40" t="s">
        <v>243</v>
      </c>
      <c r="D35" s="40" t="s">
        <v>244</v>
      </c>
      <c r="E35" s="40" t="s">
        <v>262</v>
      </c>
      <c r="F35" s="41">
        <v>62</v>
      </c>
      <c r="G35" s="41">
        <v>4.99</v>
      </c>
      <c r="H35" s="41">
        <v>309.38</v>
      </c>
      <c r="I35" s="40" t="s">
        <v>256</v>
      </c>
    </row>
    <row r="36" spans="2:9">
      <c r="B36" s="39">
        <v>41841</v>
      </c>
      <c r="C36" s="40" t="s">
        <v>247</v>
      </c>
      <c r="D36" s="40" t="s">
        <v>258</v>
      </c>
      <c r="E36" s="40" t="s">
        <v>262</v>
      </c>
      <c r="F36" s="41">
        <v>55</v>
      </c>
      <c r="G36" s="41">
        <v>12.49</v>
      </c>
      <c r="H36" s="41">
        <v>686.95</v>
      </c>
      <c r="I36" s="40" t="s">
        <v>256</v>
      </c>
    </row>
    <row r="37" spans="2:9">
      <c r="B37" s="39">
        <v>41858</v>
      </c>
      <c r="C37" s="40" t="s">
        <v>247</v>
      </c>
      <c r="D37" s="40" t="s">
        <v>248</v>
      </c>
      <c r="E37" s="40" t="s">
        <v>262</v>
      </c>
      <c r="F37" s="41">
        <v>42</v>
      </c>
      <c r="G37" s="41">
        <v>23.95</v>
      </c>
      <c r="H37" s="41">
        <v>1005.9</v>
      </c>
      <c r="I37" s="40" t="s">
        <v>246</v>
      </c>
    </row>
    <row r="38" spans="2:9">
      <c r="B38" s="39">
        <v>41875</v>
      </c>
      <c r="C38" s="40" t="s">
        <v>252</v>
      </c>
      <c r="D38" s="40" t="s">
        <v>253</v>
      </c>
      <c r="E38" s="40" t="s">
        <v>261</v>
      </c>
      <c r="F38" s="41">
        <v>3</v>
      </c>
      <c r="G38" s="41">
        <v>275</v>
      </c>
      <c r="H38" s="41">
        <v>825</v>
      </c>
      <c r="I38" s="40" t="s">
        <v>246</v>
      </c>
    </row>
    <row r="39" spans="2:9">
      <c r="B39" s="39">
        <v>41892</v>
      </c>
      <c r="C39" s="40" t="s">
        <v>247</v>
      </c>
      <c r="D39" s="40" t="s">
        <v>251</v>
      </c>
      <c r="E39" s="40" t="s">
        <v>245</v>
      </c>
      <c r="F39" s="41">
        <v>7</v>
      </c>
      <c r="G39" s="41">
        <v>1.29</v>
      </c>
      <c r="H39" s="41">
        <v>9.0299999999999994</v>
      </c>
      <c r="I39" s="40" t="s">
        <v>246</v>
      </c>
    </row>
    <row r="40" spans="2:9">
      <c r="B40" s="39">
        <v>41909</v>
      </c>
      <c r="C40" s="40" t="s">
        <v>252</v>
      </c>
      <c r="D40" s="40" t="s">
        <v>253</v>
      </c>
      <c r="E40" s="40" t="s">
        <v>195</v>
      </c>
      <c r="F40" s="41">
        <v>76</v>
      </c>
      <c r="G40" s="41">
        <v>1.99</v>
      </c>
      <c r="H40" s="41">
        <v>151.24</v>
      </c>
      <c r="I40" s="40" t="s">
        <v>246</v>
      </c>
    </row>
    <row r="41" spans="2:9">
      <c r="B41" s="39">
        <v>41926</v>
      </c>
      <c r="C41" s="40" t="s">
        <v>252</v>
      </c>
      <c r="D41" s="40" t="s">
        <v>257</v>
      </c>
      <c r="E41" s="40" t="s">
        <v>249</v>
      </c>
      <c r="F41" s="41">
        <v>57</v>
      </c>
      <c r="G41" s="41">
        <v>19.989999999999998</v>
      </c>
      <c r="H41" s="41">
        <v>1139.43</v>
      </c>
      <c r="I41" s="40" t="s">
        <v>246</v>
      </c>
    </row>
    <row r="42" spans="2:9">
      <c r="B42" s="39">
        <v>41943</v>
      </c>
      <c r="C42" s="40" t="s">
        <v>247</v>
      </c>
      <c r="D42" s="40" t="s">
        <v>255</v>
      </c>
      <c r="E42" s="40" t="s">
        <v>245</v>
      </c>
      <c r="F42" s="41">
        <v>14</v>
      </c>
      <c r="G42" s="41">
        <v>1.29</v>
      </c>
      <c r="H42" s="41">
        <v>18.059999999999999</v>
      </c>
      <c r="I42" s="40" t="s">
        <v>246</v>
      </c>
    </row>
    <row r="43" spans="2:9">
      <c r="B43" s="39">
        <v>41960</v>
      </c>
      <c r="C43" s="40" t="s">
        <v>247</v>
      </c>
      <c r="D43" s="40" t="s">
        <v>250</v>
      </c>
      <c r="E43" s="40" t="s">
        <v>249</v>
      </c>
      <c r="F43" s="41">
        <v>11</v>
      </c>
      <c r="G43" s="41">
        <v>4.99</v>
      </c>
      <c r="H43" s="41">
        <v>54.89</v>
      </c>
      <c r="I43" s="40" t="s">
        <v>256</v>
      </c>
    </row>
    <row r="44" spans="2:9">
      <c r="B44" s="39">
        <v>41977</v>
      </c>
      <c r="C44" s="40" t="s">
        <v>247</v>
      </c>
      <c r="D44" s="40" t="s">
        <v>250</v>
      </c>
      <c r="E44" s="40" t="s">
        <v>249</v>
      </c>
      <c r="F44" s="41">
        <v>94</v>
      </c>
      <c r="G44" s="41">
        <v>19.989999999999998</v>
      </c>
      <c r="H44" s="41">
        <v>1879.06</v>
      </c>
      <c r="I44" s="40" t="s">
        <v>254</v>
      </c>
    </row>
    <row r="45" spans="2:9">
      <c r="B45" s="39">
        <v>41994</v>
      </c>
      <c r="C45" s="40" t="s">
        <v>247</v>
      </c>
      <c r="D45" s="40" t="s">
        <v>255</v>
      </c>
      <c r="E45" s="40" t="s">
        <v>249</v>
      </c>
      <c r="F45" s="41">
        <v>28</v>
      </c>
      <c r="G45" s="41">
        <v>4.99</v>
      </c>
      <c r="H45" s="41">
        <v>139.72</v>
      </c>
      <c r="I45" s="40" t="s">
        <v>256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R529"/>
  <sheetViews>
    <sheetView topLeftCell="A4" zoomScale="190" zoomScaleNormal="190" workbookViewId="0">
      <selection activeCell="L7" sqref="L7"/>
    </sheetView>
  </sheetViews>
  <sheetFormatPr defaultColWidth="12.6640625" defaultRowHeight="15" customHeight="1"/>
  <cols>
    <col min="1" max="1" width="8.6640625" customWidth="1"/>
    <col min="2" max="2" width="13.44140625" customWidth="1"/>
    <col min="3" max="3" width="27.6640625" customWidth="1"/>
    <col min="4" max="4" width="11.33203125" customWidth="1"/>
    <col min="5" max="5" width="13.109375" bestFit="1" customWidth="1"/>
    <col min="6" max="6" width="16.5546875" customWidth="1"/>
    <col min="7" max="7" width="10.44140625" bestFit="1" customWidth="1"/>
    <col min="8" max="8" width="9.33203125" bestFit="1" customWidth="1"/>
    <col min="9" max="9" width="19.21875" bestFit="1" customWidth="1"/>
    <col min="10" max="10" width="23.88671875" bestFit="1" customWidth="1"/>
    <col min="11" max="11" width="13.33203125" bestFit="1" customWidth="1"/>
    <col min="12" max="12" width="11.33203125" customWidth="1"/>
    <col min="13" max="13" width="12.5546875" bestFit="1" customWidth="1"/>
    <col min="14" max="14" width="8.6640625" customWidth="1"/>
    <col min="15" max="15" width="11.5546875" customWidth="1"/>
    <col min="16" max="16" width="9.33203125" bestFit="1" customWidth="1"/>
    <col min="17" max="24" width="8.6640625" customWidth="1"/>
  </cols>
  <sheetData>
    <row r="3" spans="2:18" ht="15" customHeight="1">
      <c r="K3" s="115"/>
      <c r="L3" s="115"/>
    </row>
    <row r="4" spans="2:18" ht="15" customHeight="1">
      <c r="J4" s="115"/>
      <c r="K4" s="115"/>
      <c r="L4" s="115"/>
    </row>
    <row r="5" spans="2:18" ht="14.25" customHeight="1">
      <c r="B5" s="136" t="s">
        <v>1072</v>
      </c>
      <c r="C5" s="136" t="s">
        <v>264</v>
      </c>
      <c r="D5" s="136" t="s">
        <v>68</v>
      </c>
      <c r="E5" s="136" t="s">
        <v>265</v>
      </c>
      <c r="F5" s="136" t="s">
        <v>1073</v>
      </c>
      <c r="G5" s="136" t="s">
        <v>1092</v>
      </c>
      <c r="H5" s="136" t="s">
        <v>3</v>
      </c>
      <c r="I5" s="136" t="s">
        <v>1093</v>
      </c>
      <c r="J5" s="136" t="s">
        <v>1094</v>
      </c>
      <c r="K5" s="136" t="s">
        <v>1096</v>
      </c>
      <c r="L5" s="136" t="s">
        <v>1098</v>
      </c>
      <c r="M5" s="136" t="s">
        <v>1099</v>
      </c>
      <c r="N5" s="136" t="s">
        <v>1100</v>
      </c>
      <c r="O5" s="136" t="s">
        <v>1095</v>
      </c>
      <c r="R5" s="144" t="s">
        <v>1097</v>
      </c>
    </row>
    <row r="6" spans="2:18" ht="14.25" customHeight="1">
      <c r="B6" s="115" t="s">
        <v>268</v>
      </c>
      <c r="C6" s="115" t="s">
        <v>548</v>
      </c>
      <c r="D6" s="115" t="s">
        <v>87</v>
      </c>
      <c r="E6" s="137">
        <v>16435</v>
      </c>
      <c r="F6" s="42">
        <v>41230</v>
      </c>
      <c r="G6" t="str">
        <f>TEXT(F6,"DDD")</f>
        <v>Sat</v>
      </c>
      <c r="H6" t="str">
        <f>TEXT(F6,"MMM")</f>
        <v>Nov</v>
      </c>
      <c r="I6">
        <f ca="1">DATEDIF(F6,TODAY(),"Y")</f>
        <v>13</v>
      </c>
      <c r="J6" t="str">
        <f ca="1">DATEDIF(F6,TODAY(),"Y")&amp;" years "&amp;DATEDIF(F6,TODAY(),"YM")&amp;" months "&amp;DATEDIF(F6,TODAY(),"MD")&amp;" days"</f>
        <v>13 years 0 months 4 days</v>
      </c>
      <c r="K6" s="149">
        <f>F6+60</f>
        <v>41290</v>
      </c>
      <c r="L6" s="149">
        <f t="shared" ref="L6:L69" si="0">WORKDAY(F6,60,$R$6:$R$7)</f>
        <v>41316</v>
      </c>
      <c r="M6" s="150">
        <f>WEEKNUM(F6,2)</f>
        <v>47</v>
      </c>
      <c r="N6" t="str">
        <f>IF(WEEKDAY(F6,2)&gt;5,"Weekend","Weekday")</f>
        <v>Weekend</v>
      </c>
      <c r="O6" s="149">
        <f>EDATE(L6,36)</f>
        <v>42411</v>
      </c>
      <c r="R6" s="149">
        <v>41275</v>
      </c>
    </row>
    <row r="7" spans="2:18" ht="14.25" customHeight="1">
      <c r="B7" s="115" t="s">
        <v>269</v>
      </c>
      <c r="C7" s="115" t="s">
        <v>549</v>
      </c>
      <c r="D7" s="115" t="s">
        <v>87</v>
      </c>
      <c r="E7" s="137">
        <v>23861</v>
      </c>
      <c r="F7" s="42">
        <v>40750</v>
      </c>
      <c r="G7" t="str">
        <f t="shared" ref="G7:G70" si="1">TEXT(F7,"DDD")</f>
        <v>Tue</v>
      </c>
      <c r="H7" t="str">
        <f t="shared" ref="H7:H70" si="2">TEXT(F7,"MMM")</f>
        <v>Jul</v>
      </c>
      <c r="I7">
        <f t="shared" ref="I7:I70" ca="1" si="3">DATEDIF(F7,TODAY(),"Y")</f>
        <v>14</v>
      </c>
      <c r="J7" t="str">
        <f t="shared" ref="J7:J70" ca="1" si="4">DATEDIF(F7,TODAY(),"Y")&amp;" years "&amp;DATEDIF(F7,TODAY(),"YM")&amp;" months "&amp;DATEDIF(F7,TODAY(),"MD")&amp;" days"</f>
        <v>14 years 3 months 26 days</v>
      </c>
      <c r="K7" s="149">
        <f t="shared" ref="K7:K70" si="5">F7+60</f>
        <v>40810</v>
      </c>
      <c r="L7" s="149">
        <f t="shared" si="0"/>
        <v>40834</v>
      </c>
      <c r="M7" s="150">
        <f t="shared" ref="M7:M70" si="6">WEEKNUM(F7,2)</f>
        <v>31</v>
      </c>
      <c r="N7" t="str">
        <f t="shared" ref="N7:N70" si="7">IF(WEEKDAY(F7,2)&gt;5,"Weekend","Weekday")</f>
        <v>Weekday</v>
      </c>
      <c r="O7" s="149">
        <f t="shared" ref="O7:O70" si="8">EDATE(L7,36)</f>
        <v>41930</v>
      </c>
      <c r="R7" s="133">
        <v>41307</v>
      </c>
    </row>
    <row r="8" spans="2:18" ht="14.25" customHeight="1">
      <c r="B8" s="115" t="s">
        <v>268</v>
      </c>
      <c r="C8" s="115" t="s">
        <v>550</v>
      </c>
      <c r="D8" s="115" t="s">
        <v>84</v>
      </c>
      <c r="E8" s="137">
        <v>17714</v>
      </c>
      <c r="F8" s="42">
        <v>43351</v>
      </c>
      <c r="G8" t="str">
        <f t="shared" si="1"/>
        <v>Sat</v>
      </c>
      <c r="H8" t="str">
        <f t="shared" si="2"/>
        <v>Sep</v>
      </c>
      <c r="I8">
        <f t="shared" ca="1" si="3"/>
        <v>7</v>
      </c>
      <c r="J8" t="str">
        <f t="shared" ca="1" si="4"/>
        <v>7 years 2 months 13 days</v>
      </c>
      <c r="K8" s="149">
        <f t="shared" si="5"/>
        <v>43411</v>
      </c>
      <c r="L8" s="149">
        <f t="shared" si="0"/>
        <v>43434</v>
      </c>
      <c r="M8" s="150">
        <f t="shared" si="6"/>
        <v>36</v>
      </c>
      <c r="N8" t="str">
        <f t="shared" si="7"/>
        <v>Weekend</v>
      </c>
      <c r="O8" s="149">
        <f t="shared" si="8"/>
        <v>44530</v>
      </c>
      <c r="P8" s="115"/>
    </row>
    <row r="9" spans="2:18" ht="14.25" customHeight="1">
      <c r="B9" s="115" t="s">
        <v>268</v>
      </c>
      <c r="C9" s="115" t="s">
        <v>551</v>
      </c>
      <c r="D9" s="115" t="s">
        <v>87</v>
      </c>
      <c r="E9" s="137">
        <v>31005</v>
      </c>
      <c r="F9" s="42">
        <v>42985</v>
      </c>
      <c r="G9" t="str">
        <f t="shared" si="1"/>
        <v>Thu</v>
      </c>
      <c r="H9" t="str">
        <f t="shared" si="2"/>
        <v>Sep</v>
      </c>
      <c r="I9">
        <f t="shared" ca="1" si="3"/>
        <v>8</v>
      </c>
      <c r="J9" t="str">
        <f t="shared" ca="1" si="4"/>
        <v>8 years 2 months 14 days</v>
      </c>
      <c r="K9" s="149">
        <f t="shared" si="5"/>
        <v>43045</v>
      </c>
      <c r="L9" s="149">
        <f t="shared" si="0"/>
        <v>43069</v>
      </c>
      <c r="M9" s="150">
        <f t="shared" si="6"/>
        <v>37</v>
      </c>
      <c r="N9" t="str">
        <f t="shared" si="7"/>
        <v>Weekday</v>
      </c>
      <c r="O9" s="149">
        <f t="shared" si="8"/>
        <v>44165</v>
      </c>
      <c r="P9" s="42"/>
    </row>
    <row r="10" spans="2:18" ht="14.25" customHeight="1">
      <c r="B10" s="115" t="s">
        <v>269</v>
      </c>
      <c r="C10" s="115" t="s">
        <v>552</v>
      </c>
      <c r="D10" s="115" t="s">
        <v>84</v>
      </c>
      <c r="E10" s="137">
        <v>24060</v>
      </c>
      <c r="F10" s="42">
        <v>41801</v>
      </c>
      <c r="G10" t="str">
        <f t="shared" si="1"/>
        <v>Wed</v>
      </c>
      <c r="H10" t="str">
        <f t="shared" si="2"/>
        <v>Jun</v>
      </c>
      <c r="I10">
        <f t="shared" ca="1" si="3"/>
        <v>11</v>
      </c>
      <c r="J10" t="str">
        <f t="shared" ca="1" si="4"/>
        <v>11 years 5 months 10 days</v>
      </c>
      <c r="K10" s="149">
        <f t="shared" si="5"/>
        <v>41861</v>
      </c>
      <c r="L10" s="149">
        <f t="shared" si="0"/>
        <v>41885</v>
      </c>
      <c r="M10" s="150">
        <f t="shared" si="6"/>
        <v>24</v>
      </c>
      <c r="N10" t="str">
        <f t="shared" si="7"/>
        <v>Weekday</v>
      </c>
      <c r="O10" s="149">
        <f t="shared" si="8"/>
        <v>42981</v>
      </c>
      <c r="P10" s="42"/>
    </row>
    <row r="11" spans="2:18" ht="14.25" customHeight="1">
      <c r="B11" s="115" t="s">
        <v>270</v>
      </c>
      <c r="C11" s="115" t="s">
        <v>553</v>
      </c>
      <c r="D11" s="115" t="s">
        <v>87</v>
      </c>
      <c r="E11" s="137">
        <v>24333</v>
      </c>
      <c r="F11" s="42">
        <v>45186</v>
      </c>
      <c r="G11" t="str">
        <f t="shared" si="1"/>
        <v>Sun</v>
      </c>
      <c r="H11" t="str">
        <f t="shared" si="2"/>
        <v>Sep</v>
      </c>
      <c r="I11">
        <f t="shared" ca="1" si="3"/>
        <v>2</v>
      </c>
      <c r="J11" t="str">
        <f t="shared" ca="1" si="4"/>
        <v>2 years 2 months 4 days</v>
      </c>
      <c r="K11" s="149">
        <f t="shared" si="5"/>
        <v>45246</v>
      </c>
      <c r="L11" s="149">
        <f t="shared" si="0"/>
        <v>45268</v>
      </c>
      <c r="M11" s="150">
        <f t="shared" si="6"/>
        <v>38</v>
      </c>
      <c r="N11" t="str">
        <f t="shared" si="7"/>
        <v>Weekend</v>
      </c>
      <c r="O11" s="149">
        <f t="shared" si="8"/>
        <v>46364</v>
      </c>
      <c r="P11" s="42"/>
    </row>
    <row r="12" spans="2:18" ht="14.25" customHeight="1">
      <c r="B12" s="115" t="s">
        <v>270</v>
      </c>
      <c r="C12" s="115" t="s">
        <v>554</v>
      </c>
      <c r="D12" s="115" t="s">
        <v>84</v>
      </c>
      <c r="E12" s="137">
        <v>19422</v>
      </c>
      <c r="F12" s="42">
        <v>42924</v>
      </c>
      <c r="G12" t="str">
        <f t="shared" si="1"/>
        <v>Sat</v>
      </c>
      <c r="H12" t="str">
        <f t="shared" si="2"/>
        <v>Jul</v>
      </c>
      <c r="I12">
        <f t="shared" ca="1" si="3"/>
        <v>8</v>
      </c>
      <c r="J12" t="str">
        <f t="shared" ca="1" si="4"/>
        <v>8 years 4 months 13 days</v>
      </c>
      <c r="K12" s="149">
        <f t="shared" si="5"/>
        <v>42984</v>
      </c>
      <c r="L12" s="149">
        <f t="shared" si="0"/>
        <v>43007</v>
      </c>
      <c r="M12" s="150">
        <f t="shared" si="6"/>
        <v>28</v>
      </c>
      <c r="N12" t="str">
        <f t="shared" si="7"/>
        <v>Weekend</v>
      </c>
      <c r="O12" s="149">
        <f t="shared" si="8"/>
        <v>44103</v>
      </c>
      <c r="P12" s="42"/>
    </row>
    <row r="13" spans="2:18" ht="14.25" customHeight="1">
      <c r="B13" s="115" t="s">
        <v>271</v>
      </c>
      <c r="C13" s="115" t="s">
        <v>555</v>
      </c>
      <c r="D13" s="115" t="s">
        <v>84</v>
      </c>
      <c r="E13" s="137">
        <v>22982</v>
      </c>
      <c r="F13" s="42">
        <v>44515</v>
      </c>
      <c r="G13" t="str">
        <f t="shared" si="1"/>
        <v>Mon</v>
      </c>
      <c r="H13" t="str">
        <f t="shared" si="2"/>
        <v>Nov</v>
      </c>
      <c r="I13">
        <f t="shared" ca="1" si="3"/>
        <v>4</v>
      </c>
      <c r="J13" t="str">
        <f t="shared" ca="1" si="4"/>
        <v>4 years 0 months 6 days</v>
      </c>
      <c r="K13" s="149">
        <f t="shared" si="5"/>
        <v>44575</v>
      </c>
      <c r="L13" s="149">
        <f t="shared" si="0"/>
        <v>44599</v>
      </c>
      <c r="M13" s="150">
        <f t="shared" si="6"/>
        <v>47</v>
      </c>
      <c r="N13" t="str">
        <f t="shared" si="7"/>
        <v>Weekday</v>
      </c>
      <c r="O13" s="149">
        <f t="shared" si="8"/>
        <v>45695</v>
      </c>
      <c r="P13" s="42"/>
    </row>
    <row r="14" spans="2:18" ht="14.25" customHeight="1">
      <c r="B14" s="115" t="s">
        <v>272</v>
      </c>
      <c r="C14" s="115" t="s">
        <v>556</v>
      </c>
      <c r="D14" s="115" t="s">
        <v>84</v>
      </c>
      <c r="E14" s="137">
        <v>26317</v>
      </c>
      <c r="F14" s="42">
        <v>42910</v>
      </c>
      <c r="G14" t="str">
        <f t="shared" si="1"/>
        <v>Sat</v>
      </c>
      <c r="H14" t="str">
        <f t="shared" si="2"/>
        <v>Jun</v>
      </c>
      <c r="I14">
        <f t="shared" ca="1" si="3"/>
        <v>8</v>
      </c>
      <c r="J14" t="str">
        <f t="shared" ca="1" si="4"/>
        <v>8 years 4 months 28 days</v>
      </c>
      <c r="K14" s="149">
        <f t="shared" si="5"/>
        <v>42970</v>
      </c>
      <c r="L14" s="149">
        <f t="shared" si="0"/>
        <v>42993</v>
      </c>
      <c r="M14" s="150">
        <f t="shared" si="6"/>
        <v>26</v>
      </c>
      <c r="N14" t="str">
        <f t="shared" si="7"/>
        <v>Weekend</v>
      </c>
      <c r="O14" s="149">
        <f t="shared" si="8"/>
        <v>44089</v>
      </c>
      <c r="P14" s="42"/>
    </row>
    <row r="15" spans="2:18" ht="14.25" customHeight="1">
      <c r="B15" s="115" t="s">
        <v>271</v>
      </c>
      <c r="C15" s="115" t="s">
        <v>557</v>
      </c>
      <c r="D15" s="115" t="s">
        <v>87</v>
      </c>
      <c r="E15" s="137">
        <v>27718</v>
      </c>
      <c r="F15" s="42">
        <v>41345</v>
      </c>
      <c r="G15" t="str">
        <f t="shared" si="1"/>
        <v>Tue</v>
      </c>
      <c r="H15" t="str">
        <f t="shared" si="2"/>
        <v>Mar</v>
      </c>
      <c r="I15">
        <f t="shared" ca="1" si="3"/>
        <v>12</v>
      </c>
      <c r="J15" t="str">
        <f t="shared" ca="1" si="4"/>
        <v>12 years 8 months 9 days</v>
      </c>
      <c r="K15" s="149">
        <f t="shared" si="5"/>
        <v>41405</v>
      </c>
      <c r="L15" s="149">
        <f t="shared" si="0"/>
        <v>41429</v>
      </c>
      <c r="M15" s="150">
        <f t="shared" si="6"/>
        <v>11</v>
      </c>
      <c r="N15" t="str">
        <f t="shared" si="7"/>
        <v>Weekday</v>
      </c>
      <c r="O15" s="149">
        <f t="shared" si="8"/>
        <v>42525</v>
      </c>
      <c r="P15" s="42"/>
    </row>
    <row r="16" spans="2:18" ht="14.25" customHeight="1">
      <c r="B16" s="115" t="s">
        <v>270</v>
      </c>
      <c r="C16" s="115" t="s">
        <v>558</v>
      </c>
      <c r="D16" s="115" t="s">
        <v>87</v>
      </c>
      <c r="E16" s="137">
        <v>24194</v>
      </c>
      <c r="F16" s="42">
        <v>40659</v>
      </c>
      <c r="G16" t="str">
        <f t="shared" si="1"/>
        <v>Tue</v>
      </c>
      <c r="H16" t="str">
        <f t="shared" si="2"/>
        <v>Apr</v>
      </c>
      <c r="I16">
        <f t="shared" ca="1" si="3"/>
        <v>14</v>
      </c>
      <c r="J16" t="str">
        <f t="shared" ca="1" si="4"/>
        <v>14 years 6 months 26 days</v>
      </c>
      <c r="K16" s="149">
        <f t="shared" si="5"/>
        <v>40719</v>
      </c>
      <c r="L16" s="149">
        <f t="shared" si="0"/>
        <v>40743</v>
      </c>
      <c r="M16" s="150">
        <f t="shared" si="6"/>
        <v>18</v>
      </c>
      <c r="N16" t="str">
        <f t="shared" si="7"/>
        <v>Weekday</v>
      </c>
      <c r="O16" s="149">
        <f t="shared" si="8"/>
        <v>41839</v>
      </c>
      <c r="P16" s="42"/>
    </row>
    <row r="17" spans="2:16" ht="14.25" customHeight="1">
      <c r="B17" s="115" t="s">
        <v>268</v>
      </c>
      <c r="C17" s="115" t="s">
        <v>559</v>
      </c>
      <c r="D17" s="115" t="s">
        <v>84</v>
      </c>
      <c r="E17" s="137">
        <v>21005</v>
      </c>
      <c r="F17" s="42">
        <v>44045</v>
      </c>
      <c r="G17" t="str">
        <f t="shared" si="1"/>
        <v>Sun</v>
      </c>
      <c r="H17" t="str">
        <f t="shared" si="2"/>
        <v>Aug</v>
      </c>
      <c r="I17">
        <f t="shared" ca="1" si="3"/>
        <v>5</v>
      </c>
      <c r="J17" t="str">
        <f t="shared" ca="1" si="4"/>
        <v>5 years 3 months 19 days</v>
      </c>
      <c r="K17" s="149">
        <f t="shared" si="5"/>
        <v>44105</v>
      </c>
      <c r="L17" s="149">
        <f t="shared" si="0"/>
        <v>44127</v>
      </c>
      <c r="M17" s="150">
        <f t="shared" si="6"/>
        <v>31</v>
      </c>
      <c r="N17" t="str">
        <f t="shared" si="7"/>
        <v>Weekend</v>
      </c>
      <c r="O17" s="149">
        <f t="shared" si="8"/>
        <v>45222</v>
      </c>
      <c r="P17" s="42"/>
    </row>
    <row r="18" spans="2:16" ht="14.25" customHeight="1">
      <c r="B18" s="115" t="s">
        <v>272</v>
      </c>
      <c r="C18" s="115" t="s">
        <v>560</v>
      </c>
      <c r="D18" s="115" t="s">
        <v>84</v>
      </c>
      <c r="E18" s="137">
        <v>19984</v>
      </c>
      <c r="F18" s="42">
        <v>45230</v>
      </c>
      <c r="G18" t="str">
        <f t="shared" si="1"/>
        <v>Tue</v>
      </c>
      <c r="H18" t="str">
        <f t="shared" si="2"/>
        <v>Oct</v>
      </c>
      <c r="I18">
        <f t="shared" ca="1" si="3"/>
        <v>2</v>
      </c>
      <c r="J18" t="str">
        <f t="shared" ca="1" si="4"/>
        <v>2 years 0 months 21 days</v>
      </c>
      <c r="K18" s="149">
        <f t="shared" si="5"/>
        <v>45290</v>
      </c>
      <c r="L18" s="149">
        <f t="shared" si="0"/>
        <v>45314</v>
      </c>
      <c r="M18" s="150">
        <f t="shared" si="6"/>
        <v>45</v>
      </c>
      <c r="N18" t="str">
        <f t="shared" si="7"/>
        <v>Weekday</v>
      </c>
      <c r="O18" s="149">
        <f t="shared" si="8"/>
        <v>46410</v>
      </c>
      <c r="P18" s="42"/>
    </row>
    <row r="19" spans="2:16" ht="14.25" customHeight="1">
      <c r="B19" s="115" t="s">
        <v>272</v>
      </c>
      <c r="C19" s="115" t="s">
        <v>561</v>
      </c>
      <c r="D19" s="115" t="s">
        <v>87</v>
      </c>
      <c r="E19" s="137">
        <v>21908</v>
      </c>
      <c r="F19" s="42">
        <v>43215</v>
      </c>
      <c r="G19" t="str">
        <f t="shared" si="1"/>
        <v>Wed</v>
      </c>
      <c r="H19" t="str">
        <f t="shared" si="2"/>
        <v>Apr</v>
      </c>
      <c r="I19">
        <f t="shared" ca="1" si="3"/>
        <v>7</v>
      </c>
      <c r="J19" t="str">
        <f t="shared" ca="1" si="4"/>
        <v>7 years 6 months 27 days</v>
      </c>
      <c r="K19" s="149">
        <f t="shared" si="5"/>
        <v>43275</v>
      </c>
      <c r="L19" s="149">
        <f t="shared" si="0"/>
        <v>43299</v>
      </c>
      <c r="M19" s="150">
        <f t="shared" si="6"/>
        <v>17</v>
      </c>
      <c r="N19" t="str">
        <f t="shared" si="7"/>
        <v>Weekday</v>
      </c>
      <c r="O19" s="149">
        <f t="shared" si="8"/>
        <v>44395</v>
      </c>
      <c r="P19" s="42"/>
    </row>
    <row r="20" spans="2:16" ht="14.25" customHeight="1">
      <c r="B20" s="115" t="s">
        <v>272</v>
      </c>
      <c r="C20" s="115" t="s">
        <v>562</v>
      </c>
      <c r="D20" s="115" t="s">
        <v>87</v>
      </c>
      <c r="E20" s="137">
        <v>34286</v>
      </c>
      <c r="F20" s="42">
        <v>41395</v>
      </c>
      <c r="G20" t="str">
        <f t="shared" si="1"/>
        <v>Wed</v>
      </c>
      <c r="H20" t="str">
        <f t="shared" si="2"/>
        <v>May</v>
      </c>
      <c r="I20">
        <f t="shared" ca="1" si="3"/>
        <v>12</v>
      </c>
      <c r="J20" t="str">
        <f t="shared" ca="1" si="4"/>
        <v>12 years 6 months 20 days</v>
      </c>
      <c r="K20" s="149">
        <f t="shared" si="5"/>
        <v>41455</v>
      </c>
      <c r="L20" s="149">
        <f t="shared" si="0"/>
        <v>41479</v>
      </c>
      <c r="M20" s="150">
        <f t="shared" si="6"/>
        <v>18</v>
      </c>
      <c r="N20" t="str">
        <f t="shared" si="7"/>
        <v>Weekday</v>
      </c>
      <c r="O20" s="149">
        <f t="shared" si="8"/>
        <v>42575</v>
      </c>
      <c r="P20" s="42"/>
    </row>
    <row r="21" spans="2:16" ht="14.25" customHeight="1">
      <c r="B21" s="115" t="s">
        <v>270</v>
      </c>
      <c r="C21" s="115" t="s">
        <v>563</v>
      </c>
      <c r="D21" s="115" t="s">
        <v>87</v>
      </c>
      <c r="E21" s="137">
        <v>30211</v>
      </c>
      <c r="F21" s="42">
        <v>43463</v>
      </c>
      <c r="G21" t="str">
        <f t="shared" si="1"/>
        <v>Sat</v>
      </c>
      <c r="H21" t="str">
        <f t="shared" si="2"/>
        <v>Dec</v>
      </c>
      <c r="I21">
        <f t="shared" ca="1" si="3"/>
        <v>6</v>
      </c>
      <c r="J21" t="str">
        <f t="shared" ca="1" si="4"/>
        <v>6 years 10 months 23 days</v>
      </c>
      <c r="K21" s="149">
        <f t="shared" si="5"/>
        <v>43523</v>
      </c>
      <c r="L21" s="149">
        <f t="shared" si="0"/>
        <v>43546</v>
      </c>
      <c r="M21" s="150">
        <f t="shared" si="6"/>
        <v>52</v>
      </c>
      <c r="N21" t="str">
        <f t="shared" si="7"/>
        <v>Weekend</v>
      </c>
      <c r="O21" s="149">
        <f t="shared" si="8"/>
        <v>44642</v>
      </c>
      <c r="P21" s="42"/>
    </row>
    <row r="22" spans="2:16" ht="14.25" customHeight="1">
      <c r="B22" s="115" t="s">
        <v>270</v>
      </c>
      <c r="C22" s="115" t="s">
        <v>564</v>
      </c>
      <c r="D22" s="115" t="s">
        <v>84</v>
      </c>
      <c r="E22" s="137">
        <v>23780</v>
      </c>
      <c r="F22" s="42">
        <v>41275</v>
      </c>
      <c r="G22" t="str">
        <f t="shared" si="1"/>
        <v>Tue</v>
      </c>
      <c r="H22" t="str">
        <f t="shared" si="2"/>
        <v>Jan</v>
      </c>
      <c r="I22">
        <f t="shared" ca="1" si="3"/>
        <v>12</v>
      </c>
      <c r="J22" t="str">
        <f t="shared" ca="1" si="4"/>
        <v>12 years 10 months 20 days</v>
      </c>
      <c r="K22" s="149">
        <f t="shared" si="5"/>
        <v>41335</v>
      </c>
      <c r="L22" s="149">
        <f t="shared" si="0"/>
        <v>41359</v>
      </c>
      <c r="M22" s="150">
        <f t="shared" si="6"/>
        <v>1</v>
      </c>
      <c r="N22" t="str">
        <f t="shared" si="7"/>
        <v>Weekday</v>
      </c>
      <c r="O22" s="149">
        <f t="shared" si="8"/>
        <v>42455</v>
      </c>
      <c r="P22" s="42"/>
    </row>
    <row r="23" spans="2:16" ht="14.25" customHeight="1">
      <c r="B23" s="115" t="s">
        <v>271</v>
      </c>
      <c r="C23" s="115" t="s">
        <v>565</v>
      </c>
      <c r="D23" s="115" t="s">
        <v>87</v>
      </c>
      <c r="E23" s="137">
        <v>16834</v>
      </c>
      <c r="F23" s="42">
        <v>44825</v>
      </c>
      <c r="G23" t="str">
        <f t="shared" si="1"/>
        <v>Wed</v>
      </c>
      <c r="H23" t="str">
        <f t="shared" si="2"/>
        <v>Sep</v>
      </c>
      <c r="I23">
        <f t="shared" ca="1" si="3"/>
        <v>3</v>
      </c>
      <c r="J23" t="str">
        <f t="shared" ca="1" si="4"/>
        <v>3 years 2 months 0 days</v>
      </c>
      <c r="K23" s="149">
        <f t="shared" si="5"/>
        <v>44885</v>
      </c>
      <c r="L23" s="149">
        <f t="shared" si="0"/>
        <v>44909</v>
      </c>
      <c r="M23" s="150">
        <f t="shared" si="6"/>
        <v>39</v>
      </c>
      <c r="N23" t="str">
        <f t="shared" si="7"/>
        <v>Weekday</v>
      </c>
      <c r="O23" s="149">
        <f t="shared" si="8"/>
        <v>46005</v>
      </c>
      <c r="P23" s="42"/>
    </row>
    <row r="24" spans="2:16" ht="14.25" customHeight="1">
      <c r="B24" s="115" t="s">
        <v>270</v>
      </c>
      <c r="C24" s="115" t="s">
        <v>566</v>
      </c>
      <c r="D24" s="115" t="s">
        <v>87</v>
      </c>
      <c r="E24" s="137">
        <v>25250</v>
      </c>
      <c r="F24" s="42">
        <v>44016</v>
      </c>
      <c r="G24" t="str">
        <f t="shared" si="1"/>
        <v>Sat</v>
      </c>
      <c r="H24" t="str">
        <f t="shared" si="2"/>
        <v>Jul</v>
      </c>
      <c r="I24">
        <f t="shared" ca="1" si="3"/>
        <v>5</v>
      </c>
      <c r="J24" t="str">
        <f t="shared" ca="1" si="4"/>
        <v>5 years 4 months 17 days</v>
      </c>
      <c r="K24" s="149">
        <f t="shared" si="5"/>
        <v>44076</v>
      </c>
      <c r="L24" s="149">
        <f t="shared" si="0"/>
        <v>44099</v>
      </c>
      <c r="M24" s="150">
        <f t="shared" si="6"/>
        <v>27</v>
      </c>
      <c r="N24" t="str">
        <f t="shared" si="7"/>
        <v>Weekend</v>
      </c>
      <c r="O24" s="149">
        <f t="shared" si="8"/>
        <v>45194</v>
      </c>
      <c r="P24" s="42"/>
    </row>
    <row r="25" spans="2:16" ht="14.25" customHeight="1">
      <c r="B25" s="115" t="s">
        <v>271</v>
      </c>
      <c r="C25" s="115" t="s">
        <v>567</v>
      </c>
      <c r="D25" s="115" t="s">
        <v>84</v>
      </c>
      <c r="E25" s="137">
        <v>18905</v>
      </c>
      <c r="F25" s="42">
        <v>40988</v>
      </c>
      <c r="G25" t="str">
        <f t="shared" si="1"/>
        <v>Tue</v>
      </c>
      <c r="H25" t="str">
        <f t="shared" si="2"/>
        <v>Mar</v>
      </c>
      <c r="I25">
        <f t="shared" ca="1" si="3"/>
        <v>13</v>
      </c>
      <c r="J25" t="str">
        <f t="shared" ca="1" si="4"/>
        <v>13 years 8 months 1 days</v>
      </c>
      <c r="K25" s="149">
        <f t="shared" si="5"/>
        <v>41048</v>
      </c>
      <c r="L25" s="149">
        <f t="shared" si="0"/>
        <v>41072</v>
      </c>
      <c r="M25" s="150">
        <f t="shared" si="6"/>
        <v>13</v>
      </c>
      <c r="N25" t="str">
        <f t="shared" si="7"/>
        <v>Weekday</v>
      </c>
      <c r="O25" s="149">
        <f t="shared" si="8"/>
        <v>42167</v>
      </c>
      <c r="P25" s="42"/>
    </row>
    <row r="26" spans="2:16" ht="14.25" customHeight="1">
      <c r="B26" s="115" t="s">
        <v>272</v>
      </c>
      <c r="C26" s="115" t="s">
        <v>568</v>
      </c>
      <c r="D26" s="115" t="s">
        <v>84</v>
      </c>
      <c r="E26" s="137">
        <v>16464</v>
      </c>
      <c r="F26" s="42">
        <v>44455</v>
      </c>
      <c r="G26" t="str">
        <f t="shared" si="1"/>
        <v>Thu</v>
      </c>
      <c r="H26" t="str">
        <f t="shared" si="2"/>
        <v>Sep</v>
      </c>
      <c r="I26">
        <f t="shared" ca="1" si="3"/>
        <v>4</v>
      </c>
      <c r="J26" t="str">
        <f t="shared" ca="1" si="4"/>
        <v>4 years 2 months 5 days</v>
      </c>
      <c r="K26" s="149">
        <f t="shared" si="5"/>
        <v>44515</v>
      </c>
      <c r="L26" s="149">
        <f t="shared" si="0"/>
        <v>44539</v>
      </c>
      <c r="M26" s="150">
        <f t="shared" si="6"/>
        <v>38</v>
      </c>
      <c r="N26" t="str">
        <f t="shared" si="7"/>
        <v>Weekday</v>
      </c>
      <c r="O26" s="149">
        <f t="shared" si="8"/>
        <v>45635</v>
      </c>
      <c r="P26" s="42"/>
    </row>
    <row r="27" spans="2:16" ht="14.25" customHeight="1">
      <c r="B27" s="115" t="s">
        <v>268</v>
      </c>
      <c r="C27" s="115" t="s">
        <v>569</v>
      </c>
      <c r="D27" s="115" t="s">
        <v>87</v>
      </c>
      <c r="E27" s="137">
        <v>30870</v>
      </c>
      <c r="F27" s="42">
        <v>41620</v>
      </c>
      <c r="G27" t="str">
        <f t="shared" si="1"/>
        <v>Thu</v>
      </c>
      <c r="H27" t="str">
        <f t="shared" si="2"/>
        <v>Dec</v>
      </c>
      <c r="I27">
        <f t="shared" ca="1" si="3"/>
        <v>11</v>
      </c>
      <c r="J27" t="str">
        <f t="shared" ca="1" si="4"/>
        <v>11 years 11 months 9 days</v>
      </c>
      <c r="K27" s="149">
        <f t="shared" si="5"/>
        <v>41680</v>
      </c>
      <c r="L27" s="149">
        <f t="shared" si="0"/>
        <v>41704</v>
      </c>
      <c r="M27" s="150">
        <f t="shared" si="6"/>
        <v>50</v>
      </c>
      <c r="N27" t="str">
        <f t="shared" si="7"/>
        <v>Weekday</v>
      </c>
      <c r="O27" s="149">
        <f t="shared" si="8"/>
        <v>42800</v>
      </c>
      <c r="P27" s="42"/>
    </row>
    <row r="28" spans="2:16" ht="14.25" customHeight="1">
      <c r="B28" s="115" t="s">
        <v>271</v>
      </c>
      <c r="C28" s="115" t="s">
        <v>570</v>
      </c>
      <c r="D28" s="115" t="s">
        <v>84</v>
      </c>
      <c r="E28" s="137">
        <v>16735</v>
      </c>
      <c r="F28" s="42">
        <v>43353</v>
      </c>
      <c r="G28" t="str">
        <f t="shared" si="1"/>
        <v>Mon</v>
      </c>
      <c r="H28" t="str">
        <f t="shared" si="2"/>
        <v>Sep</v>
      </c>
      <c r="I28">
        <f t="shared" ca="1" si="3"/>
        <v>7</v>
      </c>
      <c r="J28" t="str">
        <f t="shared" ca="1" si="4"/>
        <v>7 years 2 months 11 days</v>
      </c>
      <c r="K28" s="149">
        <f t="shared" si="5"/>
        <v>43413</v>
      </c>
      <c r="L28" s="149">
        <f t="shared" si="0"/>
        <v>43437</v>
      </c>
      <c r="M28" s="150">
        <f t="shared" si="6"/>
        <v>37</v>
      </c>
      <c r="N28" t="str">
        <f t="shared" si="7"/>
        <v>Weekday</v>
      </c>
      <c r="O28" s="149">
        <f t="shared" si="8"/>
        <v>44533</v>
      </c>
      <c r="P28" s="42"/>
    </row>
    <row r="29" spans="2:16" ht="14.25" customHeight="1">
      <c r="B29" s="115" t="s">
        <v>269</v>
      </c>
      <c r="C29" s="115" t="s">
        <v>571</v>
      </c>
      <c r="D29" s="115" t="s">
        <v>87</v>
      </c>
      <c r="E29" s="137">
        <v>20588</v>
      </c>
      <c r="F29" s="42">
        <v>40593</v>
      </c>
      <c r="G29" t="str">
        <f t="shared" si="1"/>
        <v>Sat</v>
      </c>
      <c r="H29" t="str">
        <f t="shared" si="2"/>
        <v>Feb</v>
      </c>
      <c r="I29">
        <f t="shared" ca="1" si="3"/>
        <v>14</v>
      </c>
      <c r="J29" t="str">
        <f t="shared" ca="1" si="4"/>
        <v>14 years 9 months 2 days</v>
      </c>
      <c r="K29" s="149">
        <f t="shared" si="5"/>
        <v>40653</v>
      </c>
      <c r="L29" s="149">
        <f t="shared" si="0"/>
        <v>40676</v>
      </c>
      <c r="M29" s="150">
        <f t="shared" si="6"/>
        <v>8</v>
      </c>
      <c r="N29" t="str">
        <f t="shared" si="7"/>
        <v>Weekend</v>
      </c>
      <c r="O29" s="149">
        <f t="shared" si="8"/>
        <v>41772</v>
      </c>
      <c r="P29" s="42"/>
    </row>
    <row r="30" spans="2:16" ht="14.25" customHeight="1">
      <c r="B30" s="115" t="s">
        <v>271</v>
      </c>
      <c r="C30" s="115" t="s">
        <v>572</v>
      </c>
      <c r="D30" s="115" t="s">
        <v>84</v>
      </c>
      <c r="E30" s="137">
        <v>17025</v>
      </c>
      <c r="F30" s="42">
        <v>43968</v>
      </c>
      <c r="G30" t="str">
        <f t="shared" si="1"/>
        <v>Sun</v>
      </c>
      <c r="H30" t="str">
        <f t="shared" si="2"/>
        <v>May</v>
      </c>
      <c r="I30">
        <f t="shared" ca="1" si="3"/>
        <v>5</v>
      </c>
      <c r="J30" t="str">
        <f t="shared" ca="1" si="4"/>
        <v>5 years 6 months 4 days</v>
      </c>
      <c r="K30" s="149">
        <f t="shared" si="5"/>
        <v>44028</v>
      </c>
      <c r="L30" s="149">
        <f t="shared" si="0"/>
        <v>44050</v>
      </c>
      <c r="M30" s="150">
        <f t="shared" si="6"/>
        <v>20</v>
      </c>
      <c r="N30" t="str">
        <f t="shared" si="7"/>
        <v>Weekend</v>
      </c>
      <c r="O30" s="149">
        <f t="shared" si="8"/>
        <v>45145</v>
      </c>
      <c r="P30" s="42"/>
    </row>
    <row r="31" spans="2:16" ht="14.25" customHeight="1">
      <c r="B31" s="115" t="s">
        <v>270</v>
      </c>
      <c r="C31" s="115" t="s">
        <v>573</v>
      </c>
      <c r="D31" s="115" t="s">
        <v>84</v>
      </c>
      <c r="E31" s="137">
        <v>16030</v>
      </c>
      <c r="F31" s="42">
        <v>45240</v>
      </c>
      <c r="G31" t="str">
        <f t="shared" si="1"/>
        <v>Fri</v>
      </c>
      <c r="H31" t="str">
        <f t="shared" si="2"/>
        <v>Nov</v>
      </c>
      <c r="I31">
        <f t="shared" ca="1" si="3"/>
        <v>2</v>
      </c>
      <c r="J31" t="str">
        <f t="shared" ca="1" si="4"/>
        <v>2 years 0 months 11 days</v>
      </c>
      <c r="K31" s="149">
        <f t="shared" si="5"/>
        <v>45300</v>
      </c>
      <c r="L31" s="149">
        <f t="shared" si="0"/>
        <v>45324</v>
      </c>
      <c r="M31" s="150">
        <f t="shared" si="6"/>
        <v>46</v>
      </c>
      <c r="N31" t="str">
        <f t="shared" si="7"/>
        <v>Weekday</v>
      </c>
      <c r="O31" s="149">
        <f t="shared" si="8"/>
        <v>46420</v>
      </c>
      <c r="P31" s="42"/>
    </row>
    <row r="32" spans="2:16" ht="14.25" customHeight="1">
      <c r="B32" s="115" t="s">
        <v>269</v>
      </c>
      <c r="C32" s="115" t="s">
        <v>574</v>
      </c>
      <c r="D32" s="115" t="s">
        <v>87</v>
      </c>
      <c r="E32" s="137">
        <v>26117</v>
      </c>
      <c r="F32" s="42">
        <v>42209</v>
      </c>
      <c r="G32" t="str">
        <f t="shared" si="1"/>
        <v>Fri</v>
      </c>
      <c r="H32" t="str">
        <f t="shared" si="2"/>
        <v>Jul</v>
      </c>
      <c r="I32">
        <f t="shared" ca="1" si="3"/>
        <v>10</v>
      </c>
      <c r="J32" t="str">
        <f t="shared" ca="1" si="4"/>
        <v>10 years 3 months 28 days</v>
      </c>
      <c r="K32" s="149">
        <f t="shared" si="5"/>
        <v>42269</v>
      </c>
      <c r="L32" s="149">
        <f t="shared" si="0"/>
        <v>42293</v>
      </c>
      <c r="M32" s="150">
        <f t="shared" si="6"/>
        <v>30</v>
      </c>
      <c r="N32" t="str">
        <f t="shared" si="7"/>
        <v>Weekday</v>
      </c>
      <c r="O32" s="149">
        <f t="shared" si="8"/>
        <v>43389</v>
      </c>
      <c r="P32" s="42"/>
    </row>
    <row r="33" spans="2:16" ht="14.25" customHeight="1">
      <c r="B33" s="115" t="s">
        <v>269</v>
      </c>
      <c r="C33" s="115" t="s">
        <v>575</v>
      </c>
      <c r="D33" s="115" t="s">
        <v>84</v>
      </c>
      <c r="E33" s="137">
        <v>24969</v>
      </c>
      <c r="F33" s="42">
        <v>43824</v>
      </c>
      <c r="G33" t="str">
        <f t="shared" si="1"/>
        <v>Wed</v>
      </c>
      <c r="H33" t="str">
        <f t="shared" si="2"/>
        <v>Dec</v>
      </c>
      <c r="I33">
        <f t="shared" ca="1" si="3"/>
        <v>5</v>
      </c>
      <c r="J33" t="str">
        <f t="shared" ca="1" si="4"/>
        <v>5 years 10 months 27 days</v>
      </c>
      <c r="K33" s="149">
        <f t="shared" si="5"/>
        <v>43884</v>
      </c>
      <c r="L33" s="149">
        <f t="shared" si="0"/>
        <v>43908</v>
      </c>
      <c r="M33" s="150">
        <f t="shared" si="6"/>
        <v>52</v>
      </c>
      <c r="N33" t="str">
        <f t="shared" si="7"/>
        <v>Weekday</v>
      </c>
      <c r="O33" s="149">
        <f t="shared" si="8"/>
        <v>45003</v>
      </c>
      <c r="P33" s="42"/>
    </row>
    <row r="34" spans="2:16" ht="14.25" customHeight="1">
      <c r="B34" s="115" t="s">
        <v>272</v>
      </c>
      <c r="C34" s="115" t="s">
        <v>576</v>
      </c>
      <c r="D34" s="115" t="s">
        <v>84</v>
      </c>
      <c r="E34" s="137">
        <v>34069</v>
      </c>
      <c r="F34" s="42">
        <v>41223</v>
      </c>
      <c r="G34" t="str">
        <f t="shared" si="1"/>
        <v>Sat</v>
      </c>
      <c r="H34" t="str">
        <f t="shared" si="2"/>
        <v>Nov</v>
      </c>
      <c r="I34">
        <f t="shared" ca="1" si="3"/>
        <v>13</v>
      </c>
      <c r="J34" t="str">
        <f t="shared" ca="1" si="4"/>
        <v>13 years 0 months 11 days</v>
      </c>
      <c r="K34" s="149">
        <f t="shared" si="5"/>
        <v>41283</v>
      </c>
      <c r="L34" s="149">
        <f t="shared" si="0"/>
        <v>41309</v>
      </c>
      <c r="M34" s="150">
        <f t="shared" si="6"/>
        <v>46</v>
      </c>
      <c r="N34" t="str">
        <f t="shared" si="7"/>
        <v>Weekend</v>
      </c>
      <c r="O34" s="149">
        <f t="shared" si="8"/>
        <v>42404</v>
      </c>
      <c r="P34" s="42"/>
    </row>
    <row r="35" spans="2:16" ht="14.25" customHeight="1">
      <c r="B35" s="115" t="s">
        <v>272</v>
      </c>
      <c r="C35" s="115" t="s">
        <v>577</v>
      </c>
      <c r="D35" s="115" t="s">
        <v>87</v>
      </c>
      <c r="E35" s="137">
        <v>32273</v>
      </c>
      <c r="F35" s="42">
        <v>41342</v>
      </c>
      <c r="G35" t="str">
        <f t="shared" si="1"/>
        <v>Sat</v>
      </c>
      <c r="H35" t="str">
        <f t="shared" si="2"/>
        <v>Mar</v>
      </c>
      <c r="I35">
        <f t="shared" ca="1" si="3"/>
        <v>12</v>
      </c>
      <c r="J35" t="str">
        <f t="shared" ca="1" si="4"/>
        <v>12 years 8 months 12 days</v>
      </c>
      <c r="K35" s="149">
        <f t="shared" si="5"/>
        <v>41402</v>
      </c>
      <c r="L35" s="149">
        <f t="shared" si="0"/>
        <v>41425</v>
      </c>
      <c r="M35" s="150">
        <f t="shared" si="6"/>
        <v>10</v>
      </c>
      <c r="N35" t="str">
        <f t="shared" si="7"/>
        <v>Weekend</v>
      </c>
      <c r="O35" s="149">
        <f t="shared" si="8"/>
        <v>42521</v>
      </c>
      <c r="P35" s="42"/>
    </row>
    <row r="36" spans="2:16" ht="14.25" customHeight="1">
      <c r="B36" s="115" t="s">
        <v>269</v>
      </c>
      <c r="C36" s="115" t="s">
        <v>578</v>
      </c>
      <c r="D36" s="115" t="s">
        <v>87</v>
      </c>
      <c r="E36" s="137">
        <v>29105</v>
      </c>
      <c r="F36" s="42">
        <v>42778</v>
      </c>
      <c r="G36" t="str">
        <f t="shared" si="1"/>
        <v>Sun</v>
      </c>
      <c r="H36" t="str">
        <f t="shared" si="2"/>
        <v>Feb</v>
      </c>
      <c r="I36">
        <f t="shared" ca="1" si="3"/>
        <v>8</v>
      </c>
      <c r="J36" t="str">
        <f t="shared" ca="1" si="4"/>
        <v>8 years 9 months 9 days</v>
      </c>
      <c r="K36" s="149">
        <f t="shared" si="5"/>
        <v>42838</v>
      </c>
      <c r="L36" s="149">
        <f t="shared" si="0"/>
        <v>42860</v>
      </c>
      <c r="M36" s="150">
        <f t="shared" si="6"/>
        <v>7</v>
      </c>
      <c r="N36" t="str">
        <f t="shared" si="7"/>
        <v>Weekend</v>
      </c>
      <c r="O36" s="149">
        <f t="shared" si="8"/>
        <v>43956</v>
      </c>
      <c r="P36" s="42"/>
    </row>
    <row r="37" spans="2:16" ht="14.25" customHeight="1">
      <c r="B37" s="115" t="s">
        <v>271</v>
      </c>
      <c r="C37" s="115" t="s">
        <v>579</v>
      </c>
      <c r="D37" s="115" t="s">
        <v>87</v>
      </c>
      <c r="E37" s="137">
        <v>30661</v>
      </c>
      <c r="F37" s="42">
        <v>43316</v>
      </c>
      <c r="G37" t="str">
        <f t="shared" si="1"/>
        <v>Sat</v>
      </c>
      <c r="H37" t="str">
        <f t="shared" si="2"/>
        <v>Aug</v>
      </c>
      <c r="I37">
        <f t="shared" ca="1" si="3"/>
        <v>7</v>
      </c>
      <c r="J37" t="str">
        <f t="shared" ca="1" si="4"/>
        <v>7 years 3 months 17 days</v>
      </c>
      <c r="K37" s="149">
        <f t="shared" si="5"/>
        <v>43376</v>
      </c>
      <c r="L37" s="149">
        <f t="shared" si="0"/>
        <v>43399</v>
      </c>
      <c r="M37" s="150">
        <f t="shared" si="6"/>
        <v>31</v>
      </c>
      <c r="N37" t="str">
        <f t="shared" si="7"/>
        <v>Weekend</v>
      </c>
      <c r="O37" s="149">
        <f t="shared" si="8"/>
        <v>44495</v>
      </c>
      <c r="P37" s="42"/>
    </row>
    <row r="38" spans="2:16" ht="14.25" customHeight="1">
      <c r="B38" s="115" t="s">
        <v>272</v>
      </c>
      <c r="C38" s="115" t="s">
        <v>580</v>
      </c>
      <c r="D38" s="115" t="s">
        <v>87</v>
      </c>
      <c r="E38" s="137">
        <v>30885</v>
      </c>
      <c r="F38" s="42">
        <v>40592</v>
      </c>
      <c r="G38" t="str">
        <f t="shared" si="1"/>
        <v>Fri</v>
      </c>
      <c r="H38" t="str">
        <f t="shared" si="2"/>
        <v>Feb</v>
      </c>
      <c r="I38">
        <f t="shared" ca="1" si="3"/>
        <v>14</v>
      </c>
      <c r="J38" t="str">
        <f t="shared" ca="1" si="4"/>
        <v>14 years 9 months 3 days</v>
      </c>
      <c r="K38" s="149">
        <f t="shared" si="5"/>
        <v>40652</v>
      </c>
      <c r="L38" s="149">
        <f t="shared" si="0"/>
        <v>40676</v>
      </c>
      <c r="M38" s="150">
        <f t="shared" si="6"/>
        <v>8</v>
      </c>
      <c r="N38" t="str">
        <f t="shared" si="7"/>
        <v>Weekday</v>
      </c>
      <c r="O38" s="149">
        <f t="shared" si="8"/>
        <v>41772</v>
      </c>
      <c r="P38" s="42"/>
    </row>
    <row r="39" spans="2:16" ht="14.25" customHeight="1">
      <c r="B39" s="115" t="s">
        <v>269</v>
      </c>
      <c r="C39" s="115" t="s">
        <v>581</v>
      </c>
      <c r="D39" s="115" t="s">
        <v>84</v>
      </c>
      <c r="E39" s="137">
        <v>28393</v>
      </c>
      <c r="F39" s="42">
        <v>44311</v>
      </c>
      <c r="G39" t="str">
        <f t="shared" si="1"/>
        <v>Sun</v>
      </c>
      <c r="H39" t="str">
        <f t="shared" si="2"/>
        <v>Apr</v>
      </c>
      <c r="I39">
        <f t="shared" ca="1" si="3"/>
        <v>4</v>
      </c>
      <c r="J39" t="str">
        <f t="shared" ca="1" si="4"/>
        <v>4 years 6 months 27 days</v>
      </c>
      <c r="K39" s="149">
        <f t="shared" si="5"/>
        <v>44371</v>
      </c>
      <c r="L39" s="149">
        <f t="shared" si="0"/>
        <v>44393</v>
      </c>
      <c r="M39" s="150">
        <f t="shared" si="6"/>
        <v>17</v>
      </c>
      <c r="N39" t="str">
        <f t="shared" si="7"/>
        <v>Weekend</v>
      </c>
      <c r="O39" s="149">
        <f t="shared" si="8"/>
        <v>45489</v>
      </c>
      <c r="P39" s="42"/>
    </row>
    <row r="40" spans="2:16" ht="14.25" customHeight="1">
      <c r="B40" s="115" t="s">
        <v>272</v>
      </c>
      <c r="C40" s="115" t="s">
        <v>582</v>
      </c>
      <c r="D40" s="115" t="s">
        <v>87</v>
      </c>
      <c r="E40" s="137">
        <v>16512</v>
      </c>
      <c r="F40" s="42">
        <v>41550</v>
      </c>
      <c r="G40" t="str">
        <f t="shared" si="1"/>
        <v>Thu</v>
      </c>
      <c r="H40" t="str">
        <f t="shared" si="2"/>
        <v>Oct</v>
      </c>
      <c r="I40">
        <f t="shared" ca="1" si="3"/>
        <v>12</v>
      </c>
      <c r="J40" t="str">
        <f t="shared" ca="1" si="4"/>
        <v>12 years 1 months 18 days</v>
      </c>
      <c r="K40" s="149">
        <f t="shared" si="5"/>
        <v>41610</v>
      </c>
      <c r="L40" s="149">
        <f t="shared" si="0"/>
        <v>41634</v>
      </c>
      <c r="M40" s="150">
        <f t="shared" si="6"/>
        <v>40</v>
      </c>
      <c r="N40" t="str">
        <f t="shared" si="7"/>
        <v>Weekday</v>
      </c>
      <c r="O40" s="149">
        <f t="shared" si="8"/>
        <v>42730</v>
      </c>
      <c r="P40" s="42"/>
    </row>
    <row r="41" spans="2:16" ht="14.25" customHeight="1">
      <c r="B41" s="115" t="s">
        <v>272</v>
      </c>
      <c r="C41" s="115" t="s">
        <v>583</v>
      </c>
      <c r="D41" s="115" t="s">
        <v>87</v>
      </c>
      <c r="E41" s="137">
        <v>15918</v>
      </c>
      <c r="F41" s="42">
        <v>45102</v>
      </c>
      <c r="G41" t="str">
        <f t="shared" si="1"/>
        <v>Sun</v>
      </c>
      <c r="H41" t="str">
        <f t="shared" si="2"/>
        <v>Jun</v>
      </c>
      <c r="I41">
        <f t="shared" ca="1" si="3"/>
        <v>2</v>
      </c>
      <c r="J41" t="str">
        <f t="shared" ca="1" si="4"/>
        <v>2 years 4 months 27 days</v>
      </c>
      <c r="K41" s="149">
        <f t="shared" si="5"/>
        <v>45162</v>
      </c>
      <c r="L41" s="149">
        <f t="shared" si="0"/>
        <v>45184</v>
      </c>
      <c r="M41" s="150">
        <f t="shared" si="6"/>
        <v>26</v>
      </c>
      <c r="N41" t="str">
        <f t="shared" si="7"/>
        <v>Weekend</v>
      </c>
      <c r="O41" s="149">
        <f t="shared" si="8"/>
        <v>46280</v>
      </c>
      <c r="P41" s="42"/>
    </row>
    <row r="42" spans="2:16" ht="14.25" customHeight="1">
      <c r="B42" s="115" t="s">
        <v>269</v>
      </c>
      <c r="C42" s="115" t="s">
        <v>584</v>
      </c>
      <c r="D42" s="115" t="s">
        <v>84</v>
      </c>
      <c r="E42" s="137">
        <v>18294</v>
      </c>
      <c r="F42" s="42">
        <v>44036</v>
      </c>
      <c r="G42" t="str">
        <f t="shared" si="1"/>
        <v>Fri</v>
      </c>
      <c r="H42" t="str">
        <f t="shared" si="2"/>
        <v>Jul</v>
      </c>
      <c r="I42">
        <f t="shared" ca="1" si="3"/>
        <v>5</v>
      </c>
      <c r="J42" t="str">
        <f t="shared" ca="1" si="4"/>
        <v>5 years 3 months 28 days</v>
      </c>
      <c r="K42" s="149">
        <f t="shared" si="5"/>
        <v>44096</v>
      </c>
      <c r="L42" s="149">
        <f t="shared" si="0"/>
        <v>44120</v>
      </c>
      <c r="M42" s="150">
        <f t="shared" si="6"/>
        <v>30</v>
      </c>
      <c r="N42" t="str">
        <f t="shared" si="7"/>
        <v>Weekday</v>
      </c>
      <c r="O42" s="149">
        <f t="shared" si="8"/>
        <v>45215</v>
      </c>
      <c r="P42" s="42"/>
    </row>
    <row r="43" spans="2:16" ht="14.25" customHeight="1">
      <c r="B43" s="115" t="s">
        <v>268</v>
      </c>
      <c r="C43" s="115" t="s">
        <v>585</v>
      </c>
      <c r="D43" s="115" t="s">
        <v>84</v>
      </c>
      <c r="E43" s="137">
        <v>27243</v>
      </c>
      <c r="F43" s="42">
        <v>43925</v>
      </c>
      <c r="G43" t="str">
        <f t="shared" si="1"/>
        <v>Sat</v>
      </c>
      <c r="H43" t="str">
        <f t="shared" si="2"/>
        <v>Apr</v>
      </c>
      <c r="I43">
        <f t="shared" ca="1" si="3"/>
        <v>5</v>
      </c>
      <c r="J43" t="str">
        <f t="shared" ca="1" si="4"/>
        <v>5 years 7 months 17 days</v>
      </c>
      <c r="K43" s="149">
        <f t="shared" si="5"/>
        <v>43985</v>
      </c>
      <c r="L43" s="149">
        <f t="shared" si="0"/>
        <v>44008</v>
      </c>
      <c r="M43" s="150">
        <f t="shared" si="6"/>
        <v>14</v>
      </c>
      <c r="N43" t="str">
        <f t="shared" si="7"/>
        <v>Weekend</v>
      </c>
      <c r="O43" s="149">
        <f t="shared" si="8"/>
        <v>45103</v>
      </c>
      <c r="P43" s="42"/>
    </row>
    <row r="44" spans="2:16" ht="14.25" customHeight="1">
      <c r="B44" s="115" t="s">
        <v>269</v>
      </c>
      <c r="C44" s="115" t="s">
        <v>586</v>
      </c>
      <c r="D44" s="115" t="s">
        <v>87</v>
      </c>
      <c r="E44" s="137">
        <v>32973</v>
      </c>
      <c r="F44" s="42">
        <v>40600</v>
      </c>
      <c r="G44" t="str">
        <f t="shared" si="1"/>
        <v>Sat</v>
      </c>
      <c r="H44" t="str">
        <f t="shared" si="2"/>
        <v>Feb</v>
      </c>
      <c r="I44">
        <f t="shared" ca="1" si="3"/>
        <v>14</v>
      </c>
      <c r="J44" t="str">
        <f t="shared" ca="1" si="4"/>
        <v>14 years 8 months 26 days</v>
      </c>
      <c r="K44" s="149">
        <f t="shared" si="5"/>
        <v>40660</v>
      </c>
      <c r="L44" s="149">
        <f t="shared" si="0"/>
        <v>40683</v>
      </c>
      <c r="M44" s="150">
        <f t="shared" si="6"/>
        <v>9</v>
      </c>
      <c r="N44" t="str">
        <f t="shared" si="7"/>
        <v>Weekend</v>
      </c>
      <c r="O44" s="149">
        <f t="shared" si="8"/>
        <v>41779</v>
      </c>
      <c r="P44" s="42"/>
    </row>
    <row r="45" spans="2:16" ht="14.25" customHeight="1">
      <c r="B45" s="115" t="s">
        <v>272</v>
      </c>
      <c r="C45" s="115" t="s">
        <v>587</v>
      </c>
      <c r="D45" s="115" t="s">
        <v>87</v>
      </c>
      <c r="E45" s="137">
        <v>32192</v>
      </c>
      <c r="F45" s="42">
        <v>43518</v>
      </c>
      <c r="G45" t="str">
        <f t="shared" si="1"/>
        <v>Fri</v>
      </c>
      <c r="H45" t="str">
        <f t="shared" si="2"/>
        <v>Feb</v>
      </c>
      <c r="I45">
        <f t="shared" ca="1" si="3"/>
        <v>6</v>
      </c>
      <c r="J45" t="str">
        <f t="shared" ca="1" si="4"/>
        <v>6 years 8 months 30 days</v>
      </c>
      <c r="K45" s="149">
        <f t="shared" si="5"/>
        <v>43578</v>
      </c>
      <c r="L45" s="149">
        <f t="shared" si="0"/>
        <v>43602</v>
      </c>
      <c r="M45" s="150">
        <f t="shared" si="6"/>
        <v>8</v>
      </c>
      <c r="N45" t="str">
        <f t="shared" si="7"/>
        <v>Weekday</v>
      </c>
      <c r="O45" s="149">
        <f t="shared" si="8"/>
        <v>44698</v>
      </c>
      <c r="P45" s="42"/>
    </row>
    <row r="46" spans="2:16" ht="14.25" customHeight="1">
      <c r="B46" s="115" t="s">
        <v>269</v>
      </c>
      <c r="C46" s="115" t="s">
        <v>588</v>
      </c>
      <c r="D46" s="115" t="s">
        <v>87</v>
      </c>
      <c r="E46" s="137">
        <v>26188</v>
      </c>
      <c r="F46" s="42">
        <v>45220</v>
      </c>
      <c r="G46" t="str">
        <f t="shared" si="1"/>
        <v>Sat</v>
      </c>
      <c r="H46" t="str">
        <f t="shared" si="2"/>
        <v>Oct</v>
      </c>
      <c r="I46">
        <f t="shared" ca="1" si="3"/>
        <v>2</v>
      </c>
      <c r="J46" t="str">
        <f t="shared" ca="1" si="4"/>
        <v>2 years 1 months 0 days</v>
      </c>
      <c r="K46" s="149">
        <f t="shared" si="5"/>
        <v>45280</v>
      </c>
      <c r="L46" s="149">
        <f t="shared" si="0"/>
        <v>45303</v>
      </c>
      <c r="M46" s="150">
        <f t="shared" si="6"/>
        <v>43</v>
      </c>
      <c r="N46" t="str">
        <f t="shared" si="7"/>
        <v>Weekend</v>
      </c>
      <c r="O46" s="149">
        <f t="shared" si="8"/>
        <v>46399</v>
      </c>
      <c r="P46" s="42"/>
    </row>
    <row r="47" spans="2:16" ht="14.25" customHeight="1">
      <c r="B47" s="115" t="s">
        <v>269</v>
      </c>
      <c r="C47" s="115" t="s">
        <v>589</v>
      </c>
      <c r="D47" s="115" t="s">
        <v>87</v>
      </c>
      <c r="E47" s="137">
        <v>34433</v>
      </c>
      <c r="F47" s="42">
        <v>44354</v>
      </c>
      <c r="G47" t="str">
        <f t="shared" si="1"/>
        <v>Mon</v>
      </c>
      <c r="H47" t="str">
        <f t="shared" si="2"/>
        <v>Jun</v>
      </c>
      <c r="I47">
        <f t="shared" ca="1" si="3"/>
        <v>4</v>
      </c>
      <c r="J47" t="str">
        <f t="shared" ca="1" si="4"/>
        <v>4 years 5 months 14 days</v>
      </c>
      <c r="K47" s="149">
        <f t="shared" si="5"/>
        <v>44414</v>
      </c>
      <c r="L47" s="149">
        <f t="shared" si="0"/>
        <v>44438</v>
      </c>
      <c r="M47" s="150">
        <f t="shared" si="6"/>
        <v>24</v>
      </c>
      <c r="N47" t="str">
        <f t="shared" si="7"/>
        <v>Weekday</v>
      </c>
      <c r="O47" s="149">
        <f t="shared" si="8"/>
        <v>45534</v>
      </c>
      <c r="P47" s="42"/>
    </row>
    <row r="48" spans="2:16" ht="14.25" customHeight="1">
      <c r="B48" s="115" t="s">
        <v>272</v>
      </c>
      <c r="C48" s="115" t="s">
        <v>590</v>
      </c>
      <c r="D48" s="115" t="s">
        <v>84</v>
      </c>
      <c r="E48" s="137">
        <v>24470</v>
      </c>
      <c r="F48" s="42">
        <v>44690</v>
      </c>
      <c r="G48" t="str">
        <f t="shared" si="1"/>
        <v>Mon</v>
      </c>
      <c r="H48" t="str">
        <f t="shared" si="2"/>
        <v>May</v>
      </c>
      <c r="I48">
        <f t="shared" ca="1" si="3"/>
        <v>3</v>
      </c>
      <c r="J48" t="str">
        <f t="shared" ca="1" si="4"/>
        <v>3 years 6 months 12 days</v>
      </c>
      <c r="K48" s="149">
        <f t="shared" si="5"/>
        <v>44750</v>
      </c>
      <c r="L48" s="149">
        <f t="shared" si="0"/>
        <v>44774</v>
      </c>
      <c r="M48" s="150">
        <f t="shared" si="6"/>
        <v>20</v>
      </c>
      <c r="N48" t="str">
        <f t="shared" si="7"/>
        <v>Weekday</v>
      </c>
      <c r="O48" s="149">
        <f t="shared" si="8"/>
        <v>45870</v>
      </c>
      <c r="P48" s="42"/>
    </row>
    <row r="49" spans="2:16" ht="14.25" customHeight="1">
      <c r="B49" s="115" t="s">
        <v>268</v>
      </c>
      <c r="C49" s="115" t="s">
        <v>591</v>
      </c>
      <c r="D49" s="115" t="s">
        <v>87</v>
      </c>
      <c r="E49" s="137">
        <v>26748</v>
      </c>
      <c r="F49" s="42">
        <v>43197</v>
      </c>
      <c r="G49" t="str">
        <f t="shared" si="1"/>
        <v>Sat</v>
      </c>
      <c r="H49" t="str">
        <f t="shared" si="2"/>
        <v>Apr</v>
      </c>
      <c r="I49">
        <f t="shared" ca="1" si="3"/>
        <v>7</v>
      </c>
      <c r="J49" t="str">
        <f t="shared" ca="1" si="4"/>
        <v>7 years 7 months 14 days</v>
      </c>
      <c r="K49" s="149">
        <f t="shared" si="5"/>
        <v>43257</v>
      </c>
      <c r="L49" s="149">
        <f t="shared" si="0"/>
        <v>43280</v>
      </c>
      <c r="M49" s="150">
        <f t="shared" si="6"/>
        <v>14</v>
      </c>
      <c r="N49" t="str">
        <f t="shared" si="7"/>
        <v>Weekend</v>
      </c>
      <c r="O49" s="149">
        <f t="shared" si="8"/>
        <v>44376</v>
      </c>
      <c r="P49" s="42"/>
    </row>
    <row r="50" spans="2:16" ht="14.25" customHeight="1">
      <c r="B50" s="115" t="s">
        <v>269</v>
      </c>
      <c r="C50" s="115" t="s">
        <v>592</v>
      </c>
      <c r="D50" s="115" t="s">
        <v>87</v>
      </c>
      <c r="E50" s="137">
        <v>34862</v>
      </c>
      <c r="F50" s="42">
        <v>44877</v>
      </c>
      <c r="G50" t="str">
        <f t="shared" si="1"/>
        <v>Sat</v>
      </c>
      <c r="H50" t="str">
        <f t="shared" si="2"/>
        <v>Nov</v>
      </c>
      <c r="I50">
        <f t="shared" ca="1" si="3"/>
        <v>3</v>
      </c>
      <c r="J50" t="str">
        <f t="shared" ca="1" si="4"/>
        <v>3 years 0 months 9 days</v>
      </c>
      <c r="K50" s="149">
        <f t="shared" si="5"/>
        <v>44937</v>
      </c>
      <c r="L50" s="149">
        <f t="shared" si="0"/>
        <v>44960</v>
      </c>
      <c r="M50" s="150">
        <f t="shared" si="6"/>
        <v>46</v>
      </c>
      <c r="N50" t="str">
        <f t="shared" si="7"/>
        <v>Weekend</v>
      </c>
      <c r="O50" s="149">
        <f t="shared" si="8"/>
        <v>46056</v>
      </c>
      <c r="P50" s="42"/>
    </row>
    <row r="51" spans="2:16" ht="14.25" customHeight="1">
      <c r="B51" s="115" t="s">
        <v>272</v>
      </c>
      <c r="C51" s="115" t="s">
        <v>593</v>
      </c>
      <c r="D51" s="115" t="s">
        <v>87</v>
      </c>
      <c r="E51" s="137">
        <v>24366</v>
      </c>
      <c r="F51" s="42">
        <v>42728</v>
      </c>
      <c r="G51" t="str">
        <f t="shared" si="1"/>
        <v>Sat</v>
      </c>
      <c r="H51" t="str">
        <f t="shared" si="2"/>
        <v>Dec</v>
      </c>
      <c r="I51">
        <f t="shared" ca="1" si="3"/>
        <v>8</v>
      </c>
      <c r="J51" t="str">
        <f t="shared" ca="1" si="4"/>
        <v>8 years 10 months 28 days</v>
      </c>
      <c r="K51" s="149">
        <f t="shared" si="5"/>
        <v>42788</v>
      </c>
      <c r="L51" s="149">
        <f t="shared" si="0"/>
        <v>42811</v>
      </c>
      <c r="M51" s="150">
        <f t="shared" si="6"/>
        <v>52</v>
      </c>
      <c r="N51" t="str">
        <f t="shared" si="7"/>
        <v>Weekend</v>
      </c>
      <c r="O51" s="149">
        <f t="shared" si="8"/>
        <v>43907</v>
      </c>
      <c r="P51" s="42"/>
    </row>
    <row r="52" spans="2:16" ht="14.25" customHeight="1">
      <c r="B52" s="115" t="s">
        <v>270</v>
      </c>
      <c r="C52" s="115" t="s">
        <v>594</v>
      </c>
      <c r="D52" s="115" t="s">
        <v>84</v>
      </c>
      <c r="E52" s="137">
        <v>30315</v>
      </c>
      <c r="F52" s="42">
        <v>42609</v>
      </c>
      <c r="G52" t="str">
        <f t="shared" si="1"/>
        <v>Sat</v>
      </c>
      <c r="H52" t="str">
        <f t="shared" si="2"/>
        <v>Aug</v>
      </c>
      <c r="I52">
        <f t="shared" ca="1" si="3"/>
        <v>9</v>
      </c>
      <c r="J52" t="str">
        <f t="shared" ca="1" si="4"/>
        <v>9 years 2 months 25 days</v>
      </c>
      <c r="K52" s="149">
        <f t="shared" si="5"/>
        <v>42669</v>
      </c>
      <c r="L52" s="149">
        <f t="shared" si="0"/>
        <v>42692</v>
      </c>
      <c r="M52" s="150">
        <f t="shared" si="6"/>
        <v>35</v>
      </c>
      <c r="N52" t="str">
        <f t="shared" si="7"/>
        <v>Weekend</v>
      </c>
      <c r="O52" s="149">
        <f t="shared" si="8"/>
        <v>43787</v>
      </c>
      <c r="P52" s="42"/>
    </row>
    <row r="53" spans="2:16" ht="14.25" customHeight="1">
      <c r="B53" s="115" t="s">
        <v>271</v>
      </c>
      <c r="C53" s="115" t="s">
        <v>595</v>
      </c>
      <c r="D53" s="115" t="s">
        <v>87</v>
      </c>
      <c r="E53" s="137">
        <v>23874</v>
      </c>
      <c r="F53" s="42">
        <v>43532</v>
      </c>
      <c r="G53" t="str">
        <f t="shared" si="1"/>
        <v>Fri</v>
      </c>
      <c r="H53" t="str">
        <f t="shared" si="2"/>
        <v>Mar</v>
      </c>
      <c r="I53">
        <f t="shared" ca="1" si="3"/>
        <v>6</v>
      </c>
      <c r="J53" t="str">
        <f t="shared" ca="1" si="4"/>
        <v>6 years 8 months 13 days</v>
      </c>
      <c r="K53" s="149">
        <f t="shared" si="5"/>
        <v>43592</v>
      </c>
      <c r="L53" s="149">
        <f t="shared" si="0"/>
        <v>43616</v>
      </c>
      <c r="M53" s="150">
        <f t="shared" si="6"/>
        <v>10</v>
      </c>
      <c r="N53" t="str">
        <f t="shared" si="7"/>
        <v>Weekday</v>
      </c>
      <c r="O53" s="149">
        <f t="shared" si="8"/>
        <v>44712</v>
      </c>
      <c r="P53" s="42"/>
    </row>
    <row r="54" spans="2:16" ht="14.25" customHeight="1">
      <c r="B54" s="115" t="s">
        <v>269</v>
      </c>
      <c r="C54" s="115" t="s">
        <v>596</v>
      </c>
      <c r="D54" s="115" t="s">
        <v>84</v>
      </c>
      <c r="E54" s="137">
        <v>21260</v>
      </c>
      <c r="F54" s="42">
        <v>43926</v>
      </c>
      <c r="G54" t="str">
        <f t="shared" si="1"/>
        <v>Sun</v>
      </c>
      <c r="H54" t="str">
        <f t="shared" si="2"/>
        <v>Apr</v>
      </c>
      <c r="I54">
        <f t="shared" ca="1" si="3"/>
        <v>5</v>
      </c>
      <c r="J54" t="str">
        <f t="shared" ca="1" si="4"/>
        <v>5 years 7 months 16 days</v>
      </c>
      <c r="K54" s="149">
        <f t="shared" si="5"/>
        <v>43986</v>
      </c>
      <c r="L54" s="149">
        <f t="shared" si="0"/>
        <v>44008</v>
      </c>
      <c r="M54" s="150">
        <f t="shared" si="6"/>
        <v>14</v>
      </c>
      <c r="N54" t="str">
        <f t="shared" si="7"/>
        <v>Weekend</v>
      </c>
      <c r="O54" s="149">
        <f t="shared" si="8"/>
        <v>45103</v>
      </c>
      <c r="P54" s="42"/>
    </row>
    <row r="55" spans="2:16" ht="14.25" customHeight="1">
      <c r="B55" s="115" t="s">
        <v>272</v>
      </c>
      <c r="C55" s="115" t="s">
        <v>597</v>
      </c>
      <c r="D55" s="115" t="s">
        <v>87</v>
      </c>
      <c r="E55" s="137">
        <v>21876</v>
      </c>
      <c r="F55" s="42">
        <v>42017</v>
      </c>
      <c r="G55" t="str">
        <f t="shared" si="1"/>
        <v>Tue</v>
      </c>
      <c r="H55" t="str">
        <f t="shared" si="2"/>
        <v>Jan</v>
      </c>
      <c r="I55">
        <f t="shared" ca="1" si="3"/>
        <v>10</v>
      </c>
      <c r="J55" t="str">
        <f t="shared" ca="1" si="4"/>
        <v>10 years 10 months 8 days</v>
      </c>
      <c r="K55" s="149">
        <f t="shared" si="5"/>
        <v>42077</v>
      </c>
      <c r="L55" s="149">
        <f t="shared" si="0"/>
        <v>42101</v>
      </c>
      <c r="M55" s="150">
        <f t="shared" si="6"/>
        <v>3</v>
      </c>
      <c r="N55" t="str">
        <f t="shared" si="7"/>
        <v>Weekday</v>
      </c>
      <c r="O55" s="149">
        <f t="shared" si="8"/>
        <v>43197</v>
      </c>
      <c r="P55" s="42"/>
    </row>
    <row r="56" spans="2:16" ht="14.25" customHeight="1">
      <c r="B56" s="115" t="s">
        <v>270</v>
      </c>
      <c r="C56" s="115" t="s">
        <v>598</v>
      </c>
      <c r="D56" s="115" t="s">
        <v>84</v>
      </c>
      <c r="E56" s="137">
        <v>18826</v>
      </c>
      <c r="F56" s="42">
        <v>45213</v>
      </c>
      <c r="G56" t="str">
        <f t="shared" si="1"/>
        <v>Sat</v>
      </c>
      <c r="H56" t="str">
        <f t="shared" si="2"/>
        <v>Oct</v>
      </c>
      <c r="I56">
        <f t="shared" ca="1" si="3"/>
        <v>2</v>
      </c>
      <c r="J56" t="str">
        <f t="shared" ca="1" si="4"/>
        <v>2 years 1 months 7 days</v>
      </c>
      <c r="K56" s="149">
        <f t="shared" si="5"/>
        <v>45273</v>
      </c>
      <c r="L56" s="149">
        <f t="shared" si="0"/>
        <v>45296</v>
      </c>
      <c r="M56" s="150">
        <f t="shared" si="6"/>
        <v>42</v>
      </c>
      <c r="N56" t="str">
        <f t="shared" si="7"/>
        <v>Weekend</v>
      </c>
      <c r="O56" s="149">
        <f t="shared" si="8"/>
        <v>46392</v>
      </c>
      <c r="P56" s="42"/>
    </row>
    <row r="57" spans="2:16" ht="14.25" customHeight="1">
      <c r="B57" s="115" t="s">
        <v>272</v>
      </c>
      <c r="C57" s="115" t="s">
        <v>599</v>
      </c>
      <c r="D57" s="115" t="s">
        <v>87</v>
      </c>
      <c r="E57" s="137">
        <v>31357</v>
      </c>
      <c r="F57" s="42">
        <v>40921</v>
      </c>
      <c r="G57" t="str">
        <f t="shared" si="1"/>
        <v>Fri</v>
      </c>
      <c r="H57" t="str">
        <f t="shared" si="2"/>
        <v>Jan</v>
      </c>
      <c r="I57">
        <f t="shared" ca="1" si="3"/>
        <v>13</v>
      </c>
      <c r="J57" t="str">
        <f t="shared" ca="1" si="4"/>
        <v>13 years 10 months 8 days</v>
      </c>
      <c r="K57" s="149">
        <f t="shared" si="5"/>
        <v>40981</v>
      </c>
      <c r="L57" s="149">
        <f t="shared" si="0"/>
        <v>41005</v>
      </c>
      <c r="M57" s="150">
        <f t="shared" si="6"/>
        <v>3</v>
      </c>
      <c r="N57" t="str">
        <f t="shared" si="7"/>
        <v>Weekday</v>
      </c>
      <c r="O57" s="149">
        <f t="shared" si="8"/>
        <v>42100</v>
      </c>
      <c r="P57" s="42"/>
    </row>
    <row r="58" spans="2:16" ht="14.25" customHeight="1">
      <c r="B58" s="115" t="s">
        <v>270</v>
      </c>
      <c r="C58" s="115" t="s">
        <v>600</v>
      </c>
      <c r="D58" s="115" t="s">
        <v>84</v>
      </c>
      <c r="E58" s="137">
        <v>26719</v>
      </c>
      <c r="F58" s="42">
        <v>43937</v>
      </c>
      <c r="G58" t="str">
        <f t="shared" si="1"/>
        <v>Thu</v>
      </c>
      <c r="H58" t="str">
        <f t="shared" si="2"/>
        <v>Apr</v>
      </c>
      <c r="I58">
        <f t="shared" ca="1" si="3"/>
        <v>5</v>
      </c>
      <c r="J58" t="str">
        <f t="shared" ca="1" si="4"/>
        <v>5 years 7 months 5 days</v>
      </c>
      <c r="K58" s="149">
        <f t="shared" si="5"/>
        <v>43997</v>
      </c>
      <c r="L58" s="149">
        <f t="shared" si="0"/>
        <v>44021</v>
      </c>
      <c r="M58" s="150">
        <f t="shared" si="6"/>
        <v>16</v>
      </c>
      <c r="N58" t="str">
        <f t="shared" si="7"/>
        <v>Weekday</v>
      </c>
      <c r="O58" s="149">
        <f t="shared" si="8"/>
        <v>45116</v>
      </c>
      <c r="P58" s="42"/>
    </row>
    <row r="59" spans="2:16" ht="14.25" customHeight="1">
      <c r="B59" s="115" t="s">
        <v>268</v>
      </c>
      <c r="C59" s="115" t="s">
        <v>601</v>
      </c>
      <c r="D59" s="115" t="s">
        <v>87</v>
      </c>
      <c r="E59" s="137">
        <v>30873</v>
      </c>
      <c r="F59" s="42">
        <v>44166</v>
      </c>
      <c r="G59" t="str">
        <f t="shared" si="1"/>
        <v>Tue</v>
      </c>
      <c r="H59" t="str">
        <f t="shared" si="2"/>
        <v>Dec</v>
      </c>
      <c r="I59">
        <f t="shared" ca="1" si="3"/>
        <v>4</v>
      </c>
      <c r="J59" t="str">
        <f t="shared" ca="1" si="4"/>
        <v>4 years 11 months 20 days</v>
      </c>
      <c r="K59" s="149">
        <f t="shared" si="5"/>
        <v>44226</v>
      </c>
      <c r="L59" s="149">
        <f t="shared" si="0"/>
        <v>44250</v>
      </c>
      <c r="M59" s="150">
        <f t="shared" si="6"/>
        <v>49</v>
      </c>
      <c r="N59" t="str">
        <f t="shared" si="7"/>
        <v>Weekday</v>
      </c>
      <c r="O59" s="149">
        <f t="shared" si="8"/>
        <v>45345</v>
      </c>
      <c r="P59" s="42"/>
    </row>
    <row r="60" spans="2:16" ht="14.25" customHeight="1">
      <c r="B60" s="115" t="s">
        <v>269</v>
      </c>
      <c r="C60" s="115" t="s">
        <v>602</v>
      </c>
      <c r="D60" s="115" t="s">
        <v>87</v>
      </c>
      <c r="E60" s="137">
        <v>29991</v>
      </c>
      <c r="F60" s="42">
        <v>41231</v>
      </c>
      <c r="G60" t="str">
        <f t="shared" si="1"/>
        <v>Sun</v>
      </c>
      <c r="H60" t="str">
        <f t="shared" si="2"/>
        <v>Nov</v>
      </c>
      <c r="I60">
        <f t="shared" ca="1" si="3"/>
        <v>13</v>
      </c>
      <c r="J60" t="str">
        <f t="shared" ca="1" si="4"/>
        <v>13 years 0 months 3 days</v>
      </c>
      <c r="K60" s="149">
        <f t="shared" si="5"/>
        <v>41291</v>
      </c>
      <c r="L60" s="149">
        <f t="shared" si="0"/>
        <v>41316</v>
      </c>
      <c r="M60" s="150">
        <f t="shared" si="6"/>
        <v>47</v>
      </c>
      <c r="N60" t="str">
        <f t="shared" si="7"/>
        <v>Weekend</v>
      </c>
      <c r="O60" s="149">
        <f t="shared" si="8"/>
        <v>42411</v>
      </c>
      <c r="P60" s="42"/>
    </row>
    <row r="61" spans="2:16" ht="14.25" customHeight="1">
      <c r="B61" s="115" t="s">
        <v>270</v>
      </c>
      <c r="C61" s="115" t="s">
        <v>603</v>
      </c>
      <c r="D61" s="115" t="s">
        <v>84</v>
      </c>
      <c r="E61" s="137">
        <v>26399</v>
      </c>
      <c r="F61" s="42">
        <v>41611</v>
      </c>
      <c r="G61" t="str">
        <f t="shared" si="1"/>
        <v>Tue</v>
      </c>
      <c r="H61" t="str">
        <f t="shared" si="2"/>
        <v>Dec</v>
      </c>
      <c r="I61">
        <f t="shared" ca="1" si="3"/>
        <v>11</v>
      </c>
      <c r="J61" t="str">
        <f t="shared" ca="1" si="4"/>
        <v>11 years 11 months 18 days</v>
      </c>
      <c r="K61" s="149">
        <f t="shared" si="5"/>
        <v>41671</v>
      </c>
      <c r="L61" s="149">
        <f t="shared" si="0"/>
        <v>41695</v>
      </c>
      <c r="M61" s="150">
        <f t="shared" si="6"/>
        <v>49</v>
      </c>
      <c r="N61" t="str">
        <f t="shared" si="7"/>
        <v>Weekday</v>
      </c>
      <c r="O61" s="149">
        <f t="shared" si="8"/>
        <v>42791</v>
      </c>
      <c r="P61" s="42"/>
    </row>
    <row r="62" spans="2:16" ht="14.25" customHeight="1">
      <c r="B62" s="115" t="s">
        <v>268</v>
      </c>
      <c r="C62" s="115" t="s">
        <v>604</v>
      </c>
      <c r="D62" s="115" t="s">
        <v>84</v>
      </c>
      <c r="E62" s="137">
        <v>27349</v>
      </c>
      <c r="F62" s="42">
        <v>43205</v>
      </c>
      <c r="G62" t="str">
        <f t="shared" si="1"/>
        <v>Sun</v>
      </c>
      <c r="H62" t="str">
        <f t="shared" si="2"/>
        <v>Apr</v>
      </c>
      <c r="I62">
        <f t="shared" ca="1" si="3"/>
        <v>7</v>
      </c>
      <c r="J62" t="str">
        <f t="shared" ca="1" si="4"/>
        <v>7 years 7 months 6 days</v>
      </c>
      <c r="K62" s="149">
        <f t="shared" si="5"/>
        <v>43265</v>
      </c>
      <c r="L62" s="149">
        <f t="shared" si="0"/>
        <v>43287</v>
      </c>
      <c r="M62" s="150">
        <f t="shared" si="6"/>
        <v>15</v>
      </c>
      <c r="N62" t="str">
        <f t="shared" si="7"/>
        <v>Weekend</v>
      </c>
      <c r="O62" s="149">
        <f t="shared" si="8"/>
        <v>44383</v>
      </c>
      <c r="P62" s="42"/>
    </row>
    <row r="63" spans="2:16" ht="14.25" customHeight="1">
      <c r="B63" s="115" t="s">
        <v>272</v>
      </c>
      <c r="C63" s="115" t="s">
        <v>605</v>
      </c>
      <c r="D63" s="115" t="s">
        <v>87</v>
      </c>
      <c r="E63" s="137">
        <v>20280</v>
      </c>
      <c r="F63" s="42">
        <v>44309</v>
      </c>
      <c r="G63" t="str">
        <f t="shared" si="1"/>
        <v>Fri</v>
      </c>
      <c r="H63" t="str">
        <f t="shared" si="2"/>
        <v>Apr</v>
      </c>
      <c r="I63">
        <f t="shared" ca="1" si="3"/>
        <v>4</v>
      </c>
      <c r="J63" t="str">
        <f t="shared" ca="1" si="4"/>
        <v>4 years 6 months 29 days</v>
      </c>
      <c r="K63" s="149">
        <f t="shared" si="5"/>
        <v>44369</v>
      </c>
      <c r="L63" s="149">
        <f t="shared" si="0"/>
        <v>44393</v>
      </c>
      <c r="M63" s="150">
        <f t="shared" si="6"/>
        <v>17</v>
      </c>
      <c r="N63" t="str">
        <f t="shared" si="7"/>
        <v>Weekday</v>
      </c>
      <c r="O63" s="149">
        <f t="shared" si="8"/>
        <v>45489</v>
      </c>
      <c r="P63" s="42"/>
    </row>
    <row r="64" spans="2:16" ht="14.25" customHeight="1">
      <c r="B64" s="115" t="s">
        <v>270</v>
      </c>
      <c r="C64" s="115" t="s">
        <v>606</v>
      </c>
      <c r="D64" s="115" t="s">
        <v>84</v>
      </c>
      <c r="E64" s="137">
        <v>32623</v>
      </c>
      <c r="F64" s="42">
        <v>43626</v>
      </c>
      <c r="G64" t="str">
        <f t="shared" si="1"/>
        <v>Mon</v>
      </c>
      <c r="H64" t="str">
        <f t="shared" si="2"/>
        <v>Jun</v>
      </c>
      <c r="I64">
        <f t="shared" ca="1" si="3"/>
        <v>6</v>
      </c>
      <c r="J64" t="str">
        <f t="shared" ca="1" si="4"/>
        <v>6 years 5 months 11 days</v>
      </c>
      <c r="K64" s="149">
        <f t="shared" si="5"/>
        <v>43686</v>
      </c>
      <c r="L64" s="149">
        <f t="shared" si="0"/>
        <v>43710</v>
      </c>
      <c r="M64" s="150">
        <f t="shared" si="6"/>
        <v>24</v>
      </c>
      <c r="N64" t="str">
        <f t="shared" si="7"/>
        <v>Weekday</v>
      </c>
      <c r="O64" s="149">
        <f t="shared" si="8"/>
        <v>44806</v>
      </c>
      <c r="P64" s="42"/>
    </row>
    <row r="65" spans="2:16" ht="14.25" customHeight="1">
      <c r="B65" s="115" t="s">
        <v>268</v>
      </c>
      <c r="C65" s="115" t="s">
        <v>607</v>
      </c>
      <c r="D65" s="115" t="s">
        <v>84</v>
      </c>
      <c r="E65" s="137">
        <v>18630</v>
      </c>
      <c r="F65" s="42">
        <v>44017</v>
      </c>
      <c r="G65" t="str">
        <f t="shared" si="1"/>
        <v>Sun</v>
      </c>
      <c r="H65" t="str">
        <f t="shared" si="2"/>
        <v>Jul</v>
      </c>
      <c r="I65">
        <f t="shared" ca="1" si="3"/>
        <v>5</v>
      </c>
      <c r="J65" t="str">
        <f t="shared" ca="1" si="4"/>
        <v>5 years 4 months 16 days</v>
      </c>
      <c r="K65" s="149">
        <f t="shared" si="5"/>
        <v>44077</v>
      </c>
      <c r="L65" s="149">
        <f t="shared" si="0"/>
        <v>44099</v>
      </c>
      <c r="M65" s="150">
        <f t="shared" si="6"/>
        <v>27</v>
      </c>
      <c r="N65" t="str">
        <f t="shared" si="7"/>
        <v>Weekend</v>
      </c>
      <c r="O65" s="149">
        <f t="shared" si="8"/>
        <v>45194</v>
      </c>
      <c r="P65" s="42"/>
    </row>
    <row r="66" spans="2:16" ht="14.25" customHeight="1">
      <c r="B66" s="115" t="s">
        <v>271</v>
      </c>
      <c r="C66" s="115" t="s">
        <v>608</v>
      </c>
      <c r="D66" s="115" t="s">
        <v>87</v>
      </c>
      <c r="E66" s="137">
        <v>31351</v>
      </c>
      <c r="F66" s="42">
        <v>40662</v>
      </c>
      <c r="G66" t="str">
        <f t="shared" si="1"/>
        <v>Fri</v>
      </c>
      <c r="H66" t="str">
        <f t="shared" si="2"/>
        <v>Apr</v>
      </c>
      <c r="I66">
        <f t="shared" ca="1" si="3"/>
        <v>14</v>
      </c>
      <c r="J66" t="str">
        <f t="shared" ca="1" si="4"/>
        <v>14 years 6 months 23 days</v>
      </c>
      <c r="K66" s="149">
        <f t="shared" si="5"/>
        <v>40722</v>
      </c>
      <c r="L66" s="149">
        <f t="shared" si="0"/>
        <v>40746</v>
      </c>
      <c r="M66" s="150">
        <f t="shared" si="6"/>
        <v>18</v>
      </c>
      <c r="N66" t="str">
        <f t="shared" si="7"/>
        <v>Weekday</v>
      </c>
      <c r="O66" s="149">
        <f t="shared" si="8"/>
        <v>41842</v>
      </c>
      <c r="P66" s="42"/>
    </row>
    <row r="67" spans="2:16" ht="14.25" customHeight="1">
      <c r="B67" s="115" t="s">
        <v>271</v>
      </c>
      <c r="C67" s="115" t="s">
        <v>609</v>
      </c>
      <c r="D67" s="115" t="s">
        <v>84</v>
      </c>
      <c r="E67" s="137">
        <v>25923</v>
      </c>
      <c r="F67" s="42">
        <v>43074</v>
      </c>
      <c r="G67" t="str">
        <f t="shared" si="1"/>
        <v>Tue</v>
      </c>
      <c r="H67" t="str">
        <f t="shared" si="2"/>
        <v>Dec</v>
      </c>
      <c r="I67">
        <f t="shared" ca="1" si="3"/>
        <v>7</v>
      </c>
      <c r="J67" t="str">
        <f t="shared" ca="1" si="4"/>
        <v>7 years 11 months 16 days</v>
      </c>
      <c r="K67" s="149">
        <f t="shared" si="5"/>
        <v>43134</v>
      </c>
      <c r="L67" s="149">
        <f t="shared" si="0"/>
        <v>43158</v>
      </c>
      <c r="M67" s="150">
        <f t="shared" si="6"/>
        <v>50</v>
      </c>
      <c r="N67" t="str">
        <f t="shared" si="7"/>
        <v>Weekday</v>
      </c>
      <c r="O67" s="149">
        <f t="shared" si="8"/>
        <v>44254</v>
      </c>
    </row>
    <row r="68" spans="2:16" ht="14.25" customHeight="1">
      <c r="B68" s="115" t="s">
        <v>268</v>
      </c>
      <c r="C68" s="115" t="s">
        <v>610</v>
      </c>
      <c r="D68" s="115" t="s">
        <v>84</v>
      </c>
      <c r="E68" s="137">
        <v>34998</v>
      </c>
      <c r="F68" s="42">
        <v>44292</v>
      </c>
      <c r="G68" t="str">
        <f t="shared" si="1"/>
        <v>Tue</v>
      </c>
      <c r="H68" t="str">
        <f t="shared" si="2"/>
        <v>Apr</v>
      </c>
      <c r="I68">
        <f t="shared" ca="1" si="3"/>
        <v>4</v>
      </c>
      <c r="J68" t="str">
        <f t="shared" ca="1" si="4"/>
        <v>4 years 7 months 15 days</v>
      </c>
      <c r="K68" s="149">
        <f t="shared" si="5"/>
        <v>44352</v>
      </c>
      <c r="L68" s="149">
        <f t="shared" si="0"/>
        <v>44376</v>
      </c>
      <c r="M68" s="150">
        <f t="shared" si="6"/>
        <v>15</v>
      </c>
      <c r="N68" t="str">
        <f t="shared" si="7"/>
        <v>Weekday</v>
      </c>
      <c r="O68" s="149">
        <f t="shared" si="8"/>
        <v>45472</v>
      </c>
    </row>
    <row r="69" spans="2:16" ht="14.25" customHeight="1">
      <c r="B69" s="115" t="s">
        <v>271</v>
      </c>
      <c r="C69" s="115" t="s">
        <v>611</v>
      </c>
      <c r="D69" s="115" t="s">
        <v>87</v>
      </c>
      <c r="E69" s="137">
        <v>30106</v>
      </c>
      <c r="F69" s="42">
        <v>42403</v>
      </c>
      <c r="G69" t="str">
        <f t="shared" si="1"/>
        <v>Wed</v>
      </c>
      <c r="H69" t="str">
        <f t="shared" si="2"/>
        <v>Feb</v>
      </c>
      <c r="I69">
        <f t="shared" ca="1" si="3"/>
        <v>9</v>
      </c>
      <c r="J69" t="str">
        <f t="shared" ca="1" si="4"/>
        <v>9 years 9 months 18 days</v>
      </c>
      <c r="K69" s="149">
        <f t="shared" si="5"/>
        <v>42463</v>
      </c>
      <c r="L69" s="149">
        <f t="shared" si="0"/>
        <v>42487</v>
      </c>
      <c r="M69" s="150">
        <f t="shared" si="6"/>
        <v>6</v>
      </c>
      <c r="N69" t="str">
        <f t="shared" si="7"/>
        <v>Weekday</v>
      </c>
      <c r="O69" s="149">
        <f t="shared" si="8"/>
        <v>43582</v>
      </c>
    </row>
    <row r="70" spans="2:16" ht="14.25" customHeight="1">
      <c r="B70" s="115" t="s">
        <v>270</v>
      </c>
      <c r="C70" s="115" t="s">
        <v>612</v>
      </c>
      <c r="D70" s="115" t="s">
        <v>87</v>
      </c>
      <c r="E70" s="137">
        <v>26418</v>
      </c>
      <c r="F70" s="42">
        <v>44250</v>
      </c>
      <c r="G70" t="str">
        <f t="shared" si="1"/>
        <v>Tue</v>
      </c>
      <c r="H70" t="str">
        <f t="shared" si="2"/>
        <v>Feb</v>
      </c>
      <c r="I70">
        <f t="shared" ca="1" si="3"/>
        <v>4</v>
      </c>
      <c r="J70" t="str">
        <f t="shared" ca="1" si="4"/>
        <v>4 years 8 months 29 days</v>
      </c>
      <c r="K70" s="149">
        <f t="shared" si="5"/>
        <v>44310</v>
      </c>
      <c r="L70" s="149">
        <f t="shared" ref="L70:L133" si="9">WORKDAY(F70,60,$R$6:$R$7)</f>
        <v>44334</v>
      </c>
      <c r="M70" s="150">
        <f t="shared" si="6"/>
        <v>9</v>
      </c>
      <c r="N70" t="str">
        <f t="shared" si="7"/>
        <v>Weekday</v>
      </c>
      <c r="O70" s="149">
        <f t="shared" si="8"/>
        <v>45430</v>
      </c>
    </row>
    <row r="71" spans="2:16" ht="14.25" customHeight="1">
      <c r="B71" s="115" t="s">
        <v>269</v>
      </c>
      <c r="C71" s="115" t="s">
        <v>613</v>
      </c>
      <c r="D71" s="115" t="s">
        <v>87</v>
      </c>
      <c r="E71" s="137">
        <v>31508</v>
      </c>
      <c r="F71" s="42">
        <v>43177</v>
      </c>
      <c r="G71" t="str">
        <f t="shared" ref="G71:G134" si="10">TEXT(F71,"DDD")</f>
        <v>Sun</v>
      </c>
      <c r="H71" t="str">
        <f t="shared" ref="H71:H134" si="11">TEXT(F71,"MMM")</f>
        <v>Mar</v>
      </c>
      <c r="I71">
        <f t="shared" ref="I71:I134" ca="1" si="12">DATEDIF(F71,TODAY(),"Y")</f>
        <v>7</v>
      </c>
      <c r="J71" t="str">
        <f t="shared" ref="J71:J134" ca="1" si="13">DATEDIF(F71,TODAY(),"Y")&amp;" years "&amp;DATEDIF(F71,TODAY(),"YM")&amp;" months "&amp;DATEDIF(F71,TODAY(),"MD")&amp;" days"</f>
        <v>7 years 8 months 3 days</v>
      </c>
      <c r="K71" s="149">
        <f t="shared" ref="K71:K134" si="14">F71+60</f>
        <v>43237</v>
      </c>
      <c r="L71" s="149">
        <f t="shared" si="9"/>
        <v>43259</v>
      </c>
      <c r="M71" s="150">
        <f t="shared" ref="M71:M134" si="15">WEEKNUM(F71,2)</f>
        <v>11</v>
      </c>
      <c r="N71" t="str">
        <f t="shared" ref="N71:N134" si="16">IF(WEEKDAY(F71,2)&gt;5,"Weekend","Weekday")</f>
        <v>Weekend</v>
      </c>
      <c r="O71" s="149">
        <f t="shared" ref="O71:O134" si="17">EDATE(L71,36)</f>
        <v>44355</v>
      </c>
    </row>
    <row r="72" spans="2:16" ht="14.25" customHeight="1">
      <c r="B72" s="115" t="s">
        <v>272</v>
      </c>
      <c r="C72" s="115" t="s">
        <v>614</v>
      </c>
      <c r="D72" s="115" t="s">
        <v>84</v>
      </c>
      <c r="E72" s="137">
        <v>19123</v>
      </c>
      <c r="F72" s="42">
        <v>44192</v>
      </c>
      <c r="G72" t="str">
        <f t="shared" si="10"/>
        <v>Sun</v>
      </c>
      <c r="H72" t="str">
        <f t="shared" si="11"/>
        <v>Dec</v>
      </c>
      <c r="I72">
        <f t="shared" ca="1" si="12"/>
        <v>4</v>
      </c>
      <c r="J72" t="str">
        <f t="shared" ca="1" si="13"/>
        <v>4 years 10 months 25 days</v>
      </c>
      <c r="K72" s="149">
        <f t="shared" si="14"/>
        <v>44252</v>
      </c>
      <c r="L72" s="149">
        <f t="shared" si="9"/>
        <v>44274</v>
      </c>
      <c r="M72" s="150">
        <f t="shared" si="15"/>
        <v>52</v>
      </c>
      <c r="N72" t="str">
        <f t="shared" si="16"/>
        <v>Weekend</v>
      </c>
      <c r="O72" s="149">
        <f t="shared" si="17"/>
        <v>45370</v>
      </c>
    </row>
    <row r="73" spans="2:16" ht="14.25" customHeight="1">
      <c r="B73" s="115" t="s">
        <v>269</v>
      </c>
      <c r="C73" s="115" t="s">
        <v>615</v>
      </c>
      <c r="D73" s="115" t="s">
        <v>84</v>
      </c>
      <c r="E73" s="137">
        <v>28982</v>
      </c>
      <c r="F73" s="42">
        <v>43095</v>
      </c>
      <c r="G73" t="str">
        <f t="shared" si="10"/>
        <v>Tue</v>
      </c>
      <c r="H73" t="str">
        <f t="shared" si="11"/>
        <v>Dec</v>
      </c>
      <c r="I73">
        <f t="shared" ca="1" si="12"/>
        <v>7</v>
      </c>
      <c r="J73" t="str">
        <f t="shared" ca="1" si="13"/>
        <v>7 years 10 months 26 days</v>
      </c>
      <c r="K73" s="149">
        <f t="shared" si="14"/>
        <v>43155</v>
      </c>
      <c r="L73" s="149">
        <f t="shared" si="9"/>
        <v>43179</v>
      </c>
      <c r="M73" s="150">
        <f t="shared" si="15"/>
        <v>53</v>
      </c>
      <c r="N73" t="str">
        <f t="shared" si="16"/>
        <v>Weekday</v>
      </c>
      <c r="O73" s="149">
        <f t="shared" si="17"/>
        <v>44275</v>
      </c>
    </row>
    <row r="74" spans="2:16" ht="14.25" customHeight="1">
      <c r="B74" s="115" t="s">
        <v>272</v>
      </c>
      <c r="C74" s="115" t="s">
        <v>616</v>
      </c>
      <c r="D74" s="115" t="s">
        <v>84</v>
      </c>
      <c r="E74" s="137">
        <v>31034</v>
      </c>
      <c r="F74" s="42">
        <v>44175</v>
      </c>
      <c r="G74" t="str">
        <f t="shared" si="10"/>
        <v>Thu</v>
      </c>
      <c r="H74" t="str">
        <f t="shared" si="11"/>
        <v>Dec</v>
      </c>
      <c r="I74">
        <f t="shared" ca="1" si="12"/>
        <v>4</v>
      </c>
      <c r="J74" t="str">
        <f t="shared" ca="1" si="13"/>
        <v>4 years 11 months 11 days</v>
      </c>
      <c r="K74" s="149">
        <f t="shared" si="14"/>
        <v>44235</v>
      </c>
      <c r="L74" s="149">
        <f t="shared" si="9"/>
        <v>44259</v>
      </c>
      <c r="M74" s="150">
        <f t="shared" si="15"/>
        <v>50</v>
      </c>
      <c r="N74" t="str">
        <f t="shared" si="16"/>
        <v>Weekday</v>
      </c>
      <c r="O74" s="149">
        <f t="shared" si="17"/>
        <v>45355</v>
      </c>
    </row>
    <row r="75" spans="2:16" ht="14.25" customHeight="1">
      <c r="B75" s="115" t="s">
        <v>270</v>
      </c>
      <c r="C75" s="115" t="s">
        <v>617</v>
      </c>
      <c r="D75" s="115" t="s">
        <v>84</v>
      </c>
      <c r="E75" s="137">
        <v>31337</v>
      </c>
      <c r="F75" s="42">
        <v>44156</v>
      </c>
      <c r="G75" t="str">
        <f t="shared" si="10"/>
        <v>Sat</v>
      </c>
      <c r="H75" t="str">
        <f t="shared" si="11"/>
        <v>Nov</v>
      </c>
      <c r="I75">
        <f t="shared" ca="1" si="12"/>
        <v>5</v>
      </c>
      <c r="J75" t="str">
        <f t="shared" ca="1" si="13"/>
        <v>5 years 0 months 0 days</v>
      </c>
      <c r="K75" s="149">
        <f t="shared" si="14"/>
        <v>44216</v>
      </c>
      <c r="L75" s="149">
        <f t="shared" si="9"/>
        <v>44239</v>
      </c>
      <c r="M75" s="150">
        <f t="shared" si="15"/>
        <v>47</v>
      </c>
      <c r="N75" t="str">
        <f t="shared" si="16"/>
        <v>Weekend</v>
      </c>
      <c r="O75" s="149">
        <f t="shared" si="17"/>
        <v>45334</v>
      </c>
    </row>
    <row r="76" spans="2:16" ht="14.25" customHeight="1">
      <c r="B76" s="115" t="s">
        <v>270</v>
      </c>
      <c r="C76" s="115" t="s">
        <v>618</v>
      </c>
      <c r="D76" s="115" t="s">
        <v>84</v>
      </c>
      <c r="E76" s="137">
        <v>23764</v>
      </c>
      <c r="F76" s="42">
        <v>41898</v>
      </c>
      <c r="G76" t="str">
        <f t="shared" si="10"/>
        <v>Tue</v>
      </c>
      <c r="H76" t="str">
        <f t="shared" si="11"/>
        <v>Sep</v>
      </c>
      <c r="I76">
        <f t="shared" ca="1" si="12"/>
        <v>11</v>
      </c>
      <c r="J76" t="str">
        <f t="shared" ca="1" si="13"/>
        <v>11 years 2 months 5 days</v>
      </c>
      <c r="K76" s="149">
        <f t="shared" si="14"/>
        <v>41958</v>
      </c>
      <c r="L76" s="149">
        <f t="shared" si="9"/>
        <v>41982</v>
      </c>
      <c r="M76" s="150">
        <f t="shared" si="15"/>
        <v>38</v>
      </c>
      <c r="N76" t="str">
        <f t="shared" si="16"/>
        <v>Weekday</v>
      </c>
      <c r="O76" s="149">
        <f t="shared" si="17"/>
        <v>43078</v>
      </c>
    </row>
    <row r="77" spans="2:16" ht="14.25" customHeight="1">
      <c r="B77" s="115" t="s">
        <v>269</v>
      </c>
      <c r="C77" s="115" t="s">
        <v>619</v>
      </c>
      <c r="D77" s="115" t="s">
        <v>84</v>
      </c>
      <c r="E77" s="137">
        <v>31442</v>
      </c>
      <c r="F77" s="42">
        <v>43114</v>
      </c>
      <c r="G77" t="str">
        <f t="shared" si="10"/>
        <v>Sun</v>
      </c>
      <c r="H77" t="str">
        <f t="shared" si="11"/>
        <v>Jan</v>
      </c>
      <c r="I77">
        <f t="shared" ca="1" si="12"/>
        <v>7</v>
      </c>
      <c r="J77" t="str">
        <f t="shared" ca="1" si="13"/>
        <v>7 years 10 months 7 days</v>
      </c>
      <c r="K77" s="149">
        <f t="shared" si="14"/>
        <v>43174</v>
      </c>
      <c r="L77" s="149">
        <f t="shared" si="9"/>
        <v>43196</v>
      </c>
      <c r="M77" s="150">
        <f t="shared" si="15"/>
        <v>2</v>
      </c>
      <c r="N77" t="str">
        <f t="shared" si="16"/>
        <v>Weekend</v>
      </c>
      <c r="O77" s="149">
        <f t="shared" si="17"/>
        <v>44292</v>
      </c>
    </row>
    <row r="78" spans="2:16" ht="14.25" customHeight="1">
      <c r="B78" s="115" t="s">
        <v>268</v>
      </c>
      <c r="C78" s="115" t="s">
        <v>620</v>
      </c>
      <c r="D78" s="115" t="s">
        <v>84</v>
      </c>
      <c r="E78" s="137">
        <v>17208</v>
      </c>
      <c r="F78" s="42">
        <v>43324</v>
      </c>
      <c r="G78" t="str">
        <f t="shared" si="10"/>
        <v>Sun</v>
      </c>
      <c r="H78" t="str">
        <f t="shared" si="11"/>
        <v>Aug</v>
      </c>
      <c r="I78">
        <f t="shared" ca="1" si="12"/>
        <v>7</v>
      </c>
      <c r="J78" t="str">
        <f t="shared" ca="1" si="13"/>
        <v>7 years 3 months 9 days</v>
      </c>
      <c r="K78" s="149">
        <f t="shared" si="14"/>
        <v>43384</v>
      </c>
      <c r="L78" s="149">
        <f t="shared" si="9"/>
        <v>43406</v>
      </c>
      <c r="M78" s="150">
        <f t="shared" si="15"/>
        <v>32</v>
      </c>
      <c r="N78" t="str">
        <f t="shared" si="16"/>
        <v>Weekend</v>
      </c>
      <c r="O78" s="149">
        <f t="shared" si="17"/>
        <v>44502</v>
      </c>
    </row>
    <row r="79" spans="2:16" ht="14.25" customHeight="1">
      <c r="B79" s="115" t="s">
        <v>268</v>
      </c>
      <c r="C79" s="115" t="s">
        <v>621</v>
      </c>
      <c r="D79" s="115" t="s">
        <v>87</v>
      </c>
      <c r="E79" s="137">
        <v>25733</v>
      </c>
      <c r="F79" s="42">
        <v>40665</v>
      </c>
      <c r="G79" t="str">
        <f t="shared" si="10"/>
        <v>Mon</v>
      </c>
      <c r="H79" t="str">
        <f t="shared" si="11"/>
        <v>May</v>
      </c>
      <c r="I79">
        <f t="shared" ca="1" si="12"/>
        <v>14</v>
      </c>
      <c r="J79" t="str">
        <f t="shared" ca="1" si="13"/>
        <v>14 years 6 months 19 days</v>
      </c>
      <c r="K79" s="149">
        <f t="shared" si="14"/>
        <v>40725</v>
      </c>
      <c r="L79" s="149">
        <f t="shared" si="9"/>
        <v>40749</v>
      </c>
      <c r="M79" s="150">
        <f t="shared" si="15"/>
        <v>19</v>
      </c>
      <c r="N79" t="str">
        <f t="shared" si="16"/>
        <v>Weekday</v>
      </c>
      <c r="O79" s="149">
        <f t="shared" si="17"/>
        <v>41845</v>
      </c>
    </row>
    <row r="80" spans="2:16" ht="14.25" customHeight="1">
      <c r="B80" s="115" t="s">
        <v>270</v>
      </c>
      <c r="C80" s="115" t="s">
        <v>622</v>
      </c>
      <c r="D80" s="115" t="s">
        <v>87</v>
      </c>
      <c r="E80" s="137">
        <v>27668</v>
      </c>
      <c r="F80" s="42">
        <v>40556</v>
      </c>
      <c r="G80" t="str">
        <f t="shared" si="10"/>
        <v>Thu</v>
      </c>
      <c r="H80" t="str">
        <f t="shared" si="11"/>
        <v>Jan</v>
      </c>
      <c r="I80">
        <f t="shared" ca="1" si="12"/>
        <v>14</v>
      </c>
      <c r="J80" t="str">
        <f t="shared" ca="1" si="13"/>
        <v>14 years 10 months 8 days</v>
      </c>
      <c r="K80" s="149">
        <f t="shared" si="14"/>
        <v>40616</v>
      </c>
      <c r="L80" s="149">
        <f t="shared" si="9"/>
        <v>40640</v>
      </c>
      <c r="M80" s="150">
        <f t="shared" si="15"/>
        <v>3</v>
      </c>
      <c r="N80" t="str">
        <f t="shared" si="16"/>
        <v>Weekday</v>
      </c>
      <c r="O80" s="149">
        <f t="shared" si="17"/>
        <v>41736</v>
      </c>
    </row>
    <row r="81" spans="2:15" ht="14.25" customHeight="1">
      <c r="B81" s="115" t="s">
        <v>272</v>
      </c>
      <c r="C81" s="115" t="s">
        <v>623</v>
      </c>
      <c r="D81" s="115" t="s">
        <v>84</v>
      </c>
      <c r="E81" s="137">
        <v>33914</v>
      </c>
      <c r="F81" s="42">
        <v>43713</v>
      </c>
      <c r="G81" t="str">
        <f t="shared" si="10"/>
        <v>Thu</v>
      </c>
      <c r="H81" t="str">
        <f t="shared" si="11"/>
        <v>Sep</v>
      </c>
      <c r="I81">
        <f t="shared" ca="1" si="12"/>
        <v>6</v>
      </c>
      <c r="J81" t="str">
        <f t="shared" ca="1" si="13"/>
        <v>6 years 2 months 16 days</v>
      </c>
      <c r="K81" s="149">
        <f t="shared" si="14"/>
        <v>43773</v>
      </c>
      <c r="L81" s="149">
        <f t="shared" si="9"/>
        <v>43797</v>
      </c>
      <c r="M81" s="150">
        <f t="shared" si="15"/>
        <v>36</v>
      </c>
      <c r="N81" t="str">
        <f t="shared" si="16"/>
        <v>Weekday</v>
      </c>
      <c r="O81" s="149">
        <f t="shared" si="17"/>
        <v>44893</v>
      </c>
    </row>
    <row r="82" spans="2:15" ht="14.25" customHeight="1">
      <c r="B82" s="115" t="s">
        <v>270</v>
      </c>
      <c r="C82" s="115" t="s">
        <v>624</v>
      </c>
      <c r="D82" s="115" t="s">
        <v>87</v>
      </c>
      <c r="E82" s="137">
        <v>34082</v>
      </c>
      <c r="F82" s="42">
        <v>42910</v>
      </c>
      <c r="G82" t="str">
        <f t="shared" si="10"/>
        <v>Sat</v>
      </c>
      <c r="H82" t="str">
        <f t="shared" si="11"/>
        <v>Jun</v>
      </c>
      <c r="I82">
        <f t="shared" ca="1" si="12"/>
        <v>8</v>
      </c>
      <c r="J82" t="str">
        <f t="shared" ca="1" si="13"/>
        <v>8 years 4 months 28 days</v>
      </c>
      <c r="K82" s="149">
        <f t="shared" si="14"/>
        <v>42970</v>
      </c>
      <c r="L82" s="149">
        <f t="shared" si="9"/>
        <v>42993</v>
      </c>
      <c r="M82" s="150">
        <f t="shared" si="15"/>
        <v>26</v>
      </c>
      <c r="N82" t="str">
        <f t="shared" si="16"/>
        <v>Weekend</v>
      </c>
      <c r="O82" s="149">
        <f t="shared" si="17"/>
        <v>44089</v>
      </c>
    </row>
    <row r="83" spans="2:15" ht="14.25" customHeight="1">
      <c r="B83" s="115" t="s">
        <v>268</v>
      </c>
      <c r="C83" s="115" t="s">
        <v>625</v>
      </c>
      <c r="D83" s="115" t="s">
        <v>84</v>
      </c>
      <c r="E83" s="137">
        <v>30121</v>
      </c>
      <c r="F83" s="42">
        <v>40963</v>
      </c>
      <c r="G83" t="str">
        <f t="shared" si="10"/>
        <v>Fri</v>
      </c>
      <c r="H83" t="str">
        <f t="shared" si="11"/>
        <v>Feb</v>
      </c>
      <c r="I83">
        <f t="shared" ca="1" si="12"/>
        <v>13</v>
      </c>
      <c r="J83" t="str">
        <f t="shared" ca="1" si="13"/>
        <v>13 years 8 months 28 days</v>
      </c>
      <c r="K83" s="149">
        <f t="shared" si="14"/>
        <v>41023</v>
      </c>
      <c r="L83" s="149">
        <f t="shared" si="9"/>
        <v>41047</v>
      </c>
      <c r="M83" s="150">
        <f t="shared" si="15"/>
        <v>9</v>
      </c>
      <c r="N83" t="str">
        <f t="shared" si="16"/>
        <v>Weekday</v>
      </c>
      <c r="O83" s="149">
        <f t="shared" si="17"/>
        <v>42142</v>
      </c>
    </row>
    <row r="84" spans="2:15" ht="14.25" customHeight="1">
      <c r="B84" s="115" t="s">
        <v>270</v>
      </c>
      <c r="C84" s="115" t="s">
        <v>626</v>
      </c>
      <c r="D84" s="115" t="s">
        <v>84</v>
      </c>
      <c r="E84" s="137">
        <v>35656</v>
      </c>
      <c r="F84" s="42">
        <v>41864</v>
      </c>
      <c r="G84" t="str">
        <f t="shared" si="10"/>
        <v>Wed</v>
      </c>
      <c r="H84" t="str">
        <f t="shared" si="11"/>
        <v>Aug</v>
      </c>
      <c r="I84">
        <f t="shared" ca="1" si="12"/>
        <v>11</v>
      </c>
      <c r="J84" t="str">
        <f t="shared" ca="1" si="13"/>
        <v>11 years 3 months 8 days</v>
      </c>
      <c r="K84" s="149">
        <f t="shared" si="14"/>
        <v>41924</v>
      </c>
      <c r="L84" s="149">
        <f t="shared" si="9"/>
        <v>41948</v>
      </c>
      <c r="M84" s="150">
        <f t="shared" si="15"/>
        <v>33</v>
      </c>
      <c r="N84" t="str">
        <f t="shared" si="16"/>
        <v>Weekday</v>
      </c>
      <c r="O84" s="149">
        <f t="shared" si="17"/>
        <v>43044</v>
      </c>
    </row>
    <row r="85" spans="2:15" ht="14.25" customHeight="1">
      <c r="B85" s="115" t="s">
        <v>271</v>
      </c>
      <c r="C85" s="115" t="s">
        <v>627</v>
      </c>
      <c r="D85" s="115" t="s">
        <v>84</v>
      </c>
      <c r="E85" s="137">
        <v>18947</v>
      </c>
      <c r="F85" s="42">
        <v>40727</v>
      </c>
      <c r="G85" t="str">
        <f t="shared" si="10"/>
        <v>Sun</v>
      </c>
      <c r="H85" t="str">
        <f t="shared" si="11"/>
        <v>Jul</v>
      </c>
      <c r="I85">
        <f t="shared" ca="1" si="12"/>
        <v>14</v>
      </c>
      <c r="J85" t="str">
        <f t="shared" ca="1" si="13"/>
        <v>14 years 4 months 18 days</v>
      </c>
      <c r="K85" s="149">
        <f t="shared" si="14"/>
        <v>40787</v>
      </c>
      <c r="L85" s="149">
        <f t="shared" si="9"/>
        <v>40809</v>
      </c>
      <c r="M85" s="150">
        <f t="shared" si="15"/>
        <v>27</v>
      </c>
      <c r="N85" t="str">
        <f t="shared" si="16"/>
        <v>Weekend</v>
      </c>
      <c r="O85" s="149">
        <f t="shared" si="17"/>
        <v>41905</v>
      </c>
    </row>
    <row r="86" spans="2:15" ht="14.25" customHeight="1">
      <c r="B86" s="115" t="s">
        <v>271</v>
      </c>
      <c r="C86" s="115" t="s">
        <v>628</v>
      </c>
      <c r="D86" s="115" t="s">
        <v>87</v>
      </c>
      <c r="E86" s="137">
        <v>27020</v>
      </c>
      <c r="F86" s="42">
        <v>42976</v>
      </c>
      <c r="G86" t="str">
        <f t="shared" si="10"/>
        <v>Tue</v>
      </c>
      <c r="H86" t="str">
        <f t="shared" si="11"/>
        <v>Aug</v>
      </c>
      <c r="I86">
        <f t="shared" ca="1" si="12"/>
        <v>8</v>
      </c>
      <c r="J86" t="str">
        <f t="shared" ca="1" si="13"/>
        <v>8 years 2 months 23 days</v>
      </c>
      <c r="K86" s="149">
        <f t="shared" si="14"/>
        <v>43036</v>
      </c>
      <c r="L86" s="149">
        <f t="shared" si="9"/>
        <v>43060</v>
      </c>
      <c r="M86" s="150">
        <f t="shared" si="15"/>
        <v>36</v>
      </c>
      <c r="N86" t="str">
        <f t="shared" si="16"/>
        <v>Weekday</v>
      </c>
      <c r="O86" s="149">
        <f t="shared" si="17"/>
        <v>44156</v>
      </c>
    </row>
    <row r="87" spans="2:15" ht="14.25" customHeight="1">
      <c r="B87" s="115" t="s">
        <v>268</v>
      </c>
      <c r="C87" s="115" t="s">
        <v>629</v>
      </c>
      <c r="D87" s="115" t="s">
        <v>84</v>
      </c>
      <c r="E87" s="137">
        <v>21061</v>
      </c>
      <c r="F87" s="42">
        <v>41542</v>
      </c>
      <c r="G87" t="str">
        <f t="shared" si="10"/>
        <v>Wed</v>
      </c>
      <c r="H87" t="str">
        <f t="shared" si="11"/>
        <v>Sep</v>
      </c>
      <c r="I87">
        <f t="shared" ca="1" si="12"/>
        <v>12</v>
      </c>
      <c r="J87" t="str">
        <f t="shared" ca="1" si="13"/>
        <v>12 years 1 months 27 days</v>
      </c>
      <c r="K87" s="149">
        <f t="shared" si="14"/>
        <v>41602</v>
      </c>
      <c r="L87" s="149">
        <f t="shared" si="9"/>
        <v>41626</v>
      </c>
      <c r="M87" s="150">
        <f t="shared" si="15"/>
        <v>39</v>
      </c>
      <c r="N87" t="str">
        <f t="shared" si="16"/>
        <v>Weekday</v>
      </c>
      <c r="O87" s="149">
        <f t="shared" si="17"/>
        <v>42722</v>
      </c>
    </row>
    <row r="88" spans="2:15" ht="14.25" customHeight="1">
      <c r="B88" s="115" t="s">
        <v>271</v>
      </c>
      <c r="C88" s="115" t="s">
        <v>630</v>
      </c>
      <c r="D88" s="115" t="s">
        <v>87</v>
      </c>
      <c r="E88" s="137">
        <v>27079</v>
      </c>
      <c r="F88" s="42">
        <v>44683</v>
      </c>
      <c r="G88" t="str">
        <f t="shared" si="10"/>
        <v>Mon</v>
      </c>
      <c r="H88" t="str">
        <f t="shared" si="11"/>
        <v>May</v>
      </c>
      <c r="I88">
        <f t="shared" ca="1" si="12"/>
        <v>3</v>
      </c>
      <c r="J88" t="str">
        <f t="shared" ca="1" si="13"/>
        <v>3 years 6 months 19 days</v>
      </c>
      <c r="K88" s="149">
        <f t="shared" si="14"/>
        <v>44743</v>
      </c>
      <c r="L88" s="149">
        <f t="shared" si="9"/>
        <v>44767</v>
      </c>
      <c r="M88" s="150">
        <f t="shared" si="15"/>
        <v>19</v>
      </c>
      <c r="N88" t="str">
        <f t="shared" si="16"/>
        <v>Weekday</v>
      </c>
      <c r="O88" s="149">
        <f t="shared" si="17"/>
        <v>45863</v>
      </c>
    </row>
    <row r="89" spans="2:15" ht="14.25" customHeight="1">
      <c r="B89" s="115" t="s">
        <v>272</v>
      </c>
      <c r="C89" s="115" t="s">
        <v>631</v>
      </c>
      <c r="D89" s="115" t="s">
        <v>84</v>
      </c>
      <c r="E89" s="137">
        <v>23098</v>
      </c>
      <c r="F89" s="42">
        <v>42210</v>
      </c>
      <c r="G89" t="str">
        <f t="shared" si="10"/>
        <v>Sat</v>
      </c>
      <c r="H89" t="str">
        <f t="shared" si="11"/>
        <v>Jul</v>
      </c>
      <c r="I89">
        <f t="shared" ca="1" si="12"/>
        <v>10</v>
      </c>
      <c r="J89" t="str">
        <f t="shared" ca="1" si="13"/>
        <v>10 years 3 months 27 days</v>
      </c>
      <c r="K89" s="149">
        <f t="shared" si="14"/>
        <v>42270</v>
      </c>
      <c r="L89" s="149">
        <f t="shared" si="9"/>
        <v>42293</v>
      </c>
      <c r="M89" s="150">
        <f t="shared" si="15"/>
        <v>30</v>
      </c>
      <c r="N89" t="str">
        <f t="shared" si="16"/>
        <v>Weekend</v>
      </c>
      <c r="O89" s="149">
        <f t="shared" si="17"/>
        <v>43389</v>
      </c>
    </row>
    <row r="90" spans="2:15" ht="14.25" customHeight="1">
      <c r="B90" s="115" t="s">
        <v>271</v>
      </c>
      <c r="C90" s="115" t="s">
        <v>632</v>
      </c>
      <c r="D90" s="115" t="s">
        <v>84</v>
      </c>
      <c r="E90" s="137">
        <v>32095</v>
      </c>
      <c r="F90" s="42">
        <v>41832</v>
      </c>
      <c r="G90" t="str">
        <f t="shared" si="10"/>
        <v>Sat</v>
      </c>
      <c r="H90" t="str">
        <f t="shared" si="11"/>
        <v>Jul</v>
      </c>
      <c r="I90">
        <f t="shared" ca="1" si="12"/>
        <v>11</v>
      </c>
      <c r="J90" t="str">
        <f t="shared" ca="1" si="13"/>
        <v>11 years 4 months 9 days</v>
      </c>
      <c r="K90" s="149">
        <f t="shared" si="14"/>
        <v>41892</v>
      </c>
      <c r="L90" s="149">
        <f t="shared" si="9"/>
        <v>41915</v>
      </c>
      <c r="M90" s="150">
        <f t="shared" si="15"/>
        <v>28</v>
      </c>
      <c r="N90" t="str">
        <f t="shared" si="16"/>
        <v>Weekend</v>
      </c>
      <c r="O90" s="149">
        <f t="shared" si="17"/>
        <v>43011</v>
      </c>
    </row>
    <row r="91" spans="2:15" ht="14.25" customHeight="1">
      <c r="B91" s="115" t="s">
        <v>272</v>
      </c>
      <c r="C91" s="115" t="s">
        <v>633</v>
      </c>
      <c r="D91" s="115" t="s">
        <v>87</v>
      </c>
      <c r="E91" s="137">
        <v>26464</v>
      </c>
      <c r="F91" s="42">
        <v>40725</v>
      </c>
      <c r="G91" t="str">
        <f t="shared" si="10"/>
        <v>Fri</v>
      </c>
      <c r="H91" t="str">
        <f t="shared" si="11"/>
        <v>Jul</v>
      </c>
      <c r="I91">
        <f t="shared" ca="1" si="12"/>
        <v>14</v>
      </c>
      <c r="J91" t="str">
        <f t="shared" ca="1" si="13"/>
        <v>14 years 4 months 20 days</v>
      </c>
      <c r="K91" s="149">
        <f t="shared" si="14"/>
        <v>40785</v>
      </c>
      <c r="L91" s="149">
        <f t="shared" si="9"/>
        <v>40809</v>
      </c>
      <c r="M91" s="150">
        <f t="shared" si="15"/>
        <v>27</v>
      </c>
      <c r="N91" t="str">
        <f t="shared" si="16"/>
        <v>Weekday</v>
      </c>
      <c r="O91" s="149">
        <f t="shared" si="17"/>
        <v>41905</v>
      </c>
    </row>
    <row r="92" spans="2:15" ht="14.25" customHeight="1">
      <c r="B92" s="115" t="s">
        <v>268</v>
      </c>
      <c r="C92" s="115" t="s">
        <v>634</v>
      </c>
      <c r="D92" s="115" t="s">
        <v>84</v>
      </c>
      <c r="E92" s="137">
        <v>26471</v>
      </c>
      <c r="F92" s="42">
        <v>44492</v>
      </c>
      <c r="G92" t="str">
        <f t="shared" si="10"/>
        <v>Sat</v>
      </c>
      <c r="H92" t="str">
        <f t="shared" si="11"/>
        <v>Oct</v>
      </c>
      <c r="I92">
        <f t="shared" ca="1" si="12"/>
        <v>4</v>
      </c>
      <c r="J92" t="str">
        <f t="shared" ca="1" si="13"/>
        <v>4 years 0 months 29 days</v>
      </c>
      <c r="K92" s="149">
        <f t="shared" si="14"/>
        <v>44552</v>
      </c>
      <c r="L92" s="149">
        <f t="shared" si="9"/>
        <v>44575</v>
      </c>
      <c r="M92" s="150">
        <f t="shared" si="15"/>
        <v>43</v>
      </c>
      <c r="N92" t="str">
        <f t="shared" si="16"/>
        <v>Weekend</v>
      </c>
      <c r="O92" s="149">
        <f t="shared" si="17"/>
        <v>45671</v>
      </c>
    </row>
    <row r="93" spans="2:15" ht="14.25" customHeight="1">
      <c r="B93" s="115" t="s">
        <v>269</v>
      </c>
      <c r="C93" s="115" t="s">
        <v>635</v>
      </c>
      <c r="D93" s="115" t="s">
        <v>84</v>
      </c>
      <c r="E93" s="137">
        <v>23719</v>
      </c>
      <c r="F93" s="42">
        <v>44534</v>
      </c>
      <c r="G93" t="str">
        <f t="shared" si="10"/>
        <v>Sat</v>
      </c>
      <c r="H93" t="str">
        <f t="shared" si="11"/>
        <v>Dec</v>
      </c>
      <c r="I93">
        <f t="shared" ca="1" si="12"/>
        <v>3</v>
      </c>
      <c r="J93" t="str">
        <f t="shared" ca="1" si="13"/>
        <v>3 years 11 months 17 days</v>
      </c>
      <c r="K93" s="149">
        <f t="shared" si="14"/>
        <v>44594</v>
      </c>
      <c r="L93" s="149">
        <f t="shared" si="9"/>
        <v>44617</v>
      </c>
      <c r="M93" s="150">
        <f t="shared" si="15"/>
        <v>49</v>
      </c>
      <c r="N93" t="str">
        <f t="shared" si="16"/>
        <v>Weekend</v>
      </c>
      <c r="O93" s="149">
        <f t="shared" si="17"/>
        <v>45713</v>
      </c>
    </row>
    <row r="94" spans="2:15" ht="14.25" customHeight="1">
      <c r="B94" s="115" t="s">
        <v>271</v>
      </c>
      <c r="C94" s="115" t="s">
        <v>636</v>
      </c>
      <c r="D94" s="115" t="s">
        <v>87</v>
      </c>
      <c r="E94" s="137">
        <v>15340</v>
      </c>
      <c r="F94" s="42">
        <v>42944</v>
      </c>
      <c r="G94" t="str">
        <f t="shared" si="10"/>
        <v>Fri</v>
      </c>
      <c r="H94" t="str">
        <f t="shared" si="11"/>
        <v>Jul</v>
      </c>
      <c r="I94">
        <f t="shared" ca="1" si="12"/>
        <v>8</v>
      </c>
      <c r="J94" t="str">
        <f t="shared" ca="1" si="13"/>
        <v>8 years 3 months 24 days</v>
      </c>
      <c r="K94" s="149">
        <f t="shared" si="14"/>
        <v>43004</v>
      </c>
      <c r="L94" s="149">
        <f t="shared" si="9"/>
        <v>43028</v>
      </c>
      <c r="M94" s="150">
        <f t="shared" si="15"/>
        <v>31</v>
      </c>
      <c r="N94" t="str">
        <f t="shared" si="16"/>
        <v>Weekday</v>
      </c>
      <c r="O94" s="149">
        <f t="shared" si="17"/>
        <v>44124</v>
      </c>
    </row>
    <row r="95" spans="2:15" ht="14.25" customHeight="1">
      <c r="B95" s="115" t="s">
        <v>272</v>
      </c>
      <c r="C95" s="115" t="s">
        <v>637</v>
      </c>
      <c r="D95" s="115" t="s">
        <v>87</v>
      </c>
      <c r="E95" s="137">
        <v>35682</v>
      </c>
      <c r="F95" s="42">
        <v>42508</v>
      </c>
      <c r="G95" t="str">
        <f t="shared" si="10"/>
        <v>Wed</v>
      </c>
      <c r="H95" t="str">
        <f t="shared" si="11"/>
        <v>May</v>
      </c>
      <c r="I95">
        <f t="shared" ca="1" si="12"/>
        <v>9</v>
      </c>
      <c r="J95" t="str">
        <f t="shared" ca="1" si="13"/>
        <v>9 years 6 months 3 days</v>
      </c>
      <c r="K95" s="149">
        <f t="shared" si="14"/>
        <v>42568</v>
      </c>
      <c r="L95" s="149">
        <f t="shared" si="9"/>
        <v>42592</v>
      </c>
      <c r="M95" s="150">
        <f t="shared" si="15"/>
        <v>21</v>
      </c>
      <c r="N95" t="str">
        <f t="shared" si="16"/>
        <v>Weekday</v>
      </c>
      <c r="O95" s="149">
        <f t="shared" si="17"/>
        <v>43687</v>
      </c>
    </row>
    <row r="96" spans="2:15" ht="14.25" customHeight="1">
      <c r="B96" s="115" t="s">
        <v>270</v>
      </c>
      <c r="C96" s="115" t="s">
        <v>638</v>
      </c>
      <c r="D96" s="115" t="s">
        <v>84</v>
      </c>
      <c r="E96" s="137">
        <v>17389</v>
      </c>
      <c r="F96" s="42">
        <v>45188</v>
      </c>
      <c r="G96" t="str">
        <f t="shared" si="10"/>
        <v>Tue</v>
      </c>
      <c r="H96" t="str">
        <f t="shared" si="11"/>
        <v>Sep</v>
      </c>
      <c r="I96">
        <f t="shared" ca="1" si="12"/>
        <v>2</v>
      </c>
      <c r="J96" t="str">
        <f t="shared" ca="1" si="13"/>
        <v>2 years 2 months 2 days</v>
      </c>
      <c r="K96" s="149">
        <f t="shared" si="14"/>
        <v>45248</v>
      </c>
      <c r="L96" s="149">
        <f t="shared" si="9"/>
        <v>45272</v>
      </c>
      <c r="M96" s="150">
        <f t="shared" si="15"/>
        <v>39</v>
      </c>
      <c r="N96" t="str">
        <f t="shared" si="16"/>
        <v>Weekday</v>
      </c>
      <c r="O96" s="149">
        <f t="shared" si="17"/>
        <v>46368</v>
      </c>
    </row>
    <row r="97" spans="2:15" ht="14.25" customHeight="1">
      <c r="B97" s="115" t="s">
        <v>272</v>
      </c>
      <c r="C97" s="115" t="s">
        <v>639</v>
      </c>
      <c r="D97" s="115" t="s">
        <v>87</v>
      </c>
      <c r="E97" s="137">
        <v>35615</v>
      </c>
      <c r="F97" s="42">
        <v>45110</v>
      </c>
      <c r="G97" t="str">
        <f t="shared" si="10"/>
        <v>Mon</v>
      </c>
      <c r="H97" t="str">
        <f t="shared" si="11"/>
        <v>Jul</v>
      </c>
      <c r="I97">
        <f t="shared" ca="1" si="12"/>
        <v>2</v>
      </c>
      <c r="J97" t="str">
        <f t="shared" ca="1" si="13"/>
        <v>2 years 4 months 18 days</v>
      </c>
      <c r="K97" s="149">
        <f t="shared" si="14"/>
        <v>45170</v>
      </c>
      <c r="L97" s="149">
        <f t="shared" si="9"/>
        <v>45194</v>
      </c>
      <c r="M97" s="150">
        <f t="shared" si="15"/>
        <v>28</v>
      </c>
      <c r="N97" t="str">
        <f t="shared" si="16"/>
        <v>Weekday</v>
      </c>
      <c r="O97" s="149">
        <f t="shared" si="17"/>
        <v>46290</v>
      </c>
    </row>
    <row r="98" spans="2:15" ht="14.25" customHeight="1">
      <c r="B98" s="115" t="s">
        <v>269</v>
      </c>
      <c r="C98" s="115" t="s">
        <v>640</v>
      </c>
      <c r="D98" s="115" t="s">
        <v>84</v>
      </c>
      <c r="E98" s="137">
        <v>31273</v>
      </c>
      <c r="F98" s="42">
        <v>43255</v>
      </c>
      <c r="G98" t="str">
        <f t="shared" si="10"/>
        <v>Mon</v>
      </c>
      <c r="H98" t="str">
        <f t="shared" si="11"/>
        <v>Jun</v>
      </c>
      <c r="I98">
        <f t="shared" ca="1" si="12"/>
        <v>7</v>
      </c>
      <c r="J98" t="str">
        <f t="shared" ca="1" si="13"/>
        <v>7 years 5 months 17 days</v>
      </c>
      <c r="K98" s="149">
        <f t="shared" si="14"/>
        <v>43315</v>
      </c>
      <c r="L98" s="149">
        <f t="shared" si="9"/>
        <v>43339</v>
      </c>
      <c r="M98" s="150">
        <f t="shared" si="15"/>
        <v>23</v>
      </c>
      <c r="N98" t="str">
        <f t="shared" si="16"/>
        <v>Weekday</v>
      </c>
      <c r="O98" s="149">
        <f t="shared" si="17"/>
        <v>44435</v>
      </c>
    </row>
    <row r="99" spans="2:15" ht="14.25" customHeight="1">
      <c r="B99" s="115" t="s">
        <v>270</v>
      </c>
      <c r="C99" s="115" t="s">
        <v>641</v>
      </c>
      <c r="D99" s="115" t="s">
        <v>84</v>
      </c>
      <c r="E99" s="137">
        <v>23273</v>
      </c>
      <c r="F99" s="42">
        <v>44175</v>
      </c>
      <c r="G99" t="str">
        <f t="shared" si="10"/>
        <v>Thu</v>
      </c>
      <c r="H99" t="str">
        <f t="shared" si="11"/>
        <v>Dec</v>
      </c>
      <c r="I99">
        <f t="shared" ca="1" si="12"/>
        <v>4</v>
      </c>
      <c r="J99" t="str">
        <f t="shared" ca="1" si="13"/>
        <v>4 years 11 months 11 days</v>
      </c>
      <c r="K99" s="149">
        <f t="shared" si="14"/>
        <v>44235</v>
      </c>
      <c r="L99" s="149">
        <f t="shared" si="9"/>
        <v>44259</v>
      </c>
      <c r="M99" s="150">
        <f t="shared" si="15"/>
        <v>50</v>
      </c>
      <c r="N99" t="str">
        <f t="shared" si="16"/>
        <v>Weekday</v>
      </c>
      <c r="O99" s="149">
        <f t="shared" si="17"/>
        <v>45355</v>
      </c>
    </row>
    <row r="100" spans="2:15" ht="14.25" customHeight="1">
      <c r="B100" s="115" t="s">
        <v>272</v>
      </c>
      <c r="C100" s="115" t="s">
        <v>642</v>
      </c>
      <c r="D100" s="115" t="s">
        <v>87</v>
      </c>
      <c r="E100" s="137">
        <v>26137</v>
      </c>
      <c r="F100" s="42">
        <v>41325</v>
      </c>
      <c r="G100" t="str">
        <f t="shared" si="10"/>
        <v>Wed</v>
      </c>
      <c r="H100" t="str">
        <f t="shared" si="11"/>
        <v>Feb</v>
      </c>
      <c r="I100">
        <f t="shared" ca="1" si="12"/>
        <v>12</v>
      </c>
      <c r="J100" t="str">
        <f t="shared" ca="1" si="13"/>
        <v>12 years 9 months 1 days</v>
      </c>
      <c r="K100" s="149">
        <f t="shared" si="14"/>
        <v>41385</v>
      </c>
      <c r="L100" s="149">
        <f t="shared" si="9"/>
        <v>41409</v>
      </c>
      <c r="M100" s="150">
        <f t="shared" si="15"/>
        <v>8</v>
      </c>
      <c r="N100" t="str">
        <f t="shared" si="16"/>
        <v>Weekday</v>
      </c>
      <c r="O100" s="149">
        <f t="shared" si="17"/>
        <v>42505</v>
      </c>
    </row>
    <row r="101" spans="2:15" ht="14.25" customHeight="1">
      <c r="B101" s="115" t="s">
        <v>270</v>
      </c>
      <c r="C101" s="115" t="s">
        <v>643</v>
      </c>
      <c r="D101" s="115" t="s">
        <v>87</v>
      </c>
      <c r="E101" s="137">
        <v>18170</v>
      </c>
      <c r="F101" s="42">
        <v>45163</v>
      </c>
      <c r="G101" t="str">
        <f t="shared" si="10"/>
        <v>Fri</v>
      </c>
      <c r="H101" t="str">
        <f t="shared" si="11"/>
        <v>Aug</v>
      </c>
      <c r="I101">
        <f t="shared" ca="1" si="12"/>
        <v>2</v>
      </c>
      <c r="J101" t="str">
        <f t="shared" ca="1" si="13"/>
        <v>2 years 2 months 27 days</v>
      </c>
      <c r="K101" s="149">
        <f t="shared" si="14"/>
        <v>45223</v>
      </c>
      <c r="L101" s="149">
        <f t="shared" si="9"/>
        <v>45247</v>
      </c>
      <c r="M101" s="150">
        <f t="shared" si="15"/>
        <v>35</v>
      </c>
      <c r="N101" t="str">
        <f t="shared" si="16"/>
        <v>Weekday</v>
      </c>
      <c r="O101" s="149">
        <f t="shared" si="17"/>
        <v>46343</v>
      </c>
    </row>
    <row r="102" spans="2:15" ht="14.25" customHeight="1">
      <c r="B102" s="115" t="s">
        <v>271</v>
      </c>
      <c r="C102" s="115" t="s">
        <v>644</v>
      </c>
      <c r="D102" s="115" t="s">
        <v>87</v>
      </c>
      <c r="E102" s="137">
        <v>18074</v>
      </c>
      <c r="F102" s="42">
        <v>43773</v>
      </c>
      <c r="G102" t="str">
        <f t="shared" si="10"/>
        <v>Mon</v>
      </c>
      <c r="H102" t="str">
        <f t="shared" si="11"/>
        <v>Nov</v>
      </c>
      <c r="I102">
        <f t="shared" ca="1" si="12"/>
        <v>6</v>
      </c>
      <c r="J102" t="str">
        <f t="shared" ca="1" si="13"/>
        <v>6 years 0 months 17 days</v>
      </c>
      <c r="K102" s="149">
        <f t="shared" si="14"/>
        <v>43833</v>
      </c>
      <c r="L102" s="149">
        <f t="shared" si="9"/>
        <v>43857</v>
      </c>
      <c r="M102" s="150">
        <f t="shared" si="15"/>
        <v>45</v>
      </c>
      <c r="N102" t="str">
        <f t="shared" si="16"/>
        <v>Weekday</v>
      </c>
      <c r="O102" s="149">
        <f t="shared" si="17"/>
        <v>44953</v>
      </c>
    </row>
    <row r="103" spans="2:15" ht="14.25" customHeight="1">
      <c r="B103" s="115" t="s">
        <v>272</v>
      </c>
      <c r="C103" s="115" t="s">
        <v>645</v>
      </c>
      <c r="D103" s="115" t="s">
        <v>84</v>
      </c>
      <c r="E103" s="137">
        <v>30677</v>
      </c>
      <c r="F103" s="42">
        <v>42615</v>
      </c>
      <c r="G103" t="str">
        <f t="shared" si="10"/>
        <v>Fri</v>
      </c>
      <c r="H103" t="str">
        <f t="shared" si="11"/>
        <v>Sep</v>
      </c>
      <c r="I103">
        <f t="shared" ca="1" si="12"/>
        <v>9</v>
      </c>
      <c r="J103" t="str">
        <f t="shared" ca="1" si="13"/>
        <v>9 years 2 months 19 days</v>
      </c>
      <c r="K103" s="149">
        <f t="shared" si="14"/>
        <v>42675</v>
      </c>
      <c r="L103" s="149">
        <f t="shared" si="9"/>
        <v>42699</v>
      </c>
      <c r="M103" s="150">
        <f t="shared" si="15"/>
        <v>36</v>
      </c>
      <c r="N103" t="str">
        <f t="shared" si="16"/>
        <v>Weekday</v>
      </c>
      <c r="O103" s="149">
        <f t="shared" si="17"/>
        <v>43794</v>
      </c>
    </row>
    <row r="104" spans="2:15" ht="14.25" customHeight="1">
      <c r="B104" s="115" t="s">
        <v>269</v>
      </c>
      <c r="C104" s="115" t="s">
        <v>646</v>
      </c>
      <c r="D104" s="115" t="s">
        <v>84</v>
      </c>
      <c r="E104" s="137">
        <v>18225</v>
      </c>
      <c r="F104" s="42">
        <v>44368</v>
      </c>
      <c r="G104" t="str">
        <f t="shared" si="10"/>
        <v>Mon</v>
      </c>
      <c r="H104" t="str">
        <f t="shared" si="11"/>
        <v>Jun</v>
      </c>
      <c r="I104">
        <f t="shared" ca="1" si="12"/>
        <v>4</v>
      </c>
      <c r="J104" t="str">
        <f t="shared" ca="1" si="13"/>
        <v>4 years 5 months 0 days</v>
      </c>
      <c r="K104" s="149">
        <f t="shared" si="14"/>
        <v>44428</v>
      </c>
      <c r="L104" s="149">
        <f t="shared" si="9"/>
        <v>44452</v>
      </c>
      <c r="M104" s="150">
        <f t="shared" si="15"/>
        <v>26</v>
      </c>
      <c r="N104" t="str">
        <f t="shared" si="16"/>
        <v>Weekday</v>
      </c>
      <c r="O104" s="149">
        <f t="shared" si="17"/>
        <v>45548</v>
      </c>
    </row>
    <row r="105" spans="2:15" ht="14.25" customHeight="1">
      <c r="B105" s="115" t="s">
        <v>272</v>
      </c>
      <c r="C105" s="115" t="s">
        <v>647</v>
      </c>
      <c r="D105" s="115" t="s">
        <v>84</v>
      </c>
      <c r="E105" s="137">
        <v>20699</v>
      </c>
      <c r="F105" s="42">
        <v>43158</v>
      </c>
      <c r="G105" t="str">
        <f t="shared" si="10"/>
        <v>Tue</v>
      </c>
      <c r="H105" t="str">
        <f t="shared" si="11"/>
        <v>Feb</v>
      </c>
      <c r="I105">
        <f t="shared" ca="1" si="12"/>
        <v>7</v>
      </c>
      <c r="J105" t="str">
        <f t="shared" ca="1" si="13"/>
        <v>7 years 8 months 25 days</v>
      </c>
      <c r="K105" s="149">
        <f t="shared" si="14"/>
        <v>43218</v>
      </c>
      <c r="L105" s="149">
        <f t="shared" si="9"/>
        <v>43242</v>
      </c>
      <c r="M105" s="150">
        <f t="shared" si="15"/>
        <v>9</v>
      </c>
      <c r="N105" t="str">
        <f t="shared" si="16"/>
        <v>Weekday</v>
      </c>
      <c r="O105" s="149">
        <f t="shared" si="17"/>
        <v>44338</v>
      </c>
    </row>
    <row r="106" spans="2:15" ht="14.25" customHeight="1">
      <c r="B106" s="115" t="s">
        <v>271</v>
      </c>
      <c r="C106" s="115" t="s">
        <v>648</v>
      </c>
      <c r="D106" s="115" t="s">
        <v>87</v>
      </c>
      <c r="E106" s="137">
        <v>23276</v>
      </c>
      <c r="F106" s="42">
        <v>41931</v>
      </c>
      <c r="G106" t="str">
        <f t="shared" si="10"/>
        <v>Sun</v>
      </c>
      <c r="H106" t="str">
        <f t="shared" si="11"/>
        <v>Oct</v>
      </c>
      <c r="I106">
        <f t="shared" ca="1" si="12"/>
        <v>11</v>
      </c>
      <c r="J106" t="str">
        <f t="shared" ca="1" si="13"/>
        <v>11 years 1 months 2 days</v>
      </c>
      <c r="K106" s="149">
        <f t="shared" si="14"/>
        <v>41991</v>
      </c>
      <c r="L106" s="149">
        <f t="shared" si="9"/>
        <v>42013</v>
      </c>
      <c r="M106" s="150">
        <f t="shared" si="15"/>
        <v>42</v>
      </c>
      <c r="N106" t="str">
        <f t="shared" si="16"/>
        <v>Weekend</v>
      </c>
      <c r="O106" s="149">
        <f t="shared" si="17"/>
        <v>43109</v>
      </c>
    </row>
    <row r="107" spans="2:15" ht="14.25" customHeight="1">
      <c r="B107" s="115" t="s">
        <v>272</v>
      </c>
      <c r="C107" s="115" t="s">
        <v>649</v>
      </c>
      <c r="D107" s="115" t="s">
        <v>84</v>
      </c>
      <c r="E107" s="137">
        <v>32846</v>
      </c>
      <c r="F107" s="42">
        <v>45145</v>
      </c>
      <c r="G107" t="str">
        <f t="shared" si="10"/>
        <v>Mon</v>
      </c>
      <c r="H107" t="str">
        <f t="shared" si="11"/>
        <v>Aug</v>
      </c>
      <c r="I107">
        <f t="shared" ca="1" si="12"/>
        <v>2</v>
      </c>
      <c r="J107" t="str">
        <f t="shared" ca="1" si="13"/>
        <v>2 years 3 months 14 days</v>
      </c>
      <c r="K107" s="149">
        <f t="shared" si="14"/>
        <v>45205</v>
      </c>
      <c r="L107" s="149">
        <f t="shared" si="9"/>
        <v>45229</v>
      </c>
      <c r="M107" s="150">
        <f t="shared" si="15"/>
        <v>33</v>
      </c>
      <c r="N107" t="str">
        <f t="shared" si="16"/>
        <v>Weekday</v>
      </c>
      <c r="O107" s="149">
        <f t="shared" si="17"/>
        <v>46325</v>
      </c>
    </row>
    <row r="108" spans="2:15" ht="14.25" customHeight="1">
      <c r="B108" s="115" t="s">
        <v>269</v>
      </c>
      <c r="C108" s="115" t="s">
        <v>650</v>
      </c>
      <c r="D108" s="115" t="s">
        <v>84</v>
      </c>
      <c r="E108" s="137">
        <v>20299</v>
      </c>
      <c r="F108" s="42">
        <v>43128</v>
      </c>
      <c r="G108" t="str">
        <f t="shared" si="10"/>
        <v>Sun</v>
      </c>
      <c r="H108" t="str">
        <f t="shared" si="11"/>
        <v>Jan</v>
      </c>
      <c r="I108">
        <f t="shared" ca="1" si="12"/>
        <v>7</v>
      </c>
      <c r="J108" t="str">
        <f t="shared" ca="1" si="13"/>
        <v>7 years 9 months 24 days</v>
      </c>
      <c r="K108" s="149">
        <f t="shared" si="14"/>
        <v>43188</v>
      </c>
      <c r="L108" s="149">
        <f t="shared" si="9"/>
        <v>43210</v>
      </c>
      <c r="M108" s="150">
        <f t="shared" si="15"/>
        <v>4</v>
      </c>
      <c r="N108" t="str">
        <f t="shared" si="16"/>
        <v>Weekend</v>
      </c>
      <c r="O108" s="149">
        <f t="shared" si="17"/>
        <v>44306</v>
      </c>
    </row>
    <row r="109" spans="2:15" ht="14.25" customHeight="1">
      <c r="B109" s="115" t="s">
        <v>268</v>
      </c>
      <c r="C109" s="115" t="s">
        <v>651</v>
      </c>
      <c r="D109" s="115" t="s">
        <v>84</v>
      </c>
      <c r="E109" s="137">
        <v>32485</v>
      </c>
      <c r="F109" s="42">
        <v>41347</v>
      </c>
      <c r="G109" t="str">
        <f t="shared" si="10"/>
        <v>Thu</v>
      </c>
      <c r="H109" t="str">
        <f t="shared" si="11"/>
        <v>Mar</v>
      </c>
      <c r="I109">
        <f t="shared" ca="1" si="12"/>
        <v>12</v>
      </c>
      <c r="J109" t="str">
        <f t="shared" ca="1" si="13"/>
        <v>12 years 8 months 7 days</v>
      </c>
      <c r="K109" s="149">
        <f t="shared" si="14"/>
        <v>41407</v>
      </c>
      <c r="L109" s="149">
        <f t="shared" si="9"/>
        <v>41431</v>
      </c>
      <c r="M109" s="150">
        <f t="shared" si="15"/>
        <v>11</v>
      </c>
      <c r="N109" t="str">
        <f t="shared" si="16"/>
        <v>Weekday</v>
      </c>
      <c r="O109" s="149">
        <f t="shared" si="17"/>
        <v>42527</v>
      </c>
    </row>
    <row r="110" spans="2:15" ht="14.25" customHeight="1">
      <c r="B110" s="115" t="s">
        <v>270</v>
      </c>
      <c r="C110" s="115" t="s">
        <v>652</v>
      </c>
      <c r="D110" s="115" t="s">
        <v>84</v>
      </c>
      <c r="E110" s="137">
        <v>33007</v>
      </c>
      <c r="F110" s="42">
        <v>41146</v>
      </c>
      <c r="G110" t="str">
        <f t="shared" si="10"/>
        <v>Sat</v>
      </c>
      <c r="H110" t="str">
        <f t="shared" si="11"/>
        <v>Aug</v>
      </c>
      <c r="I110">
        <f t="shared" ca="1" si="12"/>
        <v>13</v>
      </c>
      <c r="J110" t="str">
        <f t="shared" ca="1" si="13"/>
        <v>13 years 2 months 27 days</v>
      </c>
      <c r="K110" s="149">
        <f t="shared" si="14"/>
        <v>41206</v>
      </c>
      <c r="L110" s="149">
        <f t="shared" si="9"/>
        <v>41229</v>
      </c>
      <c r="M110" s="150">
        <f t="shared" si="15"/>
        <v>35</v>
      </c>
      <c r="N110" t="str">
        <f t="shared" si="16"/>
        <v>Weekend</v>
      </c>
      <c r="O110" s="149">
        <f t="shared" si="17"/>
        <v>42324</v>
      </c>
    </row>
    <row r="111" spans="2:15" ht="14.25" customHeight="1">
      <c r="B111" s="115" t="s">
        <v>270</v>
      </c>
      <c r="C111" s="115" t="s">
        <v>653</v>
      </c>
      <c r="D111" s="115" t="s">
        <v>84</v>
      </c>
      <c r="E111" s="137">
        <v>26751</v>
      </c>
      <c r="F111" s="42">
        <v>41831</v>
      </c>
      <c r="G111" t="str">
        <f t="shared" si="10"/>
        <v>Fri</v>
      </c>
      <c r="H111" t="str">
        <f t="shared" si="11"/>
        <v>Jul</v>
      </c>
      <c r="I111">
        <f t="shared" ca="1" si="12"/>
        <v>11</v>
      </c>
      <c r="J111" t="str">
        <f t="shared" ca="1" si="13"/>
        <v>11 years 4 months 10 days</v>
      </c>
      <c r="K111" s="149">
        <f t="shared" si="14"/>
        <v>41891</v>
      </c>
      <c r="L111" s="149">
        <f t="shared" si="9"/>
        <v>41915</v>
      </c>
      <c r="M111" s="150">
        <f t="shared" si="15"/>
        <v>28</v>
      </c>
      <c r="N111" t="str">
        <f t="shared" si="16"/>
        <v>Weekday</v>
      </c>
      <c r="O111" s="149">
        <f t="shared" si="17"/>
        <v>43011</v>
      </c>
    </row>
    <row r="112" spans="2:15" ht="14.25" customHeight="1">
      <c r="B112" s="115" t="s">
        <v>270</v>
      </c>
      <c r="C112" s="115" t="s">
        <v>654</v>
      </c>
      <c r="D112" s="115" t="s">
        <v>87</v>
      </c>
      <c r="E112" s="137">
        <v>35044</v>
      </c>
      <c r="F112" s="42">
        <v>45158</v>
      </c>
      <c r="G112" t="str">
        <f t="shared" si="10"/>
        <v>Sun</v>
      </c>
      <c r="H112" t="str">
        <f t="shared" si="11"/>
        <v>Aug</v>
      </c>
      <c r="I112">
        <f t="shared" ca="1" si="12"/>
        <v>2</v>
      </c>
      <c r="J112" t="str">
        <f t="shared" ca="1" si="13"/>
        <v>2 years 3 months 1 days</v>
      </c>
      <c r="K112" s="149">
        <f t="shared" si="14"/>
        <v>45218</v>
      </c>
      <c r="L112" s="149">
        <f t="shared" si="9"/>
        <v>45240</v>
      </c>
      <c r="M112" s="150">
        <f t="shared" si="15"/>
        <v>34</v>
      </c>
      <c r="N112" t="str">
        <f t="shared" si="16"/>
        <v>Weekend</v>
      </c>
      <c r="O112" s="149">
        <f t="shared" si="17"/>
        <v>46336</v>
      </c>
    </row>
    <row r="113" spans="2:15" ht="14.25" customHeight="1">
      <c r="B113" s="115" t="s">
        <v>270</v>
      </c>
      <c r="C113" s="115" t="s">
        <v>655</v>
      </c>
      <c r="D113" s="115" t="s">
        <v>84</v>
      </c>
      <c r="E113" s="137">
        <v>31100</v>
      </c>
      <c r="F113" s="42">
        <v>41612</v>
      </c>
      <c r="G113" t="str">
        <f t="shared" si="10"/>
        <v>Wed</v>
      </c>
      <c r="H113" t="str">
        <f t="shared" si="11"/>
        <v>Dec</v>
      </c>
      <c r="I113">
        <f t="shared" ca="1" si="12"/>
        <v>11</v>
      </c>
      <c r="J113" t="str">
        <f t="shared" ca="1" si="13"/>
        <v>11 years 11 months 17 days</v>
      </c>
      <c r="K113" s="149">
        <f t="shared" si="14"/>
        <v>41672</v>
      </c>
      <c r="L113" s="149">
        <f t="shared" si="9"/>
        <v>41696</v>
      </c>
      <c r="M113" s="150">
        <f t="shared" si="15"/>
        <v>49</v>
      </c>
      <c r="N113" t="str">
        <f t="shared" si="16"/>
        <v>Weekday</v>
      </c>
      <c r="O113" s="149">
        <f t="shared" si="17"/>
        <v>42792</v>
      </c>
    </row>
    <row r="114" spans="2:15" ht="14.25" customHeight="1">
      <c r="B114" s="115" t="s">
        <v>271</v>
      </c>
      <c r="C114" s="115" t="s">
        <v>656</v>
      </c>
      <c r="D114" s="115" t="s">
        <v>84</v>
      </c>
      <c r="E114" s="137">
        <v>27303</v>
      </c>
      <c r="F114" s="42">
        <v>43074</v>
      </c>
      <c r="G114" t="str">
        <f t="shared" si="10"/>
        <v>Tue</v>
      </c>
      <c r="H114" t="str">
        <f t="shared" si="11"/>
        <v>Dec</v>
      </c>
      <c r="I114">
        <f t="shared" ca="1" si="12"/>
        <v>7</v>
      </c>
      <c r="J114" t="str">
        <f t="shared" ca="1" si="13"/>
        <v>7 years 11 months 16 days</v>
      </c>
      <c r="K114" s="149">
        <f t="shared" si="14"/>
        <v>43134</v>
      </c>
      <c r="L114" s="149">
        <f t="shared" si="9"/>
        <v>43158</v>
      </c>
      <c r="M114" s="150">
        <f t="shared" si="15"/>
        <v>50</v>
      </c>
      <c r="N114" t="str">
        <f t="shared" si="16"/>
        <v>Weekday</v>
      </c>
      <c r="O114" s="149">
        <f t="shared" si="17"/>
        <v>44254</v>
      </c>
    </row>
    <row r="115" spans="2:15" ht="14.25" customHeight="1">
      <c r="B115" s="115" t="s">
        <v>269</v>
      </c>
      <c r="C115" s="115" t="s">
        <v>657</v>
      </c>
      <c r="D115" s="115" t="s">
        <v>84</v>
      </c>
      <c r="E115" s="137">
        <v>28130</v>
      </c>
      <c r="F115" s="42">
        <v>43233</v>
      </c>
      <c r="G115" t="str">
        <f t="shared" si="10"/>
        <v>Sun</v>
      </c>
      <c r="H115" t="str">
        <f t="shared" si="11"/>
        <v>May</v>
      </c>
      <c r="I115">
        <f t="shared" ca="1" si="12"/>
        <v>7</v>
      </c>
      <c r="J115" t="str">
        <f t="shared" ca="1" si="13"/>
        <v>7 years 6 months 8 days</v>
      </c>
      <c r="K115" s="149">
        <f t="shared" si="14"/>
        <v>43293</v>
      </c>
      <c r="L115" s="149">
        <f t="shared" si="9"/>
        <v>43315</v>
      </c>
      <c r="M115" s="150">
        <f t="shared" si="15"/>
        <v>19</v>
      </c>
      <c r="N115" t="str">
        <f t="shared" si="16"/>
        <v>Weekend</v>
      </c>
      <c r="O115" s="149">
        <f t="shared" si="17"/>
        <v>44411</v>
      </c>
    </row>
    <row r="116" spans="2:15" ht="14.25" customHeight="1">
      <c r="B116" s="115" t="s">
        <v>270</v>
      </c>
      <c r="C116" s="115" t="s">
        <v>658</v>
      </c>
      <c r="D116" s="115" t="s">
        <v>87</v>
      </c>
      <c r="E116" s="137">
        <v>25154</v>
      </c>
      <c r="F116" s="42">
        <v>40931</v>
      </c>
      <c r="G116" t="str">
        <f t="shared" si="10"/>
        <v>Mon</v>
      </c>
      <c r="H116" t="str">
        <f t="shared" si="11"/>
        <v>Jan</v>
      </c>
      <c r="I116">
        <f t="shared" ca="1" si="12"/>
        <v>13</v>
      </c>
      <c r="J116" t="str">
        <f t="shared" ca="1" si="13"/>
        <v>13 years 9 months 29 days</v>
      </c>
      <c r="K116" s="149">
        <f t="shared" si="14"/>
        <v>40991</v>
      </c>
      <c r="L116" s="149">
        <f t="shared" si="9"/>
        <v>41015</v>
      </c>
      <c r="M116" s="150">
        <f t="shared" si="15"/>
        <v>5</v>
      </c>
      <c r="N116" t="str">
        <f t="shared" si="16"/>
        <v>Weekday</v>
      </c>
      <c r="O116" s="149">
        <f t="shared" si="17"/>
        <v>42110</v>
      </c>
    </row>
    <row r="117" spans="2:15" ht="14.25" customHeight="1">
      <c r="B117" s="115" t="s">
        <v>271</v>
      </c>
      <c r="C117" s="115" t="s">
        <v>659</v>
      </c>
      <c r="D117" s="115" t="s">
        <v>87</v>
      </c>
      <c r="E117" s="137">
        <v>32143</v>
      </c>
      <c r="F117" s="42">
        <v>42994</v>
      </c>
      <c r="G117" t="str">
        <f t="shared" si="10"/>
        <v>Sat</v>
      </c>
      <c r="H117" t="str">
        <f t="shared" si="11"/>
        <v>Sep</v>
      </c>
      <c r="I117">
        <f t="shared" ca="1" si="12"/>
        <v>8</v>
      </c>
      <c r="J117" t="str">
        <f t="shared" ca="1" si="13"/>
        <v>8 years 2 months 5 days</v>
      </c>
      <c r="K117" s="149">
        <f t="shared" si="14"/>
        <v>43054</v>
      </c>
      <c r="L117" s="149">
        <f t="shared" si="9"/>
        <v>43077</v>
      </c>
      <c r="M117" s="150">
        <f t="shared" si="15"/>
        <v>38</v>
      </c>
      <c r="N117" t="str">
        <f t="shared" si="16"/>
        <v>Weekend</v>
      </c>
      <c r="O117" s="149">
        <f t="shared" si="17"/>
        <v>44173</v>
      </c>
    </row>
    <row r="118" spans="2:15" ht="14.25" customHeight="1">
      <c r="B118" s="115" t="s">
        <v>269</v>
      </c>
      <c r="C118" s="115" t="s">
        <v>660</v>
      </c>
      <c r="D118" s="115" t="s">
        <v>84</v>
      </c>
      <c r="E118" s="137">
        <v>17289</v>
      </c>
      <c r="F118" s="42">
        <v>44131</v>
      </c>
      <c r="G118" t="str">
        <f t="shared" si="10"/>
        <v>Tue</v>
      </c>
      <c r="H118" t="str">
        <f t="shared" si="11"/>
        <v>Oct</v>
      </c>
      <c r="I118">
        <f t="shared" ca="1" si="12"/>
        <v>5</v>
      </c>
      <c r="J118" t="str">
        <f t="shared" ca="1" si="13"/>
        <v>5 years 0 months 25 days</v>
      </c>
      <c r="K118" s="149">
        <f t="shared" si="14"/>
        <v>44191</v>
      </c>
      <c r="L118" s="149">
        <f t="shared" si="9"/>
        <v>44215</v>
      </c>
      <c r="M118" s="150">
        <f t="shared" si="15"/>
        <v>44</v>
      </c>
      <c r="N118" t="str">
        <f t="shared" si="16"/>
        <v>Weekday</v>
      </c>
      <c r="O118" s="149">
        <f t="shared" si="17"/>
        <v>45310</v>
      </c>
    </row>
    <row r="119" spans="2:15" ht="14.25" customHeight="1">
      <c r="B119" s="115" t="s">
        <v>272</v>
      </c>
      <c r="C119" s="115" t="s">
        <v>661</v>
      </c>
      <c r="D119" s="115" t="s">
        <v>87</v>
      </c>
      <c r="E119" s="137">
        <v>21306</v>
      </c>
      <c r="F119" s="42">
        <v>40615</v>
      </c>
      <c r="G119" t="str">
        <f t="shared" si="10"/>
        <v>Sun</v>
      </c>
      <c r="H119" t="str">
        <f t="shared" si="11"/>
        <v>Mar</v>
      </c>
      <c r="I119">
        <f t="shared" ca="1" si="12"/>
        <v>14</v>
      </c>
      <c r="J119" t="str">
        <f t="shared" ca="1" si="13"/>
        <v>14 years 8 months 8 days</v>
      </c>
      <c r="K119" s="149">
        <f t="shared" si="14"/>
        <v>40675</v>
      </c>
      <c r="L119" s="149">
        <f t="shared" si="9"/>
        <v>40697</v>
      </c>
      <c r="M119" s="150">
        <f t="shared" si="15"/>
        <v>11</v>
      </c>
      <c r="N119" t="str">
        <f t="shared" si="16"/>
        <v>Weekend</v>
      </c>
      <c r="O119" s="149">
        <f t="shared" si="17"/>
        <v>41793</v>
      </c>
    </row>
    <row r="120" spans="2:15" ht="14.25" customHeight="1">
      <c r="B120" s="115" t="s">
        <v>270</v>
      </c>
      <c r="C120" s="115" t="s">
        <v>662</v>
      </c>
      <c r="D120" s="115" t="s">
        <v>87</v>
      </c>
      <c r="E120" s="137">
        <v>25790</v>
      </c>
      <c r="F120" s="42">
        <v>42480</v>
      </c>
      <c r="G120" t="str">
        <f t="shared" si="10"/>
        <v>Wed</v>
      </c>
      <c r="H120" t="str">
        <f t="shared" si="11"/>
        <v>Apr</v>
      </c>
      <c r="I120">
        <f t="shared" ca="1" si="12"/>
        <v>9</v>
      </c>
      <c r="J120" t="str">
        <f t="shared" ca="1" si="13"/>
        <v>9 years 7 months 1 days</v>
      </c>
      <c r="K120" s="149">
        <f t="shared" si="14"/>
        <v>42540</v>
      </c>
      <c r="L120" s="149">
        <f t="shared" si="9"/>
        <v>42564</v>
      </c>
      <c r="M120" s="150">
        <f t="shared" si="15"/>
        <v>17</v>
      </c>
      <c r="N120" t="str">
        <f t="shared" si="16"/>
        <v>Weekday</v>
      </c>
      <c r="O120" s="149">
        <f t="shared" si="17"/>
        <v>43659</v>
      </c>
    </row>
    <row r="121" spans="2:15" ht="14.25" customHeight="1">
      <c r="B121" s="115" t="s">
        <v>272</v>
      </c>
      <c r="C121" s="115" t="s">
        <v>663</v>
      </c>
      <c r="D121" s="115" t="s">
        <v>87</v>
      </c>
      <c r="E121" s="137">
        <v>25032</v>
      </c>
      <c r="F121" s="42">
        <v>45002</v>
      </c>
      <c r="G121" t="str">
        <f t="shared" si="10"/>
        <v>Fri</v>
      </c>
      <c r="H121" t="str">
        <f t="shared" si="11"/>
        <v>Mar</v>
      </c>
      <c r="I121">
        <f t="shared" ca="1" si="12"/>
        <v>2</v>
      </c>
      <c r="J121" t="str">
        <f t="shared" ca="1" si="13"/>
        <v>2 years 8 months 4 days</v>
      </c>
      <c r="K121" s="149">
        <f t="shared" si="14"/>
        <v>45062</v>
      </c>
      <c r="L121" s="149">
        <f t="shared" si="9"/>
        <v>45086</v>
      </c>
      <c r="M121" s="150">
        <f t="shared" si="15"/>
        <v>12</v>
      </c>
      <c r="N121" t="str">
        <f t="shared" si="16"/>
        <v>Weekday</v>
      </c>
      <c r="O121" s="149">
        <f t="shared" si="17"/>
        <v>46182</v>
      </c>
    </row>
    <row r="122" spans="2:15" ht="14.25" customHeight="1">
      <c r="B122" s="115" t="s">
        <v>272</v>
      </c>
      <c r="C122" s="115" t="s">
        <v>664</v>
      </c>
      <c r="D122" s="115" t="s">
        <v>84</v>
      </c>
      <c r="E122" s="137">
        <v>31688</v>
      </c>
      <c r="F122" s="42">
        <v>44794</v>
      </c>
      <c r="G122" t="str">
        <f t="shared" si="10"/>
        <v>Sun</v>
      </c>
      <c r="H122" t="str">
        <f t="shared" si="11"/>
        <v>Aug</v>
      </c>
      <c r="I122">
        <f t="shared" ca="1" si="12"/>
        <v>3</v>
      </c>
      <c r="J122" t="str">
        <f t="shared" ca="1" si="13"/>
        <v>3 years 3 months 0 days</v>
      </c>
      <c r="K122" s="149">
        <f t="shared" si="14"/>
        <v>44854</v>
      </c>
      <c r="L122" s="149">
        <f t="shared" si="9"/>
        <v>44876</v>
      </c>
      <c r="M122" s="150">
        <f t="shared" si="15"/>
        <v>34</v>
      </c>
      <c r="N122" t="str">
        <f t="shared" si="16"/>
        <v>Weekend</v>
      </c>
      <c r="O122" s="149">
        <f t="shared" si="17"/>
        <v>45972</v>
      </c>
    </row>
    <row r="123" spans="2:15" ht="14.25" customHeight="1">
      <c r="B123" s="115" t="s">
        <v>268</v>
      </c>
      <c r="C123" s="115" t="s">
        <v>665</v>
      </c>
      <c r="D123" s="115" t="s">
        <v>84</v>
      </c>
      <c r="E123" s="137">
        <v>19620</v>
      </c>
      <c r="F123" s="42">
        <v>42024</v>
      </c>
      <c r="G123" t="str">
        <f t="shared" si="10"/>
        <v>Tue</v>
      </c>
      <c r="H123" t="str">
        <f t="shared" si="11"/>
        <v>Jan</v>
      </c>
      <c r="I123">
        <f t="shared" ca="1" si="12"/>
        <v>10</v>
      </c>
      <c r="J123" t="str">
        <f t="shared" ca="1" si="13"/>
        <v>10 years 10 months 1 days</v>
      </c>
      <c r="K123" s="149">
        <f t="shared" si="14"/>
        <v>42084</v>
      </c>
      <c r="L123" s="149">
        <f t="shared" si="9"/>
        <v>42108</v>
      </c>
      <c r="M123" s="150">
        <f t="shared" si="15"/>
        <v>4</v>
      </c>
      <c r="N123" t="str">
        <f t="shared" si="16"/>
        <v>Weekday</v>
      </c>
      <c r="O123" s="149">
        <f t="shared" si="17"/>
        <v>43204</v>
      </c>
    </row>
    <row r="124" spans="2:15" ht="14.25" customHeight="1">
      <c r="B124" s="115" t="s">
        <v>268</v>
      </c>
      <c r="C124" s="115" t="s">
        <v>666</v>
      </c>
      <c r="D124" s="115" t="s">
        <v>84</v>
      </c>
      <c r="E124" s="137">
        <v>23898</v>
      </c>
      <c r="F124" s="42">
        <v>43133</v>
      </c>
      <c r="G124" t="str">
        <f t="shared" si="10"/>
        <v>Fri</v>
      </c>
      <c r="H124" t="str">
        <f t="shared" si="11"/>
        <v>Feb</v>
      </c>
      <c r="I124">
        <f t="shared" ca="1" si="12"/>
        <v>7</v>
      </c>
      <c r="J124" t="str">
        <f t="shared" ca="1" si="13"/>
        <v>7 years 9 months 19 days</v>
      </c>
      <c r="K124" s="149">
        <f t="shared" si="14"/>
        <v>43193</v>
      </c>
      <c r="L124" s="149">
        <f t="shared" si="9"/>
        <v>43217</v>
      </c>
      <c r="M124" s="150">
        <f t="shared" si="15"/>
        <v>5</v>
      </c>
      <c r="N124" t="str">
        <f t="shared" si="16"/>
        <v>Weekday</v>
      </c>
      <c r="O124" s="149">
        <f t="shared" si="17"/>
        <v>44313</v>
      </c>
    </row>
    <row r="125" spans="2:15" ht="14.25" customHeight="1">
      <c r="B125" s="115" t="s">
        <v>269</v>
      </c>
      <c r="C125" s="115" t="s">
        <v>667</v>
      </c>
      <c r="D125" s="115" t="s">
        <v>84</v>
      </c>
      <c r="E125" s="137">
        <v>29864</v>
      </c>
      <c r="F125" s="42">
        <v>43717</v>
      </c>
      <c r="G125" t="str">
        <f t="shared" si="10"/>
        <v>Mon</v>
      </c>
      <c r="H125" t="str">
        <f t="shared" si="11"/>
        <v>Sep</v>
      </c>
      <c r="I125">
        <f t="shared" ca="1" si="12"/>
        <v>6</v>
      </c>
      <c r="J125" t="str">
        <f t="shared" ca="1" si="13"/>
        <v>6 years 2 months 12 days</v>
      </c>
      <c r="K125" s="149">
        <f t="shared" si="14"/>
        <v>43777</v>
      </c>
      <c r="L125" s="149">
        <f t="shared" si="9"/>
        <v>43801</v>
      </c>
      <c r="M125" s="150">
        <f t="shared" si="15"/>
        <v>37</v>
      </c>
      <c r="N125" t="str">
        <f t="shared" si="16"/>
        <v>Weekday</v>
      </c>
      <c r="O125" s="149">
        <f t="shared" si="17"/>
        <v>44897</v>
      </c>
    </row>
    <row r="126" spans="2:15" ht="14.25" customHeight="1">
      <c r="B126" s="115" t="s">
        <v>270</v>
      </c>
      <c r="C126" s="115" t="s">
        <v>668</v>
      </c>
      <c r="D126" s="115" t="s">
        <v>87</v>
      </c>
      <c r="E126" s="137">
        <v>34911</v>
      </c>
      <c r="F126" s="42">
        <v>43096</v>
      </c>
      <c r="G126" t="str">
        <f t="shared" si="10"/>
        <v>Wed</v>
      </c>
      <c r="H126" t="str">
        <f t="shared" si="11"/>
        <v>Dec</v>
      </c>
      <c r="I126">
        <f t="shared" ca="1" si="12"/>
        <v>7</v>
      </c>
      <c r="J126" t="str">
        <f t="shared" ca="1" si="13"/>
        <v>7 years 10 months 25 days</v>
      </c>
      <c r="K126" s="149">
        <f t="shared" si="14"/>
        <v>43156</v>
      </c>
      <c r="L126" s="149">
        <f t="shared" si="9"/>
        <v>43180</v>
      </c>
      <c r="M126" s="150">
        <f t="shared" si="15"/>
        <v>53</v>
      </c>
      <c r="N126" t="str">
        <f t="shared" si="16"/>
        <v>Weekday</v>
      </c>
      <c r="O126" s="149">
        <f t="shared" si="17"/>
        <v>44276</v>
      </c>
    </row>
    <row r="127" spans="2:15" ht="14.25" customHeight="1">
      <c r="B127" s="115" t="s">
        <v>270</v>
      </c>
      <c r="C127" s="115" t="s">
        <v>669</v>
      </c>
      <c r="D127" s="115" t="s">
        <v>87</v>
      </c>
      <c r="E127" s="137">
        <v>23011</v>
      </c>
      <c r="F127" s="42">
        <v>43015</v>
      </c>
      <c r="G127" t="str">
        <f t="shared" si="10"/>
        <v>Sat</v>
      </c>
      <c r="H127" t="str">
        <f t="shared" si="11"/>
        <v>Oct</v>
      </c>
      <c r="I127">
        <f t="shared" ca="1" si="12"/>
        <v>8</v>
      </c>
      <c r="J127" t="str">
        <f t="shared" ca="1" si="13"/>
        <v>8 years 1 months 14 days</v>
      </c>
      <c r="K127" s="149">
        <f t="shared" si="14"/>
        <v>43075</v>
      </c>
      <c r="L127" s="149">
        <f t="shared" si="9"/>
        <v>43098</v>
      </c>
      <c r="M127" s="150">
        <f t="shared" si="15"/>
        <v>41</v>
      </c>
      <c r="N127" t="str">
        <f t="shared" si="16"/>
        <v>Weekend</v>
      </c>
      <c r="O127" s="149">
        <f t="shared" si="17"/>
        <v>44194</v>
      </c>
    </row>
    <row r="128" spans="2:15" ht="14.25" customHeight="1">
      <c r="B128" s="115" t="s">
        <v>272</v>
      </c>
      <c r="C128" s="115" t="s">
        <v>670</v>
      </c>
      <c r="D128" s="115" t="s">
        <v>87</v>
      </c>
      <c r="E128" s="137">
        <v>34116</v>
      </c>
      <c r="F128" s="42">
        <v>43311</v>
      </c>
      <c r="G128" t="str">
        <f t="shared" si="10"/>
        <v>Mon</v>
      </c>
      <c r="H128" t="str">
        <f t="shared" si="11"/>
        <v>Jul</v>
      </c>
      <c r="I128">
        <f t="shared" ca="1" si="12"/>
        <v>7</v>
      </c>
      <c r="J128" t="str">
        <f t="shared" ca="1" si="13"/>
        <v>7 years 3 months 22 days</v>
      </c>
      <c r="K128" s="149">
        <f t="shared" si="14"/>
        <v>43371</v>
      </c>
      <c r="L128" s="149">
        <f t="shared" si="9"/>
        <v>43395</v>
      </c>
      <c r="M128" s="150">
        <f t="shared" si="15"/>
        <v>31</v>
      </c>
      <c r="N128" t="str">
        <f t="shared" si="16"/>
        <v>Weekday</v>
      </c>
      <c r="O128" s="149">
        <f t="shared" si="17"/>
        <v>44491</v>
      </c>
    </row>
    <row r="129" spans="2:15" ht="14.25" customHeight="1">
      <c r="B129" s="115" t="s">
        <v>272</v>
      </c>
      <c r="C129" s="115" t="s">
        <v>671</v>
      </c>
      <c r="D129" s="115" t="s">
        <v>84</v>
      </c>
      <c r="E129" s="137">
        <v>26437</v>
      </c>
      <c r="F129" s="42">
        <v>41614</v>
      </c>
      <c r="G129" t="str">
        <f t="shared" si="10"/>
        <v>Fri</v>
      </c>
      <c r="H129" t="str">
        <f t="shared" si="11"/>
        <v>Dec</v>
      </c>
      <c r="I129">
        <f t="shared" ca="1" si="12"/>
        <v>11</v>
      </c>
      <c r="J129" t="str">
        <f t="shared" ca="1" si="13"/>
        <v>11 years 11 months 15 days</v>
      </c>
      <c r="K129" s="149">
        <f t="shared" si="14"/>
        <v>41674</v>
      </c>
      <c r="L129" s="149">
        <f t="shared" si="9"/>
        <v>41698</v>
      </c>
      <c r="M129" s="150">
        <f t="shared" si="15"/>
        <v>49</v>
      </c>
      <c r="N129" t="str">
        <f t="shared" si="16"/>
        <v>Weekday</v>
      </c>
      <c r="O129" s="149">
        <f t="shared" si="17"/>
        <v>42794</v>
      </c>
    </row>
    <row r="130" spans="2:15" ht="14.25" customHeight="1">
      <c r="B130" s="115" t="s">
        <v>268</v>
      </c>
      <c r="C130" s="115" t="s">
        <v>672</v>
      </c>
      <c r="D130" s="115" t="s">
        <v>84</v>
      </c>
      <c r="E130" s="137">
        <v>30108</v>
      </c>
      <c r="F130" s="42">
        <v>44348</v>
      </c>
      <c r="G130" t="str">
        <f t="shared" si="10"/>
        <v>Tue</v>
      </c>
      <c r="H130" t="str">
        <f t="shared" si="11"/>
        <v>Jun</v>
      </c>
      <c r="I130">
        <f t="shared" ca="1" si="12"/>
        <v>4</v>
      </c>
      <c r="J130" t="str">
        <f t="shared" ca="1" si="13"/>
        <v>4 years 5 months 20 days</v>
      </c>
      <c r="K130" s="149">
        <f t="shared" si="14"/>
        <v>44408</v>
      </c>
      <c r="L130" s="149">
        <f t="shared" si="9"/>
        <v>44432</v>
      </c>
      <c r="M130" s="150">
        <f t="shared" si="15"/>
        <v>23</v>
      </c>
      <c r="N130" t="str">
        <f t="shared" si="16"/>
        <v>Weekday</v>
      </c>
      <c r="O130" s="149">
        <f t="shared" si="17"/>
        <v>45528</v>
      </c>
    </row>
    <row r="131" spans="2:15" ht="14.25" customHeight="1">
      <c r="B131" s="115" t="s">
        <v>270</v>
      </c>
      <c r="C131" s="115" t="s">
        <v>673</v>
      </c>
      <c r="D131" s="115" t="s">
        <v>84</v>
      </c>
      <c r="E131" s="137">
        <v>34832</v>
      </c>
      <c r="F131" s="42">
        <v>42385</v>
      </c>
      <c r="G131" t="str">
        <f t="shared" si="10"/>
        <v>Sat</v>
      </c>
      <c r="H131" t="str">
        <f t="shared" si="11"/>
        <v>Jan</v>
      </c>
      <c r="I131">
        <f t="shared" ca="1" si="12"/>
        <v>9</v>
      </c>
      <c r="J131" t="str">
        <f t="shared" ca="1" si="13"/>
        <v>9 years 10 months 5 days</v>
      </c>
      <c r="K131" s="149">
        <f t="shared" si="14"/>
        <v>42445</v>
      </c>
      <c r="L131" s="149">
        <f t="shared" si="9"/>
        <v>42468</v>
      </c>
      <c r="M131" s="150">
        <f t="shared" si="15"/>
        <v>3</v>
      </c>
      <c r="N131" t="str">
        <f t="shared" si="16"/>
        <v>Weekend</v>
      </c>
      <c r="O131" s="149">
        <f t="shared" si="17"/>
        <v>43563</v>
      </c>
    </row>
    <row r="132" spans="2:15" ht="14.25" customHeight="1">
      <c r="B132" s="115" t="s">
        <v>270</v>
      </c>
      <c r="C132" s="115" t="s">
        <v>674</v>
      </c>
      <c r="D132" s="115" t="s">
        <v>84</v>
      </c>
      <c r="E132" s="137">
        <v>21610</v>
      </c>
      <c r="F132" s="42">
        <v>42932</v>
      </c>
      <c r="G132" t="str">
        <f t="shared" si="10"/>
        <v>Sun</v>
      </c>
      <c r="H132" t="str">
        <f t="shared" si="11"/>
        <v>Jul</v>
      </c>
      <c r="I132">
        <f t="shared" ca="1" si="12"/>
        <v>8</v>
      </c>
      <c r="J132" t="str">
        <f t="shared" ca="1" si="13"/>
        <v>8 years 4 months 5 days</v>
      </c>
      <c r="K132" s="149">
        <f t="shared" si="14"/>
        <v>42992</v>
      </c>
      <c r="L132" s="149">
        <f t="shared" si="9"/>
        <v>43014</v>
      </c>
      <c r="M132" s="150">
        <f t="shared" si="15"/>
        <v>29</v>
      </c>
      <c r="N132" t="str">
        <f t="shared" si="16"/>
        <v>Weekend</v>
      </c>
      <c r="O132" s="149">
        <f t="shared" si="17"/>
        <v>44110</v>
      </c>
    </row>
    <row r="133" spans="2:15" ht="14.25" customHeight="1">
      <c r="B133" s="115" t="s">
        <v>268</v>
      </c>
      <c r="C133" s="115" t="s">
        <v>675</v>
      </c>
      <c r="D133" s="115" t="s">
        <v>84</v>
      </c>
      <c r="E133" s="137">
        <v>18890</v>
      </c>
      <c r="F133" s="42">
        <v>43550</v>
      </c>
      <c r="G133" t="str">
        <f t="shared" si="10"/>
        <v>Tue</v>
      </c>
      <c r="H133" t="str">
        <f t="shared" si="11"/>
        <v>Mar</v>
      </c>
      <c r="I133">
        <f t="shared" ca="1" si="12"/>
        <v>6</v>
      </c>
      <c r="J133" t="str">
        <f t="shared" ca="1" si="13"/>
        <v>6 years 7 months 26 days</v>
      </c>
      <c r="K133" s="149">
        <f t="shared" si="14"/>
        <v>43610</v>
      </c>
      <c r="L133" s="149">
        <f t="shared" si="9"/>
        <v>43634</v>
      </c>
      <c r="M133" s="150">
        <f t="shared" si="15"/>
        <v>13</v>
      </c>
      <c r="N133" t="str">
        <f t="shared" si="16"/>
        <v>Weekday</v>
      </c>
      <c r="O133" s="149">
        <f t="shared" si="17"/>
        <v>44730</v>
      </c>
    </row>
    <row r="134" spans="2:15" ht="14.25" customHeight="1">
      <c r="B134" s="115" t="s">
        <v>270</v>
      </c>
      <c r="C134" s="115" t="s">
        <v>676</v>
      </c>
      <c r="D134" s="115" t="s">
        <v>87</v>
      </c>
      <c r="E134" s="137">
        <v>22128</v>
      </c>
      <c r="F134" s="42">
        <v>44132</v>
      </c>
      <c r="G134" t="str">
        <f t="shared" si="10"/>
        <v>Wed</v>
      </c>
      <c r="H134" t="str">
        <f t="shared" si="11"/>
        <v>Oct</v>
      </c>
      <c r="I134">
        <f t="shared" ca="1" si="12"/>
        <v>5</v>
      </c>
      <c r="J134" t="str">
        <f t="shared" ca="1" si="13"/>
        <v>5 years 0 months 24 days</v>
      </c>
      <c r="K134" s="149">
        <f t="shared" si="14"/>
        <v>44192</v>
      </c>
      <c r="L134" s="149">
        <f t="shared" ref="L134:L197" si="18">WORKDAY(F134,60,$R$6:$R$7)</f>
        <v>44216</v>
      </c>
      <c r="M134" s="150">
        <f t="shared" si="15"/>
        <v>44</v>
      </c>
      <c r="N134" t="str">
        <f t="shared" si="16"/>
        <v>Weekday</v>
      </c>
      <c r="O134" s="149">
        <f t="shared" si="17"/>
        <v>45311</v>
      </c>
    </row>
    <row r="135" spans="2:15" ht="14.25" customHeight="1">
      <c r="B135" s="115" t="s">
        <v>272</v>
      </c>
      <c r="C135" s="115" t="s">
        <v>677</v>
      </c>
      <c r="D135" s="115" t="s">
        <v>87</v>
      </c>
      <c r="E135" s="137">
        <v>16555</v>
      </c>
      <c r="F135" s="42">
        <v>42706</v>
      </c>
      <c r="G135" t="str">
        <f t="shared" ref="G135:G198" si="19">TEXT(F135,"DDD")</f>
        <v>Fri</v>
      </c>
      <c r="H135" t="str">
        <f t="shared" ref="H135:H198" si="20">TEXT(F135,"MMM")</f>
        <v>Dec</v>
      </c>
      <c r="I135">
        <f t="shared" ref="I135:I198" ca="1" si="21">DATEDIF(F135,TODAY(),"Y")</f>
        <v>8</v>
      </c>
      <c r="J135" t="str">
        <f t="shared" ref="J135:J198" ca="1" si="22">DATEDIF(F135,TODAY(),"Y")&amp;" years "&amp;DATEDIF(F135,TODAY(),"YM")&amp;" months "&amp;DATEDIF(F135,TODAY(),"MD")&amp;" days"</f>
        <v>8 years 11 months 19 days</v>
      </c>
      <c r="K135" s="149">
        <f t="shared" ref="K135:K198" si="23">F135+60</f>
        <v>42766</v>
      </c>
      <c r="L135" s="149">
        <f t="shared" si="18"/>
        <v>42790</v>
      </c>
      <c r="M135" s="150">
        <f t="shared" ref="M135:M198" si="24">WEEKNUM(F135,2)</f>
        <v>49</v>
      </c>
      <c r="N135" t="str">
        <f t="shared" ref="N135:N198" si="25">IF(WEEKDAY(F135,2)&gt;5,"Weekend","Weekday")</f>
        <v>Weekday</v>
      </c>
      <c r="O135" s="149">
        <f t="shared" ref="O135:O198" si="26">EDATE(L135,36)</f>
        <v>43885</v>
      </c>
    </row>
    <row r="136" spans="2:15" ht="14.25" customHeight="1">
      <c r="B136" s="115" t="s">
        <v>269</v>
      </c>
      <c r="C136" s="115" t="s">
        <v>678</v>
      </c>
      <c r="D136" s="115" t="s">
        <v>87</v>
      </c>
      <c r="E136" s="137">
        <v>35364</v>
      </c>
      <c r="F136" s="42">
        <v>43706</v>
      </c>
      <c r="G136" t="str">
        <f t="shared" si="19"/>
        <v>Thu</v>
      </c>
      <c r="H136" t="str">
        <f t="shared" si="20"/>
        <v>Aug</v>
      </c>
      <c r="I136">
        <f t="shared" ca="1" si="21"/>
        <v>6</v>
      </c>
      <c r="J136" t="str">
        <f t="shared" ca="1" si="22"/>
        <v>6 years 2 months 23 days</v>
      </c>
      <c r="K136" s="149">
        <f t="shared" si="23"/>
        <v>43766</v>
      </c>
      <c r="L136" s="149">
        <f t="shared" si="18"/>
        <v>43790</v>
      </c>
      <c r="M136" s="150">
        <f t="shared" si="24"/>
        <v>35</v>
      </c>
      <c r="N136" t="str">
        <f t="shared" si="25"/>
        <v>Weekday</v>
      </c>
      <c r="O136" s="149">
        <f t="shared" si="26"/>
        <v>44886</v>
      </c>
    </row>
    <row r="137" spans="2:15" ht="14.25" customHeight="1">
      <c r="B137" s="115" t="s">
        <v>270</v>
      </c>
      <c r="C137" s="115" t="s">
        <v>679</v>
      </c>
      <c r="D137" s="115" t="s">
        <v>84</v>
      </c>
      <c r="E137" s="137">
        <v>18924</v>
      </c>
      <c r="F137" s="42">
        <v>40751</v>
      </c>
      <c r="G137" t="str">
        <f t="shared" si="19"/>
        <v>Wed</v>
      </c>
      <c r="H137" t="str">
        <f t="shared" si="20"/>
        <v>Jul</v>
      </c>
      <c r="I137">
        <f t="shared" ca="1" si="21"/>
        <v>14</v>
      </c>
      <c r="J137" t="str">
        <f t="shared" ca="1" si="22"/>
        <v>14 years 3 months 25 days</v>
      </c>
      <c r="K137" s="149">
        <f t="shared" si="23"/>
        <v>40811</v>
      </c>
      <c r="L137" s="149">
        <f t="shared" si="18"/>
        <v>40835</v>
      </c>
      <c r="M137" s="150">
        <f t="shared" si="24"/>
        <v>31</v>
      </c>
      <c r="N137" t="str">
        <f t="shared" si="25"/>
        <v>Weekday</v>
      </c>
      <c r="O137" s="149">
        <f t="shared" si="26"/>
        <v>41931</v>
      </c>
    </row>
    <row r="138" spans="2:15" ht="14.25" customHeight="1">
      <c r="B138" s="115" t="s">
        <v>270</v>
      </c>
      <c r="C138" s="115" t="s">
        <v>680</v>
      </c>
      <c r="D138" s="115" t="s">
        <v>84</v>
      </c>
      <c r="E138" s="137">
        <v>17065</v>
      </c>
      <c r="F138" s="42">
        <v>40802</v>
      </c>
      <c r="G138" t="str">
        <f t="shared" si="19"/>
        <v>Fri</v>
      </c>
      <c r="H138" t="str">
        <f t="shared" si="20"/>
        <v>Sep</v>
      </c>
      <c r="I138">
        <f t="shared" ca="1" si="21"/>
        <v>14</v>
      </c>
      <c r="J138" t="str">
        <f t="shared" ca="1" si="22"/>
        <v>14 years 2 months 5 days</v>
      </c>
      <c r="K138" s="149">
        <f t="shared" si="23"/>
        <v>40862</v>
      </c>
      <c r="L138" s="149">
        <f t="shared" si="18"/>
        <v>40886</v>
      </c>
      <c r="M138" s="150">
        <f t="shared" si="24"/>
        <v>38</v>
      </c>
      <c r="N138" t="str">
        <f t="shared" si="25"/>
        <v>Weekday</v>
      </c>
      <c r="O138" s="149">
        <f t="shared" si="26"/>
        <v>41982</v>
      </c>
    </row>
    <row r="139" spans="2:15" ht="14.25" customHeight="1">
      <c r="B139" s="115" t="s">
        <v>271</v>
      </c>
      <c r="C139" s="115" t="s">
        <v>681</v>
      </c>
      <c r="D139" s="115" t="s">
        <v>87</v>
      </c>
      <c r="E139" s="137">
        <v>34326</v>
      </c>
      <c r="F139" s="42">
        <v>40776</v>
      </c>
      <c r="G139" t="str">
        <f t="shared" si="19"/>
        <v>Sun</v>
      </c>
      <c r="H139" t="str">
        <f t="shared" si="20"/>
        <v>Aug</v>
      </c>
      <c r="I139">
        <f t="shared" ca="1" si="21"/>
        <v>14</v>
      </c>
      <c r="J139" t="str">
        <f t="shared" ca="1" si="22"/>
        <v>14 years 3 months 0 days</v>
      </c>
      <c r="K139" s="149">
        <f t="shared" si="23"/>
        <v>40836</v>
      </c>
      <c r="L139" s="149">
        <f t="shared" si="18"/>
        <v>40858</v>
      </c>
      <c r="M139" s="150">
        <f t="shared" si="24"/>
        <v>34</v>
      </c>
      <c r="N139" t="str">
        <f t="shared" si="25"/>
        <v>Weekend</v>
      </c>
      <c r="O139" s="149">
        <f t="shared" si="26"/>
        <v>41954</v>
      </c>
    </row>
    <row r="140" spans="2:15" ht="14.25" customHeight="1">
      <c r="B140" s="115" t="s">
        <v>268</v>
      </c>
      <c r="C140" s="115" t="s">
        <v>682</v>
      </c>
      <c r="D140" s="115" t="s">
        <v>84</v>
      </c>
      <c r="E140" s="137">
        <v>33676</v>
      </c>
      <c r="F140" s="42">
        <v>41162</v>
      </c>
      <c r="G140" t="str">
        <f t="shared" si="19"/>
        <v>Mon</v>
      </c>
      <c r="H140" t="str">
        <f t="shared" si="20"/>
        <v>Sep</v>
      </c>
      <c r="I140">
        <f t="shared" ca="1" si="21"/>
        <v>13</v>
      </c>
      <c r="J140" t="str">
        <f t="shared" ca="1" si="22"/>
        <v>13 years 2 months 11 days</v>
      </c>
      <c r="K140" s="149">
        <f t="shared" si="23"/>
        <v>41222</v>
      </c>
      <c r="L140" s="149">
        <f t="shared" si="18"/>
        <v>41246</v>
      </c>
      <c r="M140" s="150">
        <f t="shared" si="24"/>
        <v>38</v>
      </c>
      <c r="N140" t="str">
        <f t="shared" si="25"/>
        <v>Weekday</v>
      </c>
      <c r="O140" s="149">
        <f t="shared" si="26"/>
        <v>42341</v>
      </c>
    </row>
    <row r="141" spans="2:15" ht="14.25" customHeight="1">
      <c r="B141" s="115" t="s">
        <v>268</v>
      </c>
      <c r="C141" s="115" t="s">
        <v>683</v>
      </c>
      <c r="D141" s="115" t="s">
        <v>87</v>
      </c>
      <c r="E141" s="137">
        <v>18189</v>
      </c>
      <c r="F141" s="42">
        <v>41821</v>
      </c>
      <c r="G141" t="str">
        <f t="shared" si="19"/>
        <v>Tue</v>
      </c>
      <c r="H141" t="str">
        <f t="shared" si="20"/>
        <v>Jul</v>
      </c>
      <c r="I141">
        <f t="shared" ca="1" si="21"/>
        <v>11</v>
      </c>
      <c r="J141" t="str">
        <f t="shared" ca="1" si="22"/>
        <v>11 years 4 months 20 days</v>
      </c>
      <c r="K141" s="149">
        <f t="shared" si="23"/>
        <v>41881</v>
      </c>
      <c r="L141" s="149">
        <f t="shared" si="18"/>
        <v>41905</v>
      </c>
      <c r="M141" s="150">
        <f t="shared" si="24"/>
        <v>27</v>
      </c>
      <c r="N141" t="str">
        <f t="shared" si="25"/>
        <v>Weekday</v>
      </c>
      <c r="O141" s="149">
        <f t="shared" si="26"/>
        <v>43001</v>
      </c>
    </row>
    <row r="142" spans="2:15" ht="14.25" customHeight="1">
      <c r="B142" s="115" t="s">
        <v>272</v>
      </c>
      <c r="C142" s="115" t="s">
        <v>684</v>
      </c>
      <c r="D142" s="115" t="s">
        <v>84</v>
      </c>
      <c r="E142" s="137">
        <v>29196</v>
      </c>
      <c r="F142" s="42">
        <v>43269</v>
      </c>
      <c r="G142" t="str">
        <f t="shared" si="19"/>
        <v>Mon</v>
      </c>
      <c r="H142" t="str">
        <f t="shared" si="20"/>
        <v>Jun</v>
      </c>
      <c r="I142">
        <f t="shared" ca="1" si="21"/>
        <v>7</v>
      </c>
      <c r="J142" t="str">
        <f t="shared" ca="1" si="22"/>
        <v>7 years 5 months 3 days</v>
      </c>
      <c r="K142" s="149">
        <f t="shared" si="23"/>
        <v>43329</v>
      </c>
      <c r="L142" s="149">
        <f t="shared" si="18"/>
        <v>43353</v>
      </c>
      <c r="M142" s="150">
        <f t="shared" si="24"/>
        <v>25</v>
      </c>
      <c r="N142" t="str">
        <f t="shared" si="25"/>
        <v>Weekday</v>
      </c>
      <c r="O142" s="149">
        <f t="shared" si="26"/>
        <v>44449</v>
      </c>
    </row>
    <row r="143" spans="2:15" ht="14.25" customHeight="1">
      <c r="B143" s="115" t="s">
        <v>271</v>
      </c>
      <c r="C143" s="115" t="s">
        <v>685</v>
      </c>
      <c r="D143" s="115" t="s">
        <v>84</v>
      </c>
      <c r="E143" s="137">
        <v>28024</v>
      </c>
      <c r="F143" s="42">
        <v>42120</v>
      </c>
      <c r="G143" t="str">
        <f t="shared" si="19"/>
        <v>Sun</v>
      </c>
      <c r="H143" t="str">
        <f t="shared" si="20"/>
        <v>Apr</v>
      </c>
      <c r="I143">
        <f t="shared" ca="1" si="21"/>
        <v>10</v>
      </c>
      <c r="J143" t="str">
        <f t="shared" ca="1" si="22"/>
        <v>10 years 6 months 26 days</v>
      </c>
      <c r="K143" s="149">
        <f t="shared" si="23"/>
        <v>42180</v>
      </c>
      <c r="L143" s="149">
        <f t="shared" si="18"/>
        <v>42202</v>
      </c>
      <c r="M143" s="150">
        <f t="shared" si="24"/>
        <v>17</v>
      </c>
      <c r="N143" t="str">
        <f t="shared" si="25"/>
        <v>Weekend</v>
      </c>
      <c r="O143" s="149">
        <f t="shared" si="26"/>
        <v>43298</v>
      </c>
    </row>
    <row r="144" spans="2:15" ht="14.25" customHeight="1">
      <c r="B144" s="115" t="s">
        <v>268</v>
      </c>
      <c r="C144" s="115" t="s">
        <v>686</v>
      </c>
      <c r="D144" s="115" t="s">
        <v>87</v>
      </c>
      <c r="E144" s="137">
        <v>30007</v>
      </c>
      <c r="F144" s="42">
        <v>42535</v>
      </c>
      <c r="G144" t="str">
        <f t="shared" si="19"/>
        <v>Tue</v>
      </c>
      <c r="H144" t="str">
        <f t="shared" si="20"/>
        <v>Jun</v>
      </c>
      <c r="I144">
        <f t="shared" ca="1" si="21"/>
        <v>9</v>
      </c>
      <c r="J144" t="str">
        <f t="shared" ca="1" si="22"/>
        <v>9 years 5 months 7 days</v>
      </c>
      <c r="K144" s="149">
        <f t="shared" si="23"/>
        <v>42595</v>
      </c>
      <c r="L144" s="149">
        <f t="shared" si="18"/>
        <v>42619</v>
      </c>
      <c r="M144" s="150">
        <f t="shared" si="24"/>
        <v>25</v>
      </c>
      <c r="N144" t="str">
        <f t="shared" si="25"/>
        <v>Weekday</v>
      </c>
      <c r="O144" s="149">
        <f t="shared" si="26"/>
        <v>43714</v>
      </c>
    </row>
    <row r="145" spans="2:15" ht="14.25" customHeight="1">
      <c r="B145" s="115" t="s">
        <v>271</v>
      </c>
      <c r="C145" s="115" t="s">
        <v>687</v>
      </c>
      <c r="D145" s="115" t="s">
        <v>87</v>
      </c>
      <c r="E145" s="137">
        <v>22533</v>
      </c>
      <c r="F145" s="42">
        <v>42853</v>
      </c>
      <c r="G145" t="str">
        <f t="shared" si="19"/>
        <v>Fri</v>
      </c>
      <c r="H145" t="str">
        <f t="shared" si="20"/>
        <v>Apr</v>
      </c>
      <c r="I145">
        <f t="shared" ca="1" si="21"/>
        <v>8</v>
      </c>
      <c r="J145" t="str">
        <f t="shared" ca="1" si="22"/>
        <v>8 years 6 months 24 days</v>
      </c>
      <c r="K145" s="149">
        <f t="shared" si="23"/>
        <v>42913</v>
      </c>
      <c r="L145" s="149">
        <f t="shared" si="18"/>
        <v>42937</v>
      </c>
      <c r="M145" s="150">
        <f t="shared" si="24"/>
        <v>18</v>
      </c>
      <c r="N145" t="str">
        <f t="shared" si="25"/>
        <v>Weekday</v>
      </c>
      <c r="O145" s="149">
        <f t="shared" si="26"/>
        <v>44033</v>
      </c>
    </row>
    <row r="146" spans="2:15" ht="14.25" customHeight="1">
      <c r="B146" s="115" t="s">
        <v>271</v>
      </c>
      <c r="C146" s="115" t="s">
        <v>688</v>
      </c>
      <c r="D146" s="115" t="s">
        <v>84</v>
      </c>
      <c r="E146" s="137">
        <v>33821</v>
      </c>
      <c r="F146" s="42">
        <v>42207</v>
      </c>
      <c r="G146" t="str">
        <f t="shared" si="19"/>
        <v>Wed</v>
      </c>
      <c r="H146" t="str">
        <f t="shared" si="20"/>
        <v>Jul</v>
      </c>
      <c r="I146">
        <f t="shared" ca="1" si="21"/>
        <v>10</v>
      </c>
      <c r="J146" t="str">
        <f t="shared" ca="1" si="22"/>
        <v>10 years 3 months 30 days</v>
      </c>
      <c r="K146" s="149">
        <f t="shared" si="23"/>
        <v>42267</v>
      </c>
      <c r="L146" s="149">
        <f t="shared" si="18"/>
        <v>42291</v>
      </c>
      <c r="M146" s="150">
        <f t="shared" si="24"/>
        <v>30</v>
      </c>
      <c r="N146" t="str">
        <f t="shared" si="25"/>
        <v>Weekday</v>
      </c>
      <c r="O146" s="149">
        <f t="shared" si="26"/>
        <v>43387</v>
      </c>
    </row>
    <row r="147" spans="2:15" ht="14.25" customHeight="1">
      <c r="B147" s="115" t="s">
        <v>272</v>
      </c>
      <c r="C147" s="115" t="s">
        <v>689</v>
      </c>
      <c r="D147" s="115" t="s">
        <v>87</v>
      </c>
      <c r="E147" s="137">
        <v>30168</v>
      </c>
      <c r="F147" s="42">
        <v>42381</v>
      </c>
      <c r="G147" t="str">
        <f t="shared" si="19"/>
        <v>Tue</v>
      </c>
      <c r="H147" t="str">
        <f t="shared" si="20"/>
        <v>Jan</v>
      </c>
      <c r="I147">
        <f t="shared" ca="1" si="21"/>
        <v>9</v>
      </c>
      <c r="J147" t="str">
        <f t="shared" ca="1" si="22"/>
        <v>9 years 10 months 9 days</v>
      </c>
      <c r="K147" s="149">
        <f t="shared" si="23"/>
        <v>42441</v>
      </c>
      <c r="L147" s="149">
        <f t="shared" si="18"/>
        <v>42465</v>
      </c>
      <c r="M147" s="150">
        <f t="shared" si="24"/>
        <v>3</v>
      </c>
      <c r="N147" t="str">
        <f t="shared" si="25"/>
        <v>Weekday</v>
      </c>
      <c r="O147" s="149">
        <f t="shared" si="26"/>
        <v>43560</v>
      </c>
    </row>
    <row r="148" spans="2:15" ht="14.25" customHeight="1">
      <c r="B148" s="115" t="s">
        <v>270</v>
      </c>
      <c r="C148" s="115" t="s">
        <v>690</v>
      </c>
      <c r="D148" s="115" t="s">
        <v>84</v>
      </c>
      <c r="E148" s="137">
        <v>31762</v>
      </c>
      <c r="F148" s="42">
        <v>43450</v>
      </c>
      <c r="G148" t="str">
        <f t="shared" si="19"/>
        <v>Sun</v>
      </c>
      <c r="H148" t="str">
        <f t="shared" si="20"/>
        <v>Dec</v>
      </c>
      <c r="I148">
        <f t="shared" ca="1" si="21"/>
        <v>6</v>
      </c>
      <c r="J148" t="str">
        <f t="shared" ca="1" si="22"/>
        <v>6 years 11 months 5 days</v>
      </c>
      <c r="K148" s="149">
        <f t="shared" si="23"/>
        <v>43510</v>
      </c>
      <c r="L148" s="149">
        <f t="shared" si="18"/>
        <v>43532</v>
      </c>
      <c r="M148" s="150">
        <f t="shared" si="24"/>
        <v>50</v>
      </c>
      <c r="N148" t="str">
        <f t="shared" si="25"/>
        <v>Weekend</v>
      </c>
      <c r="O148" s="149">
        <f t="shared" si="26"/>
        <v>44628</v>
      </c>
    </row>
    <row r="149" spans="2:15" ht="14.25" customHeight="1">
      <c r="B149" s="115" t="s">
        <v>270</v>
      </c>
      <c r="C149" s="115" t="s">
        <v>691</v>
      </c>
      <c r="D149" s="115" t="s">
        <v>87</v>
      </c>
      <c r="E149" s="137">
        <v>31914</v>
      </c>
      <c r="F149" s="42">
        <v>41410</v>
      </c>
      <c r="G149" t="str">
        <f t="shared" si="19"/>
        <v>Thu</v>
      </c>
      <c r="H149" t="str">
        <f t="shared" si="20"/>
        <v>May</v>
      </c>
      <c r="I149">
        <f t="shared" ca="1" si="21"/>
        <v>12</v>
      </c>
      <c r="J149" t="str">
        <f t="shared" ca="1" si="22"/>
        <v>12 years 6 months 5 days</v>
      </c>
      <c r="K149" s="149">
        <f t="shared" si="23"/>
        <v>41470</v>
      </c>
      <c r="L149" s="149">
        <f t="shared" si="18"/>
        <v>41494</v>
      </c>
      <c r="M149" s="150">
        <f t="shared" si="24"/>
        <v>20</v>
      </c>
      <c r="N149" t="str">
        <f t="shared" si="25"/>
        <v>Weekday</v>
      </c>
      <c r="O149" s="149">
        <f t="shared" si="26"/>
        <v>42590</v>
      </c>
    </row>
    <row r="150" spans="2:15" ht="14.25" customHeight="1">
      <c r="B150" s="115" t="s">
        <v>272</v>
      </c>
      <c r="C150" s="115" t="s">
        <v>692</v>
      </c>
      <c r="D150" s="115" t="s">
        <v>84</v>
      </c>
      <c r="E150" s="137">
        <v>32987</v>
      </c>
      <c r="F150" s="42">
        <v>41105</v>
      </c>
      <c r="G150" t="str">
        <f t="shared" si="19"/>
        <v>Sun</v>
      </c>
      <c r="H150" t="str">
        <f t="shared" si="20"/>
        <v>Jul</v>
      </c>
      <c r="I150">
        <f t="shared" ca="1" si="21"/>
        <v>13</v>
      </c>
      <c r="J150" t="str">
        <f t="shared" ca="1" si="22"/>
        <v>13 years 4 months 6 days</v>
      </c>
      <c r="K150" s="149">
        <f t="shared" si="23"/>
        <v>41165</v>
      </c>
      <c r="L150" s="149">
        <f t="shared" si="18"/>
        <v>41187</v>
      </c>
      <c r="M150" s="150">
        <f t="shared" si="24"/>
        <v>29</v>
      </c>
      <c r="N150" t="str">
        <f t="shared" si="25"/>
        <v>Weekend</v>
      </c>
      <c r="O150" s="149">
        <f t="shared" si="26"/>
        <v>42282</v>
      </c>
    </row>
    <row r="151" spans="2:15" ht="14.25" customHeight="1">
      <c r="B151" s="115" t="s">
        <v>271</v>
      </c>
      <c r="C151" s="115" t="s">
        <v>693</v>
      </c>
      <c r="D151" s="115" t="s">
        <v>87</v>
      </c>
      <c r="E151" s="137">
        <v>29175</v>
      </c>
      <c r="F151" s="42">
        <v>44210</v>
      </c>
      <c r="G151" t="str">
        <f t="shared" si="19"/>
        <v>Thu</v>
      </c>
      <c r="H151" t="str">
        <f t="shared" si="20"/>
        <v>Jan</v>
      </c>
      <c r="I151">
        <f t="shared" ca="1" si="21"/>
        <v>4</v>
      </c>
      <c r="J151" t="str">
        <f t="shared" ca="1" si="22"/>
        <v>4 years 10 months 7 days</v>
      </c>
      <c r="K151" s="149">
        <f t="shared" si="23"/>
        <v>44270</v>
      </c>
      <c r="L151" s="149">
        <f t="shared" si="18"/>
        <v>44294</v>
      </c>
      <c r="M151" s="150">
        <f t="shared" si="24"/>
        <v>3</v>
      </c>
      <c r="N151" t="str">
        <f t="shared" si="25"/>
        <v>Weekday</v>
      </c>
      <c r="O151" s="149">
        <f t="shared" si="26"/>
        <v>45390</v>
      </c>
    </row>
    <row r="152" spans="2:15" ht="14.25" customHeight="1">
      <c r="B152" s="115" t="s">
        <v>271</v>
      </c>
      <c r="C152" s="115" t="s">
        <v>694</v>
      </c>
      <c r="D152" s="115" t="s">
        <v>87</v>
      </c>
      <c r="E152" s="137">
        <v>27292</v>
      </c>
      <c r="F152" s="42">
        <v>41547</v>
      </c>
      <c r="G152" t="str">
        <f t="shared" si="19"/>
        <v>Mon</v>
      </c>
      <c r="H152" t="str">
        <f t="shared" si="20"/>
        <v>Sep</v>
      </c>
      <c r="I152">
        <f t="shared" ca="1" si="21"/>
        <v>12</v>
      </c>
      <c r="J152" t="str">
        <f t="shared" ca="1" si="22"/>
        <v>12 years 1 months 22 days</v>
      </c>
      <c r="K152" s="149">
        <f t="shared" si="23"/>
        <v>41607</v>
      </c>
      <c r="L152" s="149">
        <f t="shared" si="18"/>
        <v>41631</v>
      </c>
      <c r="M152" s="150">
        <f t="shared" si="24"/>
        <v>40</v>
      </c>
      <c r="N152" t="str">
        <f t="shared" si="25"/>
        <v>Weekday</v>
      </c>
      <c r="O152" s="149">
        <f t="shared" si="26"/>
        <v>42727</v>
      </c>
    </row>
    <row r="153" spans="2:15" ht="14.25" customHeight="1">
      <c r="B153" s="115" t="s">
        <v>270</v>
      </c>
      <c r="C153" s="115" t="s">
        <v>695</v>
      </c>
      <c r="D153" s="115" t="s">
        <v>84</v>
      </c>
      <c r="E153" s="137">
        <v>20734</v>
      </c>
      <c r="F153" s="42">
        <v>43960</v>
      </c>
      <c r="G153" t="str">
        <f t="shared" si="19"/>
        <v>Sat</v>
      </c>
      <c r="H153" t="str">
        <f t="shared" si="20"/>
        <v>May</v>
      </c>
      <c r="I153">
        <f t="shared" ca="1" si="21"/>
        <v>5</v>
      </c>
      <c r="J153" t="str">
        <f t="shared" ca="1" si="22"/>
        <v>5 years 6 months 12 days</v>
      </c>
      <c r="K153" s="149">
        <f t="shared" si="23"/>
        <v>44020</v>
      </c>
      <c r="L153" s="149">
        <f t="shared" si="18"/>
        <v>44043</v>
      </c>
      <c r="M153" s="150">
        <f t="shared" si="24"/>
        <v>19</v>
      </c>
      <c r="N153" t="str">
        <f t="shared" si="25"/>
        <v>Weekend</v>
      </c>
      <c r="O153" s="149">
        <f t="shared" si="26"/>
        <v>45138</v>
      </c>
    </row>
    <row r="154" spans="2:15" ht="14.25" customHeight="1">
      <c r="B154" s="115" t="s">
        <v>272</v>
      </c>
      <c r="C154" s="115" t="s">
        <v>696</v>
      </c>
      <c r="D154" s="115" t="s">
        <v>84</v>
      </c>
      <c r="E154" s="137">
        <v>31633</v>
      </c>
      <c r="F154" s="42">
        <v>43041</v>
      </c>
      <c r="G154" t="str">
        <f t="shared" si="19"/>
        <v>Thu</v>
      </c>
      <c r="H154" t="str">
        <f t="shared" si="20"/>
        <v>Nov</v>
      </c>
      <c r="I154">
        <f t="shared" ca="1" si="21"/>
        <v>8</v>
      </c>
      <c r="J154" t="str">
        <f t="shared" ca="1" si="22"/>
        <v>8 years 0 months 19 days</v>
      </c>
      <c r="K154" s="149">
        <f t="shared" si="23"/>
        <v>43101</v>
      </c>
      <c r="L154" s="149">
        <f t="shared" si="18"/>
        <v>43125</v>
      </c>
      <c r="M154" s="150">
        <f t="shared" si="24"/>
        <v>45</v>
      </c>
      <c r="N154" t="str">
        <f t="shared" si="25"/>
        <v>Weekday</v>
      </c>
      <c r="O154" s="149">
        <f t="shared" si="26"/>
        <v>44221</v>
      </c>
    </row>
    <row r="155" spans="2:15" ht="14.25" customHeight="1">
      <c r="B155" s="115" t="s">
        <v>268</v>
      </c>
      <c r="C155" s="115" t="s">
        <v>697</v>
      </c>
      <c r="D155" s="115" t="s">
        <v>87</v>
      </c>
      <c r="E155" s="137">
        <v>32050</v>
      </c>
      <c r="F155" s="42">
        <v>44732</v>
      </c>
      <c r="G155" t="str">
        <f t="shared" si="19"/>
        <v>Mon</v>
      </c>
      <c r="H155" t="str">
        <f t="shared" si="20"/>
        <v>Jun</v>
      </c>
      <c r="I155">
        <f t="shared" ca="1" si="21"/>
        <v>3</v>
      </c>
      <c r="J155" t="str">
        <f t="shared" ca="1" si="22"/>
        <v>3 years 5 months 1 days</v>
      </c>
      <c r="K155" s="149">
        <f t="shared" si="23"/>
        <v>44792</v>
      </c>
      <c r="L155" s="149">
        <f t="shared" si="18"/>
        <v>44816</v>
      </c>
      <c r="M155" s="150">
        <f t="shared" si="24"/>
        <v>26</v>
      </c>
      <c r="N155" t="str">
        <f t="shared" si="25"/>
        <v>Weekday</v>
      </c>
      <c r="O155" s="149">
        <f t="shared" si="26"/>
        <v>45912</v>
      </c>
    </row>
    <row r="156" spans="2:15" ht="14.25" customHeight="1">
      <c r="B156" s="115" t="s">
        <v>270</v>
      </c>
      <c r="C156" s="115" t="s">
        <v>698</v>
      </c>
      <c r="D156" s="115" t="s">
        <v>84</v>
      </c>
      <c r="E156" s="137">
        <v>20825</v>
      </c>
      <c r="F156" s="42">
        <v>41658</v>
      </c>
      <c r="G156" t="str">
        <f t="shared" si="19"/>
        <v>Sun</v>
      </c>
      <c r="H156" t="str">
        <f t="shared" si="20"/>
        <v>Jan</v>
      </c>
      <c r="I156">
        <f t="shared" ca="1" si="21"/>
        <v>11</v>
      </c>
      <c r="J156" t="str">
        <f t="shared" ca="1" si="22"/>
        <v>11 years 10 months 2 days</v>
      </c>
      <c r="K156" s="149">
        <f t="shared" si="23"/>
        <v>41718</v>
      </c>
      <c r="L156" s="149">
        <f t="shared" si="18"/>
        <v>41740</v>
      </c>
      <c r="M156" s="150">
        <f t="shared" si="24"/>
        <v>3</v>
      </c>
      <c r="N156" t="str">
        <f t="shared" si="25"/>
        <v>Weekend</v>
      </c>
      <c r="O156" s="149">
        <f t="shared" si="26"/>
        <v>42836</v>
      </c>
    </row>
    <row r="157" spans="2:15" ht="14.25" customHeight="1">
      <c r="B157" s="115" t="s">
        <v>268</v>
      </c>
      <c r="C157" s="115" t="s">
        <v>699</v>
      </c>
      <c r="D157" s="115" t="s">
        <v>84</v>
      </c>
      <c r="E157" s="137">
        <v>32110</v>
      </c>
      <c r="F157" s="42">
        <v>41697</v>
      </c>
      <c r="G157" t="str">
        <f t="shared" si="19"/>
        <v>Thu</v>
      </c>
      <c r="H157" t="str">
        <f t="shared" si="20"/>
        <v>Feb</v>
      </c>
      <c r="I157">
        <f t="shared" ca="1" si="21"/>
        <v>11</v>
      </c>
      <c r="J157" t="str">
        <f t="shared" ca="1" si="22"/>
        <v>11 years 8 months 25 days</v>
      </c>
      <c r="K157" s="149">
        <f t="shared" si="23"/>
        <v>41757</v>
      </c>
      <c r="L157" s="149">
        <f t="shared" si="18"/>
        <v>41781</v>
      </c>
      <c r="M157" s="150">
        <f t="shared" si="24"/>
        <v>9</v>
      </c>
      <c r="N157" t="str">
        <f t="shared" si="25"/>
        <v>Weekday</v>
      </c>
      <c r="O157" s="149">
        <f t="shared" si="26"/>
        <v>42877</v>
      </c>
    </row>
    <row r="158" spans="2:15" ht="14.25" customHeight="1">
      <c r="B158" s="115" t="s">
        <v>272</v>
      </c>
      <c r="C158" s="115" t="s">
        <v>700</v>
      </c>
      <c r="D158" s="115" t="s">
        <v>87</v>
      </c>
      <c r="E158" s="137">
        <v>27382</v>
      </c>
      <c r="F158" s="42">
        <v>41110</v>
      </c>
      <c r="G158" t="str">
        <f t="shared" si="19"/>
        <v>Fri</v>
      </c>
      <c r="H158" t="str">
        <f t="shared" si="20"/>
        <v>Jul</v>
      </c>
      <c r="I158">
        <f t="shared" ca="1" si="21"/>
        <v>13</v>
      </c>
      <c r="J158" t="str">
        <f t="shared" ca="1" si="22"/>
        <v>13 years 4 months 1 days</v>
      </c>
      <c r="K158" s="149">
        <f t="shared" si="23"/>
        <v>41170</v>
      </c>
      <c r="L158" s="149">
        <f t="shared" si="18"/>
        <v>41194</v>
      </c>
      <c r="M158" s="150">
        <f t="shared" si="24"/>
        <v>30</v>
      </c>
      <c r="N158" t="str">
        <f t="shared" si="25"/>
        <v>Weekday</v>
      </c>
      <c r="O158" s="149">
        <f t="shared" si="26"/>
        <v>42289</v>
      </c>
    </row>
    <row r="159" spans="2:15" ht="14.25" customHeight="1">
      <c r="B159" s="115" t="s">
        <v>271</v>
      </c>
      <c r="C159" s="115" t="s">
        <v>701</v>
      </c>
      <c r="D159" s="115" t="s">
        <v>87</v>
      </c>
      <c r="E159" s="137">
        <v>15205</v>
      </c>
      <c r="F159" s="42">
        <v>41409</v>
      </c>
      <c r="G159" t="str">
        <f t="shared" si="19"/>
        <v>Wed</v>
      </c>
      <c r="H159" t="str">
        <f t="shared" si="20"/>
        <v>May</v>
      </c>
      <c r="I159">
        <f t="shared" ca="1" si="21"/>
        <v>12</v>
      </c>
      <c r="J159" t="str">
        <f t="shared" ca="1" si="22"/>
        <v>12 years 6 months 6 days</v>
      </c>
      <c r="K159" s="149">
        <f t="shared" si="23"/>
        <v>41469</v>
      </c>
      <c r="L159" s="149">
        <f t="shared" si="18"/>
        <v>41493</v>
      </c>
      <c r="M159" s="150">
        <f t="shared" si="24"/>
        <v>20</v>
      </c>
      <c r="N159" t="str">
        <f t="shared" si="25"/>
        <v>Weekday</v>
      </c>
      <c r="O159" s="149">
        <f t="shared" si="26"/>
        <v>42589</v>
      </c>
    </row>
    <row r="160" spans="2:15" ht="14.25" customHeight="1">
      <c r="B160" s="115" t="s">
        <v>268</v>
      </c>
      <c r="C160" s="115" t="s">
        <v>702</v>
      </c>
      <c r="D160" s="115" t="s">
        <v>84</v>
      </c>
      <c r="E160" s="137">
        <v>21065</v>
      </c>
      <c r="F160" s="42">
        <v>43402</v>
      </c>
      <c r="G160" t="str">
        <f t="shared" si="19"/>
        <v>Mon</v>
      </c>
      <c r="H160" t="str">
        <f t="shared" si="20"/>
        <v>Oct</v>
      </c>
      <c r="I160">
        <f t="shared" ca="1" si="21"/>
        <v>7</v>
      </c>
      <c r="J160" t="str">
        <f t="shared" ca="1" si="22"/>
        <v>7 years 0 months 23 days</v>
      </c>
      <c r="K160" s="149">
        <f t="shared" si="23"/>
        <v>43462</v>
      </c>
      <c r="L160" s="149">
        <f t="shared" si="18"/>
        <v>43486</v>
      </c>
      <c r="M160" s="150">
        <f t="shared" si="24"/>
        <v>44</v>
      </c>
      <c r="N160" t="str">
        <f t="shared" si="25"/>
        <v>Weekday</v>
      </c>
      <c r="O160" s="149">
        <f t="shared" si="26"/>
        <v>44582</v>
      </c>
    </row>
    <row r="161" spans="2:15" ht="14.25" customHeight="1">
      <c r="B161" s="115" t="s">
        <v>271</v>
      </c>
      <c r="C161" s="115" t="s">
        <v>703</v>
      </c>
      <c r="D161" s="115" t="s">
        <v>87</v>
      </c>
      <c r="E161" s="137">
        <v>23866</v>
      </c>
      <c r="F161" s="42">
        <v>41394</v>
      </c>
      <c r="G161" t="str">
        <f t="shared" si="19"/>
        <v>Tue</v>
      </c>
      <c r="H161" t="str">
        <f t="shared" si="20"/>
        <v>Apr</v>
      </c>
      <c r="I161">
        <f t="shared" ca="1" si="21"/>
        <v>12</v>
      </c>
      <c r="J161" t="str">
        <f t="shared" ca="1" si="22"/>
        <v>12 years 6 months 22 days</v>
      </c>
      <c r="K161" s="149">
        <f t="shared" si="23"/>
        <v>41454</v>
      </c>
      <c r="L161" s="149">
        <f t="shared" si="18"/>
        <v>41478</v>
      </c>
      <c r="M161" s="150">
        <f t="shared" si="24"/>
        <v>18</v>
      </c>
      <c r="N161" t="str">
        <f t="shared" si="25"/>
        <v>Weekday</v>
      </c>
      <c r="O161" s="149">
        <f t="shared" si="26"/>
        <v>42574</v>
      </c>
    </row>
    <row r="162" spans="2:15" ht="14.25" customHeight="1">
      <c r="B162" s="115" t="s">
        <v>272</v>
      </c>
      <c r="C162" s="115" t="s">
        <v>704</v>
      </c>
      <c r="D162" s="115" t="s">
        <v>87</v>
      </c>
      <c r="E162" s="137">
        <v>27199</v>
      </c>
      <c r="F162" s="42">
        <v>44352</v>
      </c>
      <c r="G162" t="str">
        <f t="shared" si="19"/>
        <v>Sat</v>
      </c>
      <c r="H162" t="str">
        <f t="shared" si="20"/>
        <v>Jun</v>
      </c>
      <c r="I162">
        <f t="shared" ca="1" si="21"/>
        <v>4</v>
      </c>
      <c r="J162" t="str">
        <f t="shared" ca="1" si="22"/>
        <v>4 years 5 months 16 days</v>
      </c>
      <c r="K162" s="149">
        <f t="shared" si="23"/>
        <v>44412</v>
      </c>
      <c r="L162" s="149">
        <f t="shared" si="18"/>
        <v>44435</v>
      </c>
      <c r="M162" s="150">
        <f t="shared" si="24"/>
        <v>23</v>
      </c>
      <c r="N162" t="str">
        <f t="shared" si="25"/>
        <v>Weekend</v>
      </c>
      <c r="O162" s="149">
        <f t="shared" si="26"/>
        <v>45531</v>
      </c>
    </row>
    <row r="163" spans="2:15" ht="14.25" customHeight="1">
      <c r="B163" s="115" t="s">
        <v>271</v>
      </c>
      <c r="C163" s="115" t="s">
        <v>705</v>
      </c>
      <c r="D163" s="115" t="s">
        <v>87</v>
      </c>
      <c r="E163" s="137">
        <v>34704</v>
      </c>
      <c r="F163" s="42">
        <v>45007</v>
      </c>
      <c r="G163" t="str">
        <f t="shared" si="19"/>
        <v>Wed</v>
      </c>
      <c r="H163" t="str">
        <f t="shared" si="20"/>
        <v>Mar</v>
      </c>
      <c r="I163">
        <f t="shared" ca="1" si="21"/>
        <v>2</v>
      </c>
      <c r="J163" t="str">
        <f t="shared" ca="1" si="22"/>
        <v>2 years 7 months 30 days</v>
      </c>
      <c r="K163" s="149">
        <f t="shared" si="23"/>
        <v>45067</v>
      </c>
      <c r="L163" s="149">
        <f t="shared" si="18"/>
        <v>45091</v>
      </c>
      <c r="M163" s="150">
        <f t="shared" si="24"/>
        <v>13</v>
      </c>
      <c r="N163" t="str">
        <f t="shared" si="25"/>
        <v>Weekday</v>
      </c>
      <c r="O163" s="149">
        <f t="shared" si="26"/>
        <v>46187</v>
      </c>
    </row>
    <row r="164" spans="2:15" ht="14.25" customHeight="1">
      <c r="B164" s="115" t="s">
        <v>272</v>
      </c>
      <c r="C164" s="115" t="s">
        <v>706</v>
      </c>
      <c r="D164" s="115" t="s">
        <v>84</v>
      </c>
      <c r="E164" s="137">
        <v>33869</v>
      </c>
      <c r="F164" s="42">
        <v>44772</v>
      </c>
      <c r="G164" t="str">
        <f t="shared" si="19"/>
        <v>Sat</v>
      </c>
      <c r="H164" t="str">
        <f t="shared" si="20"/>
        <v>Jul</v>
      </c>
      <c r="I164">
        <f t="shared" ca="1" si="21"/>
        <v>3</v>
      </c>
      <c r="J164" t="str">
        <f t="shared" ca="1" si="22"/>
        <v>3 years 3 months 22 days</v>
      </c>
      <c r="K164" s="149">
        <f t="shared" si="23"/>
        <v>44832</v>
      </c>
      <c r="L164" s="149">
        <f t="shared" si="18"/>
        <v>44855</v>
      </c>
      <c r="M164" s="150">
        <f t="shared" si="24"/>
        <v>31</v>
      </c>
      <c r="N164" t="str">
        <f t="shared" si="25"/>
        <v>Weekend</v>
      </c>
      <c r="O164" s="149">
        <f t="shared" si="26"/>
        <v>45951</v>
      </c>
    </row>
    <row r="165" spans="2:15" ht="14.25" customHeight="1">
      <c r="B165" s="115" t="s">
        <v>271</v>
      </c>
      <c r="C165" s="115" t="s">
        <v>707</v>
      </c>
      <c r="D165" s="115" t="s">
        <v>87</v>
      </c>
      <c r="E165" s="137">
        <v>27628</v>
      </c>
      <c r="F165" s="42">
        <v>44971</v>
      </c>
      <c r="G165" t="str">
        <f t="shared" si="19"/>
        <v>Tue</v>
      </c>
      <c r="H165" t="str">
        <f t="shared" si="20"/>
        <v>Feb</v>
      </c>
      <c r="I165">
        <f t="shared" ca="1" si="21"/>
        <v>2</v>
      </c>
      <c r="J165" t="str">
        <f t="shared" ca="1" si="22"/>
        <v>2 years 9 months 7 days</v>
      </c>
      <c r="K165" s="149">
        <f t="shared" si="23"/>
        <v>45031</v>
      </c>
      <c r="L165" s="149">
        <f t="shared" si="18"/>
        <v>45055</v>
      </c>
      <c r="M165" s="150">
        <f t="shared" si="24"/>
        <v>8</v>
      </c>
      <c r="N165" t="str">
        <f t="shared" si="25"/>
        <v>Weekday</v>
      </c>
      <c r="O165" s="149">
        <f t="shared" si="26"/>
        <v>46151</v>
      </c>
    </row>
    <row r="166" spans="2:15" ht="14.25" customHeight="1">
      <c r="B166" s="115" t="s">
        <v>271</v>
      </c>
      <c r="C166" s="115" t="s">
        <v>708</v>
      </c>
      <c r="D166" s="115" t="s">
        <v>87</v>
      </c>
      <c r="E166" s="137">
        <v>21270</v>
      </c>
      <c r="F166" s="42">
        <v>44701</v>
      </c>
      <c r="G166" t="str">
        <f t="shared" si="19"/>
        <v>Fri</v>
      </c>
      <c r="H166" t="str">
        <f t="shared" si="20"/>
        <v>May</v>
      </c>
      <c r="I166">
        <f t="shared" ca="1" si="21"/>
        <v>3</v>
      </c>
      <c r="J166" t="str">
        <f t="shared" ca="1" si="22"/>
        <v>3 years 6 months 1 days</v>
      </c>
      <c r="K166" s="149">
        <f t="shared" si="23"/>
        <v>44761</v>
      </c>
      <c r="L166" s="149">
        <f t="shared" si="18"/>
        <v>44785</v>
      </c>
      <c r="M166" s="150">
        <f t="shared" si="24"/>
        <v>21</v>
      </c>
      <c r="N166" t="str">
        <f t="shared" si="25"/>
        <v>Weekday</v>
      </c>
      <c r="O166" s="149">
        <f t="shared" si="26"/>
        <v>45881</v>
      </c>
    </row>
    <row r="167" spans="2:15" ht="14.25" customHeight="1">
      <c r="B167" s="115" t="s">
        <v>271</v>
      </c>
      <c r="C167" s="115" t="s">
        <v>709</v>
      </c>
      <c r="D167" s="115" t="s">
        <v>87</v>
      </c>
      <c r="E167" s="137">
        <v>22052</v>
      </c>
      <c r="F167" s="42">
        <v>43379</v>
      </c>
      <c r="G167" t="str">
        <f t="shared" si="19"/>
        <v>Sat</v>
      </c>
      <c r="H167" t="str">
        <f t="shared" si="20"/>
        <v>Oct</v>
      </c>
      <c r="I167">
        <f t="shared" ca="1" si="21"/>
        <v>7</v>
      </c>
      <c r="J167" t="str">
        <f t="shared" ca="1" si="22"/>
        <v>7 years 1 months 15 days</v>
      </c>
      <c r="K167" s="149">
        <f t="shared" si="23"/>
        <v>43439</v>
      </c>
      <c r="L167" s="149">
        <f t="shared" si="18"/>
        <v>43462</v>
      </c>
      <c r="M167" s="150">
        <f t="shared" si="24"/>
        <v>40</v>
      </c>
      <c r="N167" t="str">
        <f t="shared" si="25"/>
        <v>Weekend</v>
      </c>
      <c r="O167" s="149">
        <f t="shared" si="26"/>
        <v>44558</v>
      </c>
    </row>
    <row r="168" spans="2:15" ht="14.25" customHeight="1">
      <c r="B168" s="115" t="s">
        <v>269</v>
      </c>
      <c r="C168" s="115" t="s">
        <v>710</v>
      </c>
      <c r="D168" s="115" t="s">
        <v>84</v>
      </c>
      <c r="E168" s="137">
        <v>17785</v>
      </c>
      <c r="F168" s="42">
        <v>40983</v>
      </c>
      <c r="G168" t="str">
        <f t="shared" si="19"/>
        <v>Thu</v>
      </c>
      <c r="H168" t="str">
        <f t="shared" si="20"/>
        <v>Mar</v>
      </c>
      <c r="I168">
        <f t="shared" ca="1" si="21"/>
        <v>13</v>
      </c>
      <c r="J168" t="str">
        <f t="shared" ca="1" si="22"/>
        <v>13 years 8 months 6 days</v>
      </c>
      <c r="K168" s="149">
        <f t="shared" si="23"/>
        <v>41043</v>
      </c>
      <c r="L168" s="149">
        <f t="shared" si="18"/>
        <v>41067</v>
      </c>
      <c r="M168" s="150">
        <f t="shared" si="24"/>
        <v>12</v>
      </c>
      <c r="N168" t="str">
        <f t="shared" si="25"/>
        <v>Weekday</v>
      </c>
      <c r="O168" s="149">
        <f t="shared" si="26"/>
        <v>42162</v>
      </c>
    </row>
    <row r="169" spans="2:15" ht="14.25" customHeight="1">
      <c r="B169" s="115" t="s">
        <v>268</v>
      </c>
      <c r="C169" s="115" t="s">
        <v>711</v>
      </c>
      <c r="D169" s="115" t="s">
        <v>84</v>
      </c>
      <c r="E169" s="137">
        <v>35088</v>
      </c>
      <c r="F169" s="42">
        <v>43688</v>
      </c>
      <c r="G169" t="str">
        <f t="shared" si="19"/>
        <v>Sun</v>
      </c>
      <c r="H169" t="str">
        <f t="shared" si="20"/>
        <v>Aug</v>
      </c>
      <c r="I169">
        <f t="shared" ca="1" si="21"/>
        <v>6</v>
      </c>
      <c r="J169" t="str">
        <f t="shared" ca="1" si="22"/>
        <v>6 years 3 months 10 days</v>
      </c>
      <c r="K169" s="149">
        <f t="shared" si="23"/>
        <v>43748</v>
      </c>
      <c r="L169" s="149">
        <f t="shared" si="18"/>
        <v>43770</v>
      </c>
      <c r="M169" s="150">
        <f t="shared" si="24"/>
        <v>32</v>
      </c>
      <c r="N169" t="str">
        <f t="shared" si="25"/>
        <v>Weekend</v>
      </c>
      <c r="O169" s="149">
        <f t="shared" si="26"/>
        <v>44866</v>
      </c>
    </row>
    <row r="170" spans="2:15" ht="14.25" customHeight="1">
      <c r="B170" s="115" t="s">
        <v>268</v>
      </c>
      <c r="C170" s="115" t="s">
        <v>712</v>
      </c>
      <c r="D170" s="115" t="s">
        <v>84</v>
      </c>
      <c r="E170" s="137">
        <v>21543</v>
      </c>
      <c r="F170" s="42">
        <v>43631</v>
      </c>
      <c r="G170" t="str">
        <f t="shared" si="19"/>
        <v>Sat</v>
      </c>
      <c r="H170" t="str">
        <f t="shared" si="20"/>
        <v>Jun</v>
      </c>
      <c r="I170">
        <f t="shared" ca="1" si="21"/>
        <v>6</v>
      </c>
      <c r="J170" t="str">
        <f t="shared" ca="1" si="22"/>
        <v>6 years 5 months 6 days</v>
      </c>
      <c r="K170" s="149">
        <f t="shared" si="23"/>
        <v>43691</v>
      </c>
      <c r="L170" s="149">
        <f t="shared" si="18"/>
        <v>43714</v>
      </c>
      <c r="M170" s="150">
        <f t="shared" si="24"/>
        <v>24</v>
      </c>
      <c r="N170" t="str">
        <f t="shared" si="25"/>
        <v>Weekend</v>
      </c>
      <c r="O170" s="149">
        <f t="shared" si="26"/>
        <v>44810</v>
      </c>
    </row>
    <row r="171" spans="2:15" ht="14.25" customHeight="1">
      <c r="B171" s="115" t="s">
        <v>268</v>
      </c>
      <c r="C171" s="115" t="s">
        <v>713</v>
      </c>
      <c r="D171" s="115" t="s">
        <v>87</v>
      </c>
      <c r="E171" s="137">
        <v>17997</v>
      </c>
      <c r="F171" s="42">
        <v>41504</v>
      </c>
      <c r="G171" t="str">
        <f t="shared" si="19"/>
        <v>Sun</v>
      </c>
      <c r="H171" t="str">
        <f t="shared" si="20"/>
        <v>Aug</v>
      </c>
      <c r="I171">
        <f t="shared" ca="1" si="21"/>
        <v>12</v>
      </c>
      <c r="J171" t="str">
        <f t="shared" ca="1" si="22"/>
        <v>12 years 3 months 3 days</v>
      </c>
      <c r="K171" s="149">
        <f t="shared" si="23"/>
        <v>41564</v>
      </c>
      <c r="L171" s="149">
        <f t="shared" si="18"/>
        <v>41586</v>
      </c>
      <c r="M171" s="150">
        <f t="shared" si="24"/>
        <v>33</v>
      </c>
      <c r="N171" t="str">
        <f t="shared" si="25"/>
        <v>Weekend</v>
      </c>
      <c r="O171" s="149">
        <f t="shared" si="26"/>
        <v>42682</v>
      </c>
    </row>
    <row r="172" spans="2:15" ht="14.25" customHeight="1">
      <c r="B172" s="115" t="s">
        <v>272</v>
      </c>
      <c r="C172" s="115" t="s">
        <v>714</v>
      </c>
      <c r="D172" s="115" t="s">
        <v>87</v>
      </c>
      <c r="E172" s="137">
        <v>35407</v>
      </c>
      <c r="F172" s="42">
        <v>44797</v>
      </c>
      <c r="G172" t="str">
        <f t="shared" si="19"/>
        <v>Wed</v>
      </c>
      <c r="H172" t="str">
        <f t="shared" si="20"/>
        <v>Aug</v>
      </c>
      <c r="I172">
        <f t="shared" ca="1" si="21"/>
        <v>3</v>
      </c>
      <c r="J172" t="str">
        <f t="shared" ca="1" si="22"/>
        <v>3 years 2 months 28 days</v>
      </c>
      <c r="K172" s="149">
        <f t="shared" si="23"/>
        <v>44857</v>
      </c>
      <c r="L172" s="149">
        <f t="shared" si="18"/>
        <v>44881</v>
      </c>
      <c r="M172" s="150">
        <f t="shared" si="24"/>
        <v>35</v>
      </c>
      <c r="N172" t="str">
        <f t="shared" si="25"/>
        <v>Weekday</v>
      </c>
      <c r="O172" s="149">
        <f t="shared" si="26"/>
        <v>45977</v>
      </c>
    </row>
    <row r="173" spans="2:15" ht="14.25" customHeight="1">
      <c r="B173" s="115" t="s">
        <v>269</v>
      </c>
      <c r="C173" s="115" t="s">
        <v>715</v>
      </c>
      <c r="D173" s="115" t="s">
        <v>87</v>
      </c>
      <c r="E173" s="137">
        <v>34233</v>
      </c>
      <c r="F173" s="42">
        <v>44940</v>
      </c>
      <c r="G173" t="str">
        <f t="shared" si="19"/>
        <v>Sat</v>
      </c>
      <c r="H173" t="str">
        <f t="shared" si="20"/>
        <v>Jan</v>
      </c>
      <c r="I173">
        <f t="shared" ca="1" si="21"/>
        <v>2</v>
      </c>
      <c r="J173" t="str">
        <f t="shared" ca="1" si="22"/>
        <v>2 years 10 months 7 days</v>
      </c>
      <c r="K173" s="149">
        <f t="shared" si="23"/>
        <v>45000</v>
      </c>
      <c r="L173" s="149">
        <f t="shared" si="18"/>
        <v>45023</v>
      </c>
      <c r="M173" s="150">
        <f t="shared" si="24"/>
        <v>3</v>
      </c>
      <c r="N173" t="str">
        <f t="shared" si="25"/>
        <v>Weekend</v>
      </c>
      <c r="O173" s="149">
        <f t="shared" si="26"/>
        <v>46119</v>
      </c>
    </row>
    <row r="174" spans="2:15" ht="14.25" customHeight="1">
      <c r="B174" s="115" t="s">
        <v>272</v>
      </c>
      <c r="C174" s="115" t="s">
        <v>716</v>
      </c>
      <c r="D174" s="115" t="s">
        <v>87</v>
      </c>
      <c r="E174" s="137">
        <v>27635</v>
      </c>
      <c r="F174" s="42">
        <v>40766</v>
      </c>
      <c r="G174" t="str">
        <f t="shared" si="19"/>
        <v>Thu</v>
      </c>
      <c r="H174" t="str">
        <f t="shared" si="20"/>
        <v>Aug</v>
      </c>
      <c r="I174">
        <f t="shared" ca="1" si="21"/>
        <v>14</v>
      </c>
      <c r="J174" t="str">
        <f t="shared" ca="1" si="22"/>
        <v>14 years 3 months 10 days</v>
      </c>
      <c r="K174" s="149">
        <f t="shared" si="23"/>
        <v>40826</v>
      </c>
      <c r="L174" s="149">
        <f t="shared" si="18"/>
        <v>40850</v>
      </c>
      <c r="M174" s="150">
        <f t="shared" si="24"/>
        <v>33</v>
      </c>
      <c r="N174" t="str">
        <f t="shared" si="25"/>
        <v>Weekday</v>
      </c>
      <c r="O174" s="149">
        <f t="shared" si="26"/>
        <v>41946</v>
      </c>
    </row>
    <row r="175" spans="2:15" ht="14.25" customHeight="1">
      <c r="B175" s="115" t="s">
        <v>272</v>
      </c>
      <c r="C175" s="115" t="s">
        <v>717</v>
      </c>
      <c r="D175" s="115" t="s">
        <v>87</v>
      </c>
      <c r="E175" s="137">
        <v>19642</v>
      </c>
      <c r="F175" s="42">
        <v>43640</v>
      </c>
      <c r="G175" t="str">
        <f t="shared" si="19"/>
        <v>Mon</v>
      </c>
      <c r="H175" t="str">
        <f t="shared" si="20"/>
        <v>Jun</v>
      </c>
      <c r="I175">
        <f t="shared" ca="1" si="21"/>
        <v>6</v>
      </c>
      <c r="J175" t="str">
        <f t="shared" ca="1" si="22"/>
        <v>6 years 4 months 28 days</v>
      </c>
      <c r="K175" s="149">
        <f t="shared" si="23"/>
        <v>43700</v>
      </c>
      <c r="L175" s="149">
        <f t="shared" si="18"/>
        <v>43724</v>
      </c>
      <c r="M175" s="150">
        <f t="shared" si="24"/>
        <v>26</v>
      </c>
      <c r="N175" t="str">
        <f t="shared" si="25"/>
        <v>Weekday</v>
      </c>
      <c r="O175" s="149">
        <f t="shared" si="26"/>
        <v>44820</v>
      </c>
    </row>
    <row r="176" spans="2:15" ht="14.25" customHeight="1">
      <c r="B176" s="115" t="s">
        <v>272</v>
      </c>
      <c r="C176" s="115" t="s">
        <v>718</v>
      </c>
      <c r="D176" s="115" t="s">
        <v>84</v>
      </c>
      <c r="E176" s="137">
        <v>22736</v>
      </c>
      <c r="F176" s="42">
        <v>42767</v>
      </c>
      <c r="G176" t="str">
        <f t="shared" si="19"/>
        <v>Wed</v>
      </c>
      <c r="H176" t="str">
        <f t="shared" si="20"/>
        <v>Feb</v>
      </c>
      <c r="I176">
        <f t="shared" ca="1" si="21"/>
        <v>8</v>
      </c>
      <c r="J176" t="str">
        <f t="shared" ca="1" si="22"/>
        <v>8 years 9 months 20 days</v>
      </c>
      <c r="K176" s="149">
        <f t="shared" si="23"/>
        <v>42827</v>
      </c>
      <c r="L176" s="149">
        <f t="shared" si="18"/>
        <v>42851</v>
      </c>
      <c r="M176" s="150">
        <f t="shared" si="24"/>
        <v>6</v>
      </c>
      <c r="N176" t="str">
        <f t="shared" si="25"/>
        <v>Weekday</v>
      </c>
      <c r="O176" s="149">
        <f t="shared" si="26"/>
        <v>43947</v>
      </c>
    </row>
    <row r="177" spans="2:15" ht="14.25" customHeight="1">
      <c r="B177" s="115" t="s">
        <v>268</v>
      </c>
      <c r="C177" s="115" t="s">
        <v>719</v>
      </c>
      <c r="D177" s="115" t="s">
        <v>84</v>
      </c>
      <c r="E177" s="137">
        <v>20090</v>
      </c>
      <c r="F177" s="42">
        <v>42046</v>
      </c>
      <c r="G177" t="str">
        <f t="shared" si="19"/>
        <v>Wed</v>
      </c>
      <c r="H177" t="str">
        <f t="shared" si="20"/>
        <v>Feb</v>
      </c>
      <c r="I177">
        <f t="shared" ca="1" si="21"/>
        <v>10</v>
      </c>
      <c r="J177" t="str">
        <f t="shared" ca="1" si="22"/>
        <v>10 years 9 months 10 days</v>
      </c>
      <c r="K177" s="149">
        <f t="shared" si="23"/>
        <v>42106</v>
      </c>
      <c r="L177" s="149">
        <f t="shared" si="18"/>
        <v>42130</v>
      </c>
      <c r="M177" s="150">
        <f t="shared" si="24"/>
        <v>7</v>
      </c>
      <c r="N177" t="str">
        <f t="shared" si="25"/>
        <v>Weekday</v>
      </c>
      <c r="O177" s="149">
        <f t="shared" si="26"/>
        <v>43226</v>
      </c>
    </row>
    <row r="178" spans="2:15" ht="14.25" customHeight="1">
      <c r="B178" s="115" t="s">
        <v>268</v>
      </c>
      <c r="C178" s="115" t="s">
        <v>720</v>
      </c>
      <c r="D178" s="115" t="s">
        <v>84</v>
      </c>
      <c r="E178" s="137">
        <v>16500</v>
      </c>
      <c r="F178" s="42">
        <v>41706</v>
      </c>
      <c r="G178" t="str">
        <f t="shared" si="19"/>
        <v>Sat</v>
      </c>
      <c r="H178" t="str">
        <f t="shared" si="20"/>
        <v>Mar</v>
      </c>
      <c r="I178">
        <f t="shared" ca="1" si="21"/>
        <v>11</v>
      </c>
      <c r="J178" t="str">
        <f t="shared" ca="1" si="22"/>
        <v>11 years 8 months 13 days</v>
      </c>
      <c r="K178" s="149">
        <f t="shared" si="23"/>
        <v>41766</v>
      </c>
      <c r="L178" s="149">
        <f t="shared" si="18"/>
        <v>41789</v>
      </c>
      <c r="M178" s="150">
        <f t="shared" si="24"/>
        <v>10</v>
      </c>
      <c r="N178" t="str">
        <f t="shared" si="25"/>
        <v>Weekend</v>
      </c>
      <c r="O178" s="149">
        <f t="shared" si="26"/>
        <v>42885</v>
      </c>
    </row>
    <row r="179" spans="2:15" ht="14.25" customHeight="1">
      <c r="B179" s="115" t="s">
        <v>271</v>
      </c>
      <c r="C179" s="115" t="s">
        <v>721</v>
      </c>
      <c r="D179" s="115" t="s">
        <v>87</v>
      </c>
      <c r="E179" s="137">
        <v>32378</v>
      </c>
      <c r="F179" s="42">
        <v>44000</v>
      </c>
      <c r="G179" t="str">
        <f t="shared" si="19"/>
        <v>Thu</v>
      </c>
      <c r="H179" t="str">
        <f t="shared" si="20"/>
        <v>Jun</v>
      </c>
      <c r="I179">
        <f t="shared" ca="1" si="21"/>
        <v>5</v>
      </c>
      <c r="J179" t="str">
        <f t="shared" ca="1" si="22"/>
        <v>5 years 5 months 3 days</v>
      </c>
      <c r="K179" s="149">
        <f t="shared" si="23"/>
        <v>44060</v>
      </c>
      <c r="L179" s="149">
        <f t="shared" si="18"/>
        <v>44084</v>
      </c>
      <c r="M179" s="150">
        <f t="shared" si="24"/>
        <v>25</v>
      </c>
      <c r="N179" t="str">
        <f t="shared" si="25"/>
        <v>Weekday</v>
      </c>
      <c r="O179" s="149">
        <f t="shared" si="26"/>
        <v>45179</v>
      </c>
    </row>
    <row r="180" spans="2:15" ht="14.25" customHeight="1">
      <c r="B180" s="115" t="s">
        <v>268</v>
      </c>
      <c r="C180" s="115" t="s">
        <v>722</v>
      </c>
      <c r="D180" s="115" t="s">
        <v>87</v>
      </c>
      <c r="E180" s="137">
        <v>28700</v>
      </c>
      <c r="F180" s="42">
        <v>41343</v>
      </c>
      <c r="G180" t="str">
        <f t="shared" si="19"/>
        <v>Sun</v>
      </c>
      <c r="H180" t="str">
        <f t="shared" si="20"/>
        <v>Mar</v>
      </c>
      <c r="I180">
        <f t="shared" ca="1" si="21"/>
        <v>12</v>
      </c>
      <c r="J180" t="str">
        <f t="shared" ca="1" si="22"/>
        <v>12 years 8 months 11 days</v>
      </c>
      <c r="K180" s="149">
        <f t="shared" si="23"/>
        <v>41403</v>
      </c>
      <c r="L180" s="149">
        <f t="shared" si="18"/>
        <v>41425</v>
      </c>
      <c r="M180" s="150">
        <f t="shared" si="24"/>
        <v>10</v>
      </c>
      <c r="N180" t="str">
        <f t="shared" si="25"/>
        <v>Weekend</v>
      </c>
      <c r="O180" s="149">
        <f t="shared" si="26"/>
        <v>42521</v>
      </c>
    </row>
    <row r="181" spans="2:15" ht="14.25" customHeight="1">
      <c r="B181" s="115" t="s">
        <v>270</v>
      </c>
      <c r="C181" s="115" t="s">
        <v>723</v>
      </c>
      <c r="D181" s="115" t="s">
        <v>84</v>
      </c>
      <c r="E181" s="137">
        <v>19029</v>
      </c>
      <c r="F181" s="42">
        <v>40983</v>
      </c>
      <c r="G181" t="str">
        <f t="shared" si="19"/>
        <v>Thu</v>
      </c>
      <c r="H181" t="str">
        <f t="shared" si="20"/>
        <v>Mar</v>
      </c>
      <c r="I181">
        <f t="shared" ca="1" si="21"/>
        <v>13</v>
      </c>
      <c r="J181" t="str">
        <f t="shared" ca="1" si="22"/>
        <v>13 years 8 months 6 days</v>
      </c>
      <c r="K181" s="149">
        <f t="shared" si="23"/>
        <v>41043</v>
      </c>
      <c r="L181" s="149">
        <f t="shared" si="18"/>
        <v>41067</v>
      </c>
      <c r="M181" s="150">
        <f t="shared" si="24"/>
        <v>12</v>
      </c>
      <c r="N181" t="str">
        <f t="shared" si="25"/>
        <v>Weekday</v>
      </c>
      <c r="O181" s="149">
        <f t="shared" si="26"/>
        <v>42162</v>
      </c>
    </row>
    <row r="182" spans="2:15" ht="14.25" customHeight="1">
      <c r="B182" s="115" t="s">
        <v>271</v>
      </c>
      <c r="C182" s="115" t="s">
        <v>724</v>
      </c>
      <c r="D182" s="115" t="s">
        <v>87</v>
      </c>
      <c r="E182" s="137">
        <v>23905</v>
      </c>
      <c r="F182" s="42">
        <v>42181</v>
      </c>
      <c r="G182" t="str">
        <f t="shared" si="19"/>
        <v>Fri</v>
      </c>
      <c r="H182" t="str">
        <f t="shared" si="20"/>
        <v>Jun</v>
      </c>
      <c r="I182">
        <f t="shared" ca="1" si="21"/>
        <v>10</v>
      </c>
      <c r="J182" t="str">
        <f t="shared" ca="1" si="22"/>
        <v>10 years 4 months 26 days</v>
      </c>
      <c r="K182" s="149">
        <f t="shared" si="23"/>
        <v>42241</v>
      </c>
      <c r="L182" s="149">
        <f t="shared" si="18"/>
        <v>42265</v>
      </c>
      <c r="M182" s="150">
        <f t="shared" si="24"/>
        <v>26</v>
      </c>
      <c r="N182" t="str">
        <f t="shared" si="25"/>
        <v>Weekday</v>
      </c>
      <c r="O182" s="149">
        <f t="shared" si="26"/>
        <v>43361</v>
      </c>
    </row>
    <row r="183" spans="2:15" ht="14.25" customHeight="1">
      <c r="B183" s="115" t="s">
        <v>272</v>
      </c>
      <c r="C183" s="115" t="s">
        <v>725</v>
      </c>
      <c r="D183" s="115" t="s">
        <v>87</v>
      </c>
      <c r="E183" s="137">
        <v>15668</v>
      </c>
      <c r="F183" s="42">
        <v>43365</v>
      </c>
      <c r="G183" t="str">
        <f t="shared" si="19"/>
        <v>Sat</v>
      </c>
      <c r="H183" t="str">
        <f t="shared" si="20"/>
        <v>Sep</v>
      </c>
      <c r="I183">
        <f t="shared" ca="1" si="21"/>
        <v>7</v>
      </c>
      <c r="J183" t="str">
        <f t="shared" ca="1" si="22"/>
        <v>7 years 1 months 30 days</v>
      </c>
      <c r="K183" s="149">
        <f t="shared" si="23"/>
        <v>43425</v>
      </c>
      <c r="L183" s="149">
        <f t="shared" si="18"/>
        <v>43448</v>
      </c>
      <c r="M183" s="150">
        <f t="shared" si="24"/>
        <v>38</v>
      </c>
      <c r="N183" t="str">
        <f t="shared" si="25"/>
        <v>Weekend</v>
      </c>
      <c r="O183" s="149">
        <f t="shared" si="26"/>
        <v>44544</v>
      </c>
    </row>
    <row r="184" spans="2:15" ht="14.25" customHeight="1">
      <c r="B184" s="115" t="s">
        <v>270</v>
      </c>
      <c r="C184" s="115" t="s">
        <v>726</v>
      </c>
      <c r="D184" s="115" t="s">
        <v>84</v>
      </c>
      <c r="E184" s="137">
        <v>35688</v>
      </c>
      <c r="F184" s="42">
        <v>43435</v>
      </c>
      <c r="G184" t="str">
        <f t="shared" si="19"/>
        <v>Sat</v>
      </c>
      <c r="H184" t="str">
        <f t="shared" si="20"/>
        <v>Dec</v>
      </c>
      <c r="I184">
        <f t="shared" ca="1" si="21"/>
        <v>6</v>
      </c>
      <c r="J184" t="str">
        <f t="shared" ca="1" si="22"/>
        <v>6 years 11 months 20 days</v>
      </c>
      <c r="K184" s="149">
        <f t="shared" si="23"/>
        <v>43495</v>
      </c>
      <c r="L184" s="149">
        <f t="shared" si="18"/>
        <v>43518</v>
      </c>
      <c r="M184" s="150">
        <f t="shared" si="24"/>
        <v>48</v>
      </c>
      <c r="N184" t="str">
        <f t="shared" si="25"/>
        <v>Weekend</v>
      </c>
      <c r="O184" s="149">
        <f t="shared" si="26"/>
        <v>44614</v>
      </c>
    </row>
    <row r="185" spans="2:15" ht="14.25" customHeight="1">
      <c r="B185" s="115" t="s">
        <v>271</v>
      </c>
      <c r="C185" s="115" t="s">
        <v>727</v>
      </c>
      <c r="D185" s="115" t="s">
        <v>84</v>
      </c>
      <c r="E185" s="137">
        <v>22870</v>
      </c>
      <c r="F185" s="42">
        <v>42732</v>
      </c>
      <c r="G185" t="str">
        <f t="shared" si="19"/>
        <v>Wed</v>
      </c>
      <c r="H185" t="str">
        <f t="shared" si="20"/>
        <v>Dec</v>
      </c>
      <c r="I185">
        <f t="shared" ca="1" si="21"/>
        <v>8</v>
      </c>
      <c r="J185" t="str">
        <f t="shared" ca="1" si="22"/>
        <v>8 years 10 months 24 days</v>
      </c>
      <c r="K185" s="149">
        <f t="shared" si="23"/>
        <v>42792</v>
      </c>
      <c r="L185" s="149">
        <f t="shared" si="18"/>
        <v>42816</v>
      </c>
      <c r="M185" s="150">
        <f t="shared" si="24"/>
        <v>53</v>
      </c>
      <c r="N185" t="str">
        <f t="shared" si="25"/>
        <v>Weekday</v>
      </c>
      <c r="O185" s="149">
        <f t="shared" si="26"/>
        <v>43912</v>
      </c>
    </row>
    <row r="186" spans="2:15" ht="14.25" customHeight="1">
      <c r="B186" s="115" t="s">
        <v>271</v>
      </c>
      <c r="C186" s="115" t="s">
        <v>728</v>
      </c>
      <c r="D186" s="115" t="s">
        <v>87</v>
      </c>
      <c r="E186" s="137">
        <v>21565</v>
      </c>
      <c r="F186" s="42">
        <v>43656</v>
      </c>
      <c r="G186" t="str">
        <f t="shared" si="19"/>
        <v>Wed</v>
      </c>
      <c r="H186" t="str">
        <f t="shared" si="20"/>
        <v>Jul</v>
      </c>
      <c r="I186">
        <f t="shared" ca="1" si="21"/>
        <v>6</v>
      </c>
      <c r="J186" t="str">
        <f t="shared" ca="1" si="22"/>
        <v>6 years 4 months 11 days</v>
      </c>
      <c r="K186" s="149">
        <f t="shared" si="23"/>
        <v>43716</v>
      </c>
      <c r="L186" s="149">
        <f t="shared" si="18"/>
        <v>43740</v>
      </c>
      <c r="M186" s="150">
        <f t="shared" si="24"/>
        <v>28</v>
      </c>
      <c r="N186" t="str">
        <f t="shared" si="25"/>
        <v>Weekday</v>
      </c>
      <c r="O186" s="149">
        <f t="shared" si="26"/>
        <v>44836</v>
      </c>
    </row>
    <row r="187" spans="2:15" ht="14.25" customHeight="1">
      <c r="B187" s="115" t="s">
        <v>271</v>
      </c>
      <c r="C187" s="115" t="s">
        <v>729</v>
      </c>
      <c r="D187" s="115" t="s">
        <v>84</v>
      </c>
      <c r="E187" s="137">
        <v>32391</v>
      </c>
      <c r="F187" s="42">
        <v>44544</v>
      </c>
      <c r="G187" t="str">
        <f t="shared" si="19"/>
        <v>Tue</v>
      </c>
      <c r="H187" t="str">
        <f t="shared" si="20"/>
        <v>Dec</v>
      </c>
      <c r="I187">
        <f t="shared" ca="1" si="21"/>
        <v>3</v>
      </c>
      <c r="J187" t="str">
        <f t="shared" ca="1" si="22"/>
        <v>3 years 11 months 7 days</v>
      </c>
      <c r="K187" s="149">
        <f t="shared" si="23"/>
        <v>44604</v>
      </c>
      <c r="L187" s="149">
        <f t="shared" si="18"/>
        <v>44628</v>
      </c>
      <c r="M187" s="150">
        <f t="shared" si="24"/>
        <v>51</v>
      </c>
      <c r="N187" t="str">
        <f t="shared" si="25"/>
        <v>Weekday</v>
      </c>
      <c r="O187" s="149">
        <f t="shared" si="26"/>
        <v>45724</v>
      </c>
    </row>
    <row r="188" spans="2:15" ht="14.25" customHeight="1">
      <c r="B188" s="115" t="s">
        <v>268</v>
      </c>
      <c r="C188" s="115" t="s">
        <v>730</v>
      </c>
      <c r="D188" s="115" t="s">
        <v>84</v>
      </c>
      <c r="E188" s="137">
        <v>29089</v>
      </c>
      <c r="F188" s="42">
        <v>45259</v>
      </c>
      <c r="G188" t="str">
        <f t="shared" si="19"/>
        <v>Wed</v>
      </c>
      <c r="H188" t="str">
        <f t="shared" si="20"/>
        <v>Nov</v>
      </c>
      <c r="I188">
        <f t="shared" ca="1" si="21"/>
        <v>1</v>
      </c>
      <c r="J188" t="str">
        <f t="shared" ca="1" si="22"/>
        <v>1 years 11 months 23 days</v>
      </c>
      <c r="K188" s="149">
        <f t="shared" si="23"/>
        <v>45319</v>
      </c>
      <c r="L188" s="149">
        <f t="shared" si="18"/>
        <v>45343</v>
      </c>
      <c r="M188" s="150">
        <f t="shared" si="24"/>
        <v>49</v>
      </c>
      <c r="N188" t="str">
        <f t="shared" si="25"/>
        <v>Weekday</v>
      </c>
      <c r="O188" s="149">
        <f t="shared" si="26"/>
        <v>46439</v>
      </c>
    </row>
    <row r="189" spans="2:15" ht="14.25" customHeight="1">
      <c r="B189" s="115" t="s">
        <v>270</v>
      </c>
      <c r="C189" s="115" t="s">
        <v>731</v>
      </c>
      <c r="D189" s="115" t="s">
        <v>84</v>
      </c>
      <c r="E189" s="137">
        <v>24231</v>
      </c>
      <c r="F189" s="42">
        <v>42389</v>
      </c>
      <c r="G189" t="str">
        <f t="shared" si="19"/>
        <v>Wed</v>
      </c>
      <c r="H189" t="str">
        <f t="shared" si="20"/>
        <v>Jan</v>
      </c>
      <c r="I189">
        <f t="shared" ca="1" si="21"/>
        <v>9</v>
      </c>
      <c r="J189" t="str">
        <f t="shared" ca="1" si="22"/>
        <v>9 years 10 months 1 days</v>
      </c>
      <c r="K189" s="149">
        <f t="shared" si="23"/>
        <v>42449</v>
      </c>
      <c r="L189" s="149">
        <f t="shared" si="18"/>
        <v>42473</v>
      </c>
      <c r="M189" s="150">
        <f t="shared" si="24"/>
        <v>4</v>
      </c>
      <c r="N189" t="str">
        <f t="shared" si="25"/>
        <v>Weekday</v>
      </c>
      <c r="O189" s="149">
        <f t="shared" si="26"/>
        <v>43568</v>
      </c>
    </row>
    <row r="190" spans="2:15" ht="14.25" customHeight="1">
      <c r="B190" s="115" t="s">
        <v>270</v>
      </c>
      <c r="C190" s="115" t="s">
        <v>732</v>
      </c>
      <c r="D190" s="115" t="s">
        <v>87</v>
      </c>
      <c r="E190" s="137">
        <v>34536</v>
      </c>
      <c r="F190" s="42">
        <v>44444</v>
      </c>
      <c r="G190" t="str">
        <f t="shared" si="19"/>
        <v>Sun</v>
      </c>
      <c r="H190" t="str">
        <f t="shared" si="20"/>
        <v>Sep</v>
      </c>
      <c r="I190">
        <f t="shared" ca="1" si="21"/>
        <v>4</v>
      </c>
      <c r="J190" t="str">
        <f t="shared" ca="1" si="22"/>
        <v>4 years 2 months 16 days</v>
      </c>
      <c r="K190" s="149">
        <f t="shared" si="23"/>
        <v>44504</v>
      </c>
      <c r="L190" s="149">
        <f t="shared" si="18"/>
        <v>44526</v>
      </c>
      <c r="M190" s="150">
        <f t="shared" si="24"/>
        <v>36</v>
      </c>
      <c r="N190" t="str">
        <f t="shared" si="25"/>
        <v>Weekend</v>
      </c>
      <c r="O190" s="149">
        <f t="shared" si="26"/>
        <v>45622</v>
      </c>
    </row>
    <row r="191" spans="2:15" ht="14.25" customHeight="1">
      <c r="B191" s="115" t="s">
        <v>269</v>
      </c>
      <c r="C191" s="115" t="s">
        <v>733</v>
      </c>
      <c r="D191" s="115" t="s">
        <v>87</v>
      </c>
      <c r="E191" s="137">
        <v>35487</v>
      </c>
      <c r="F191" s="42">
        <v>44636</v>
      </c>
      <c r="G191" t="str">
        <f t="shared" si="19"/>
        <v>Wed</v>
      </c>
      <c r="H191" t="str">
        <f t="shared" si="20"/>
        <v>Mar</v>
      </c>
      <c r="I191">
        <f t="shared" ca="1" si="21"/>
        <v>3</v>
      </c>
      <c r="J191" t="str">
        <f t="shared" ca="1" si="22"/>
        <v>3 years 8 months 5 days</v>
      </c>
      <c r="K191" s="149">
        <f t="shared" si="23"/>
        <v>44696</v>
      </c>
      <c r="L191" s="149">
        <f t="shared" si="18"/>
        <v>44720</v>
      </c>
      <c r="M191" s="150">
        <f t="shared" si="24"/>
        <v>12</v>
      </c>
      <c r="N191" t="str">
        <f t="shared" si="25"/>
        <v>Weekday</v>
      </c>
      <c r="O191" s="149">
        <f t="shared" si="26"/>
        <v>45816</v>
      </c>
    </row>
    <row r="192" spans="2:15" ht="14.25" customHeight="1">
      <c r="B192" s="115" t="s">
        <v>269</v>
      </c>
      <c r="C192" s="115" t="s">
        <v>734</v>
      </c>
      <c r="D192" s="115" t="s">
        <v>87</v>
      </c>
      <c r="E192" s="137">
        <v>17900</v>
      </c>
      <c r="F192" s="42">
        <v>44583</v>
      </c>
      <c r="G192" t="str">
        <f t="shared" si="19"/>
        <v>Sat</v>
      </c>
      <c r="H192" t="str">
        <f t="shared" si="20"/>
        <v>Jan</v>
      </c>
      <c r="I192">
        <f t="shared" ca="1" si="21"/>
        <v>3</v>
      </c>
      <c r="J192" t="str">
        <f t="shared" ca="1" si="22"/>
        <v>3 years 9 months 30 days</v>
      </c>
      <c r="K192" s="149">
        <f t="shared" si="23"/>
        <v>44643</v>
      </c>
      <c r="L192" s="149">
        <f t="shared" si="18"/>
        <v>44666</v>
      </c>
      <c r="M192" s="150">
        <f t="shared" si="24"/>
        <v>4</v>
      </c>
      <c r="N192" t="str">
        <f t="shared" si="25"/>
        <v>Weekend</v>
      </c>
      <c r="O192" s="149">
        <f t="shared" si="26"/>
        <v>45762</v>
      </c>
    </row>
    <row r="193" spans="2:15" ht="14.25" customHeight="1">
      <c r="B193" s="115" t="s">
        <v>269</v>
      </c>
      <c r="C193" s="115" t="s">
        <v>735</v>
      </c>
      <c r="D193" s="115" t="s">
        <v>87</v>
      </c>
      <c r="E193" s="137">
        <v>31369</v>
      </c>
      <c r="F193" s="42">
        <v>43321</v>
      </c>
      <c r="G193" t="str">
        <f t="shared" si="19"/>
        <v>Thu</v>
      </c>
      <c r="H193" t="str">
        <f t="shared" si="20"/>
        <v>Aug</v>
      </c>
      <c r="I193">
        <f t="shared" ca="1" si="21"/>
        <v>7</v>
      </c>
      <c r="J193" t="str">
        <f t="shared" ca="1" si="22"/>
        <v>7 years 3 months 12 days</v>
      </c>
      <c r="K193" s="149">
        <f t="shared" si="23"/>
        <v>43381</v>
      </c>
      <c r="L193" s="149">
        <f t="shared" si="18"/>
        <v>43405</v>
      </c>
      <c r="M193" s="150">
        <f t="shared" si="24"/>
        <v>32</v>
      </c>
      <c r="N193" t="str">
        <f t="shared" si="25"/>
        <v>Weekday</v>
      </c>
      <c r="O193" s="149">
        <f t="shared" si="26"/>
        <v>44501</v>
      </c>
    </row>
    <row r="194" spans="2:15" ht="14.25" customHeight="1">
      <c r="B194" s="115" t="s">
        <v>270</v>
      </c>
      <c r="C194" s="115" t="s">
        <v>736</v>
      </c>
      <c r="D194" s="115" t="s">
        <v>84</v>
      </c>
      <c r="E194" s="137">
        <v>17430</v>
      </c>
      <c r="F194" s="42">
        <v>43148</v>
      </c>
      <c r="G194" t="str">
        <f t="shared" si="19"/>
        <v>Sat</v>
      </c>
      <c r="H194" t="str">
        <f t="shared" si="20"/>
        <v>Feb</v>
      </c>
      <c r="I194">
        <f t="shared" ca="1" si="21"/>
        <v>7</v>
      </c>
      <c r="J194" t="str">
        <f t="shared" ca="1" si="22"/>
        <v>7 years 9 months 4 days</v>
      </c>
      <c r="K194" s="149">
        <f t="shared" si="23"/>
        <v>43208</v>
      </c>
      <c r="L194" s="149">
        <f t="shared" si="18"/>
        <v>43231</v>
      </c>
      <c r="M194" s="150">
        <f t="shared" si="24"/>
        <v>7</v>
      </c>
      <c r="N194" t="str">
        <f t="shared" si="25"/>
        <v>Weekend</v>
      </c>
      <c r="O194" s="149">
        <f t="shared" si="26"/>
        <v>44327</v>
      </c>
    </row>
    <row r="195" spans="2:15" ht="14.25" customHeight="1">
      <c r="B195" s="115" t="s">
        <v>270</v>
      </c>
      <c r="C195" s="115" t="s">
        <v>737</v>
      </c>
      <c r="D195" s="115" t="s">
        <v>84</v>
      </c>
      <c r="E195" s="137">
        <v>29140</v>
      </c>
      <c r="F195" s="42">
        <v>43214</v>
      </c>
      <c r="G195" t="str">
        <f t="shared" si="19"/>
        <v>Tue</v>
      </c>
      <c r="H195" t="str">
        <f t="shared" si="20"/>
        <v>Apr</v>
      </c>
      <c r="I195">
        <f t="shared" ca="1" si="21"/>
        <v>7</v>
      </c>
      <c r="J195" t="str">
        <f t="shared" ca="1" si="22"/>
        <v>7 years 6 months 28 days</v>
      </c>
      <c r="K195" s="149">
        <f t="shared" si="23"/>
        <v>43274</v>
      </c>
      <c r="L195" s="149">
        <f t="shared" si="18"/>
        <v>43298</v>
      </c>
      <c r="M195" s="150">
        <f t="shared" si="24"/>
        <v>17</v>
      </c>
      <c r="N195" t="str">
        <f t="shared" si="25"/>
        <v>Weekday</v>
      </c>
      <c r="O195" s="149">
        <f t="shared" si="26"/>
        <v>44394</v>
      </c>
    </row>
    <row r="196" spans="2:15" ht="14.25" customHeight="1">
      <c r="B196" s="115" t="s">
        <v>270</v>
      </c>
      <c r="C196" s="115" t="s">
        <v>738</v>
      </c>
      <c r="D196" s="115" t="s">
        <v>84</v>
      </c>
      <c r="E196" s="137">
        <v>16869</v>
      </c>
      <c r="F196" s="42">
        <v>43072</v>
      </c>
      <c r="G196" t="str">
        <f t="shared" si="19"/>
        <v>Sun</v>
      </c>
      <c r="H196" t="str">
        <f t="shared" si="20"/>
        <v>Dec</v>
      </c>
      <c r="I196">
        <f t="shared" ca="1" si="21"/>
        <v>7</v>
      </c>
      <c r="J196" t="str">
        <f t="shared" ca="1" si="22"/>
        <v>7 years 11 months 18 days</v>
      </c>
      <c r="K196" s="149">
        <f t="shared" si="23"/>
        <v>43132</v>
      </c>
      <c r="L196" s="149">
        <f t="shared" si="18"/>
        <v>43154</v>
      </c>
      <c r="M196" s="150">
        <f t="shared" si="24"/>
        <v>49</v>
      </c>
      <c r="N196" t="str">
        <f t="shared" si="25"/>
        <v>Weekend</v>
      </c>
      <c r="O196" s="149">
        <f t="shared" si="26"/>
        <v>44250</v>
      </c>
    </row>
    <row r="197" spans="2:15" ht="14.25" customHeight="1">
      <c r="B197" s="115" t="s">
        <v>270</v>
      </c>
      <c r="C197" s="115" t="s">
        <v>739</v>
      </c>
      <c r="D197" s="115" t="s">
        <v>87</v>
      </c>
      <c r="E197" s="137">
        <v>34219</v>
      </c>
      <c r="F197" s="42">
        <v>41403</v>
      </c>
      <c r="G197" t="str">
        <f t="shared" si="19"/>
        <v>Thu</v>
      </c>
      <c r="H197" t="str">
        <f t="shared" si="20"/>
        <v>May</v>
      </c>
      <c r="I197">
        <f t="shared" ca="1" si="21"/>
        <v>12</v>
      </c>
      <c r="J197" t="str">
        <f t="shared" ca="1" si="22"/>
        <v>12 years 6 months 12 days</v>
      </c>
      <c r="K197" s="149">
        <f t="shared" si="23"/>
        <v>41463</v>
      </c>
      <c r="L197" s="149">
        <f t="shared" si="18"/>
        <v>41487</v>
      </c>
      <c r="M197" s="150">
        <f t="shared" si="24"/>
        <v>19</v>
      </c>
      <c r="N197" t="str">
        <f t="shared" si="25"/>
        <v>Weekday</v>
      </c>
      <c r="O197" s="149">
        <f t="shared" si="26"/>
        <v>42583</v>
      </c>
    </row>
    <row r="198" spans="2:15" ht="14.25" customHeight="1">
      <c r="B198" s="115" t="s">
        <v>269</v>
      </c>
      <c r="C198" s="115" t="s">
        <v>740</v>
      </c>
      <c r="D198" s="115" t="s">
        <v>87</v>
      </c>
      <c r="E198" s="137">
        <v>19510</v>
      </c>
      <c r="F198" s="42">
        <v>44912</v>
      </c>
      <c r="G198" t="str">
        <f t="shared" si="19"/>
        <v>Sat</v>
      </c>
      <c r="H198" t="str">
        <f t="shared" si="20"/>
        <v>Dec</v>
      </c>
      <c r="I198">
        <f t="shared" ca="1" si="21"/>
        <v>2</v>
      </c>
      <c r="J198" t="str">
        <f t="shared" ca="1" si="22"/>
        <v>2 years 11 months 4 days</v>
      </c>
      <c r="K198" s="149">
        <f t="shared" si="23"/>
        <v>44972</v>
      </c>
      <c r="L198" s="149">
        <f t="shared" ref="L198:L261" si="27">WORKDAY(F198,60,$R$6:$R$7)</f>
        <v>44995</v>
      </c>
      <c r="M198" s="150">
        <f t="shared" si="24"/>
        <v>51</v>
      </c>
      <c r="N198" t="str">
        <f t="shared" si="25"/>
        <v>Weekend</v>
      </c>
      <c r="O198" s="149">
        <f t="shared" si="26"/>
        <v>46091</v>
      </c>
    </row>
    <row r="199" spans="2:15" ht="14.25" customHeight="1">
      <c r="B199" s="115" t="s">
        <v>271</v>
      </c>
      <c r="C199" s="115" t="s">
        <v>741</v>
      </c>
      <c r="D199" s="115" t="s">
        <v>84</v>
      </c>
      <c r="E199" s="137">
        <v>30922</v>
      </c>
      <c r="F199" s="42">
        <v>41439</v>
      </c>
      <c r="G199" t="str">
        <f t="shared" ref="G199:G262" si="28">TEXT(F199,"DDD")</f>
        <v>Fri</v>
      </c>
      <c r="H199" t="str">
        <f t="shared" ref="H199:H262" si="29">TEXT(F199,"MMM")</f>
        <v>Jun</v>
      </c>
      <c r="I199">
        <f t="shared" ref="I199:I262" ca="1" si="30">DATEDIF(F199,TODAY(),"Y")</f>
        <v>12</v>
      </c>
      <c r="J199" t="str">
        <f t="shared" ref="J199:J262" ca="1" si="31">DATEDIF(F199,TODAY(),"Y")&amp;" years "&amp;DATEDIF(F199,TODAY(),"YM")&amp;" months "&amp;DATEDIF(F199,TODAY(),"MD")&amp;" days"</f>
        <v>12 years 5 months 7 days</v>
      </c>
      <c r="K199" s="149">
        <f t="shared" ref="K199:K262" si="32">F199+60</f>
        <v>41499</v>
      </c>
      <c r="L199" s="149">
        <f t="shared" si="27"/>
        <v>41523</v>
      </c>
      <c r="M199" s="150">
        <f t="shared" ref="M199:M262" si="33">WEEKNUM(F199,2)</f>
        <v>24</v>
      </c>
      <c r="N199" t="str">
        <f t="shared" ref="N199:N262" si="34">IF(WEEKDAY(F199,2)&gt;5,"Weekend","Weekday")</f>
        <v>Weekday</v>
      </c>
      <c r="O199" s="149">
        <f t="shared" ref="O199:O262" si="35">EDATE(L199,36)</f>
        <v>42619</v>
      </c>
    </row>
    <row r="200" spans="2:15" ht="14.25" customHeight="1">
      <c r="B200" s="115" t="s">
        <v>269</v>
      </c>
      <c r="C200" s="115" t="s">
        <v>742</v>
      </c>
      <c r="D200" s="115" t="s">
        <v>87</v>
      </c>
      <c r="E200" s="137">
        <v>16024</v>
      </c>
      <c r="F200" s="42">
        <v>42888</v>
      </c>
      <c r="G200" t="str">
        <f t="shared" si="28"/>
        <v>Fri</v>
      </c>
      <c r="H200" t="str">
        <f t="shared" si="29"/>
        <v>Jun</v>
      </c>
      <c r="I200">
        <f t="shared" ca="1" si="30"/>
        <v>8</v>
      </c>
      <c r="J200" t="str">
        <f t="shared" ca="1" si="31"/>
        <v>8 years 5 months 19 days</v>
      </c>
      <c r="K200" s="149">
        <f t="shared" si="32"/>
        <v>42948</v>
      </c>
      <c r="L200" s="149">
        <f t="shared" si="27"/>
        <v>42972</v>
      </c>
      <c r="M200" s="150">
        <f t="shared" si="33"/>
        <v>23</v>
      </c>
      <c r="N200" t="str">
        <f t="shared" si="34"/>
        <v>Weekday</v>
      </c>
      <c r="O200" s="149">
        <f t="shared" si="35"/>
        <v>44068</v>
      </c>
    </row>
    <row r="201" spans="2:15" ht="14.25" customHeight="1">
      <c r="B201" s="115" t="s">
        <v>269</v>
      </c>
      <c r="C201" s="115" t="s">
        <v>743</v>
      </c>
      <c r="D201" s="115" t="s">
        <v>87</v>
      </c>
      <c r="E201" s="137">
        <v>15660</v>
      </c>
      <c r="F201" s="42">
        <v>41213</v>
      </c>
      <c r="G201" t="str">
        <f t="shared" si="28"/>
        <v>Wed</v>
      </c>
      <c r="H201" t="str">
        <f t="shared" si="29"/>
        <v>Oct</v>
      </c>
      <c r="I201">
        <f t="shared" ca="1" si="30"/>
        <v>13</v>
      </c>
      <c r="J201" t="str">
        <f t="shared" ca="1" si="31"/>
        <v>13 years 0 months 21 days</v>
      </c>
      <c r="K201" s="149">
        <f t="shared" si="32"/>
        <v>41273</v>
      </c>
      <c r="L201" s="149">
        <f t="shared" si="27"/>
        <v>41298</v>
      </c>
      <c r="M201" s="150">
        <f t="shared" si="33"/>
        <v>45</v>
      </c>
      <c r="N201" t="str">
        <f t="shared" si="34"/>
        <v>Weekday</v>
      </c>
      <c r="O201" s="149">
        <f t="shared" si="35"/>
        <v>42393</v>
      </c>
    </row>
    <row r="202" spans="2:15" ht="14.25" customHeight="1">
      <c r="B202" s="115" t="s">
        <v>268</v>
      </c>
      <c r="C202" s="115" t="s">
        <v>744</v>
      </c>
      <c r="D202" s="115" t="s">
        <v>87</v>
      </c>
      <c r="E202" s="137">
        <v>32653</v>
      </c>
      <c r="F202" s="42">
        <v>44639</v>
      </c>
      <c r="G202" t="str">
        <f t="shared" si="28"/>
        <v>Sat</v>
      </c>
      <c r="H202" t="str">
        <f t="shared" si="29"/>
        <v>Mar</v>
      </c>
      <c r="I202">
        <f t="shared" ca="1" si="30"/>
        <v>3</v>
      </c>
      <c r="J202" t="str">
        <f t="shared" ca="1" si="31"/>
        <v>3 years 8 months 2 days</v>
      </c>
      <c r="K202" s="149">
        <f t="shared" si="32"/>
        <v>44699</v>
      </c>
      <c r="L202" s="149">
        <f t="shared" si="27"/>
        <v>44722</v>
      </c>
      <c r="M202" s="150">
        <f t="shared" si="33"/>
        <v>12</v>
      </c>
      <c r="N202" t="str">
        <f t="shared" si="34"/>
        <v>Weekend</v>
      </c>
      <c r="O202" s="149">
        <f t="shared" si="35"/>
        <v>45818</v>
      </c>
    </row>
    <row r="203" spans="2:15" ht="14.25" customHeight="1">
      <c r="B203" s="115" t="s">
        <v>270</v>
      </c>
      <c r="C203" s="115" t="s">
        <v>745</v>
      </c>
      <c r="D203" s="115" t="s">
        <v>84</v>
      </c>
      <c r="E203" s="137">
        <v>24335</v>
      </c>
      <c r="F203" s="42">
        <v>41997</v>
      </c>
      <c r="G203" t="str">
        <f t="shared" si="28"/>
        <v>Wed</v>
      </c>
      <c r="H203" t="str">
        <f t="shared" si="29"/>
        <v>Dec</v>
      </c>
      <c r="I203">
        <f t="shared" ca="1" si="30"/>
        <v>10</v>
      </c>
      <c r="J203" t="str">
        <f t="shared" ca="1" si="31"/>
        <v>10 years 10 months 28 days</v>
      </c>
      <c r="K203" s="149">
        <f t="shared" si="32"/>
        <v>42057</v>
      </c>
      <c r="L203" s="149">
        <f t="shared" si="27"/>
        <v>42081</v>
      </c>
      <c r="M203" s="150">
        <f t="shared" si="33"/>
        <v>52</v>
      </c>
      <c r="N203" t="str">
        <f t="shared" si="34"/>
        <v>Weekday</v>
      </c>
      <c r="O203" s="149">
        <f t="shared" si="35"/>
        <v>43177</v>
      </c>
    </row>
    <row r="204" spans="2:15" ht="14.25" customHeight="1">
      <c r="B204" s="115" t="s">
        <v>272</v>
      </c>
      <c r="C204" s="115" t="s">
        <v>746</v>
      </c>
      <c r="D204" s="115" t="s">
        <v>87</v>
      </c>
      <c r="E204" s="137">
        <v>22134</v>
      </c>
      <c r="F204" s="42">
        <v>41416</v>
      </c>
      <c r="G204" t="str">
        <f t="shared" si="28"/>
        <v>Wed</v>
      </c>
      <c r="H204" t="str">
        <f t="shared" si="29"/>
        <v>May</v>
      </c>
      <c r="I204">
        <f t="shared" ca="1" si="30"/>
        <v>12</v>
      </c>
      <c r="J204" t="str">
        <f t="shared" ca="1" si="31"/>
        <v>12 years 5 months 30 days</v>
      </c>
      <c r="K204" s="149">
        <f t="shared" si="32"/>
        <v>41476</v>
      </c>
      <c r="L204" s="149">
        <f t="shared" si="27"/>
        <v>41500</v>
      </c>
      <c r="M204" s="150">
        <f t="shared" si="33"/>
        <v>21</v>
      </c>
      <c r="N204" t="str">
        <f t="shared" si="34"/>
        <v>Weekday</v>
      </c>
      <c r="O204" s="149">
        <f t="shared" si="35"/>
        <v>42596</v>
      </c>
    </row>
    <row r="205" spans="2:15" ht="14.25" customHeight="1">
      <c r="B205" s="115" t="s">
        <v>269</v>
      </c>
      <c r="C205" s="115" t="s">
        <v>747</v>
      </c>
      <c r="D205" s="115" t="s">
        <v>87</v>
      </c>
      <c r="E205" s="137">
        <v>30476</v>
      </c>
      <c r="F205" s="42">
        <v>43653</v>
      </c>
      <c r="G205" t="str">
        <f t="shared" si="28"/>
        <v>Sun</v>
      </c>
      <c r="H205" t="str">
        <f t="shared" si="29"/>
        <v>Jul</v>
      </c>
      <c r="I205">
        <f t="shared" ca="1" si="30"/>
        <v>6</v>
      </c>
      <c r="J205" t="str">
        <f t="shared" ca="1" si="31"/>
        <v>6 years 4 months 14 days</v>
      </c>
      <c r="K205" s="149">
        <f t="shared" si="32"/>
        <v>43713</v>
      </c>
      <c r="L205" s="149">
        <f t="shared" si="27"/>
        <v>43735</v>
      </c>
      <c r="M205" s="150">
        <f t="shared" si="33"/>
        <v>27</v>
      </c>
      <c r="N205" t="str">
        <f t="shared" si="34"/>
        <v>Weekend</v>
      </c>
      <c r="O205" s="149">
        <f t="shared" si="35"/>
        <v>44831</v>
      </c>
    </row>
    <row r="206" spans="2:15" ht="14.25" customHeight="1">
      <c r="B206" s="115" t="s">
        <v>272</v>
      </c>
      <c r="C206" s="115" t="s">
        <v>748</v>
      </c>
      <c r="D206" s="115" t="s">
        <v>87</v>
      </c>
      <c r="E206" s="137">
        <v>34726</v>
      </c>
      <c r="F206" s="42">
        <v>41972</v>
      </c>
      <c r="G206" t="str">
        <f t="shared" si="28"/>
        <v>Sat</v>
      </c>
      <c r="H206" t="str">
        <f t="shared" si="29"/>
        <v>Nov</v>
      </c>
      <c r="I206">
        <f t="shared" ca="1" si="30"/>
        <v>10</v>
      </c>
      <c r="J206" t="str">
        <f t="shared" ca="1" si="31"/>
        <v>10 years 11 months 23 days</v>
      </c>
      <c r="K206" s="149">
        <f t="shared" si="32"/>
        <v>42032</v>
      </c>
      <c r="L206" s="149">
        <f t="shared" si="27"/>
        <v>42055</v>
      </c>
      <c r="M206" s="150">
        <f t="shared" si="33"/>
        <v>48</v>
      </c>
      <c r="N206" t="str">
        <f t="shared" si="34"/>
        <v>Weekend</v>
      </c>
      <c r="O206" s="149">
        <f t="shared" si="35"/>
        <v>43151</v>
      </c>
    </row>
    <row r="207" spans="2:15" ht="14.25" customHeight="1">
      <c r="B207" s="115" t="s">
        <v>268</v>
      </c>
      <c r="C207" s="115" t="s">
        <v>749</v>
      </c>
      <c r="D207" s="115" t="s">
        <v>84</v>
      </c>
      <c r="E207" s="137">
        <v>17981</v>
      </c>
      <c r="F207" s="42">
        <v>44392</v>
      </c>
      <c r="G207" t="str">
        <f t="shared" si="28"/>
        <v>Thu</v>
      </c>
      <c r="H207" t="str">
        <f t="shared" si="29"/>
        <v>Jul</v>
      </c>
      <c r="I207">
        <f t="shared" ca="1" si="30"/>
        <v>4</v>
      </c>
      <c r="J207" t="str">
        <f t="shared" ca="1" si="31"/>
        <v>4 years 4 months 6 days</v>
      </c>
      <c r="K207" s="149">
        <f t="shared" si="32"/>
        <v>44452</v>
      </c>
      <c r="L207" s="149">
        <f t="shared" si="27"/>
        <v>44476</v>
      </c>
      <c r="M207" s="150">
        <f t="shared" si="33"/>
        <v>29</v>
      </c>
      <c r="N207" t="str">
        <f t="shared" si="34"/>
        <v>Weekday</v>
      </c>
      <c r="O207" s="149">
        <f t="shared" si="35"/>
        <v>45572</v>
      </c>
    </row>
    <row r="208" spans="2:15" ht="14.25" customHeight="1">
      <c r="B208" s="115" t="s">
        <v>271</v>
      </c>
      <c r="C208" s="115" t="s">
        <v>750</v>
      </c>
      <c r="D208" s="115" t="s">
        <v>84</v>
      </c>
      <c r="E208" s="137">
        <v>21082</v>
      </c>
      <c r="F208" s="42">
        <v>45242</v>
      </c>
      <c r="G208" t="str">
        <f t="shared" si="28"/>
        <v>Sun</v>
      </c>
      <c r="H208" t="str">
        <f t="shared" si="29"/>
        <v>Nov</v>
      </c>
      <c r="I208">
        <f t="shared" ca="1" si="30"/>
        <v>2</v>
      </c>
      <c r="J208" t="str">
        <f t="shared" ca="1" si="31"/>
        <v>2 years 0 months 9 days</v>
      </c>
      <c r="K208" s="149">
        <f t="shared" si="32"/>
        <v>45302</v>
      </c>
      <c r="L208" s="149">
        <f t="shared" si="27"/>
        <v>45324</v>
      </c>
      <c r="M208" s="150">
        <f t="shared" si="33"/>
        <v>46</v>
      </c>
      <c r="N208" t="str">
        <f t="shared" si="34"/>
        <v>Weekend</v>
      </c>
      <c r="O208" s="149">
        <f t="shared" si="35"/>
        <v>46420</v>
      </c>
    </row>
    <row r="209" spans="2:15" ht="14.25" customHeight="1">
      <c r="B209" s="115" t="s">
        <v>270</v>
      </c>
      <c r="C209" s="115" t="s">
        <v>751</v>
      </c>
      <c r="D209" s="115" t="s">
        <v>84</v>
      </c>
      <c r="E209" s="137">
        <v>25026</v>
      </c>
      <c r="F209" s="42">
        <v>42021</v>
      </c>
      <c r="G209" t="str">
        <f t="shared" si="28"/>
        <v>Sat</v>
      </c>
      <c r="H209" t="str">
        <f t="shared" si="29"/>
        <v>Jan</v>
      </c>
      <c r="I209">
        <f t="shared" ca="1" si="30"/>
        <v>10</v>
      </c>
      <c r="J209" t="str">
        <f t="shared" ca="1" si="31"/>
        <v>10 years 10 months 4 days</v>
      </c>
      <c r="K209" s="149">
        <f t="shared" si="32"/>
        <v>42081</v>
      </c>
      <c r="L209" s="149">
        <f t="shared" si="27"/>
        <v>42104</v>
      </c>
      <c r="M209" s="150">
        <f t="shared" si="33"/>
        <v>3</v>
      </c>
      <c r="N209" t="str">
        <f t="shared" si="34"/>
        <v>Weekend</v>
      </c>
      <c r="O209" s="149">
        <f t="shared" si="35"/>
        <v>43200</v>
      </c>
    </row>
    <row r="210" spans="2:15" ht="14.25" customHeight="1">
      <c r="B210" s="115" t="s">
        <v>268</v>
      </c>
      <c r="C210" s="115" t="s">
        <v>752</v>
      </c>
      <c r="D210" s="115" t="s">
        <v>84</v>
      </c>
      <c r="E210" s="137">
        <v>30758</v>
      </c>
      <c r="F210" s="42">
        <v>43920</v>
      </c>
      <c r="G210" t="str">
        <f t="shared" si="28"/>
        <v>Mon</v>
      </c>
      <c r="H210" t="str">
        <f t="shared" si="29"/>
        <v>Mar</v>
      </c>
      <c r="I210">
        <f t="shared" ca="1" si="30"/>
        <v>5</v>
      </c>
      <c r="J210" t="str">
        <f t="shared" ca="1" si="31"/>
        <v>5 years 7 months 22 days</v>
      </c>
      <c r="K210" s="149">
        <f t="shared" si="32"/>
        <v>43980</v>
      </c>
      <c r="L210" s="149">
        <f t="shared" si="27"/>
        <v>44004</v>
      </c>
      <c r="M210" s="150">
        <f t="shared" si="33"/>
        <v>14</v>
      </c>
      <c r="N210" t="str">
        <f t="shared" si="34"/>
        <v>Weekday</v>
      </c>
      <c r="O210" s="149">
        <f t="shared" si="35"/>
        <v>45099</v>
      </c>
    </row>
    <row r="211" spans="2:15" ht="14.25" customHeight="1">
      <c r="B211" s="115" t="s">
        <v>268</v>
      </c>
      <c r="C211" s="115" t="s">
        <v>753</v>
      </c>
      <c r="D211" s="115" t="s">
        <v>84</v>
      </c>
      <c r="E211" s="137">
        <v>22955</v>
      </c>
      <c r="F211" s="42">
        <v>44668</v>
      </c>
      <c r="G211" t="str">
        <f t="shared" si="28"/>
        <v>Sun</v>
      </c>
      <c r="H211" t="str">
        <f t="shared" si="29"/>
        <v>Apr</v>
      </c>
      <c r="I211">
        <f t="shared" ca="1" si="30"/>
        <v>3</v>
      </c>
      <c r="J211" t="str">
        <f t="shared" ca="1" si="31"/>
        <v>3 years 7 months 4 days</v>
      </c>
      <c r="K211" s="149">
        <f t="shared" si="32"/>
        <v>44728</v>
      </c>
      <c r="L211" s="149">
        <f t="shared" si="27"/>
        <v>44750</v>
      </c>
      <c r="M211" s="150">
        <f t="shared" si="33"/>
        <v>16</v>
      </c>
      <c r="N211" t="str">
        <f t="shared" si="34"/>
        <v>Weekend</v>
      </c>
      <c r="O211" s="149">
        <f t="shared" si="35"/>
        <v>45846</v>
      </c>
    </row>
    <row r="212" spans="2:15" ht="14.25" customHeight="1">
      <c r="B212" s="115" t="s">
        <v>272</v>
      </c>
      <c r="C212" s="115" t="s">
        <v>754</v>
      </c>
      <c r="D212" s="115" t="s">
        <v>84</v>
      </c>
      <c r="E212" s="137">
        <v>18968</v>
      </c>
      <c r="F212" s="42">
        <v>44891</v>
      </c>
      <c r="G212" t="str">
        <f t="shared" si="28"/>
        <v>Sat</v>
      </c>
      <c r="H212" t="str">
        <f t="shared" si="29"/>
        <v>Nov</v>
      </c>
      <c r="I212">
        <f t="shared" ca="1" si="30"/>
        <v>2</v>
      </c>
      <c r="J212" t="str">
        <f t="shared" ca="1" si="31"/>
        <v>2 years 11 months 26 days</v>
      </c>
      <c r="K212" s="149">
        <f t="shared" si="32"/>
        <v>44951</v>
      </c>
      <c r="L212" s="149">
        <f t="shared" si="27"/>
        <v>44974</v>
      </c>
      <c r="M212" s="150">
        <f t="shared" si="33"/>
        <v>48</v>
      </c>
      <c r="N212" t="str">
        <f t="shared" si="34"/>
        <v>Weekend</v>
      </c>
      <c r="O212" s="149">
        <f t="shared" si="35"/>
        <v>46070</v>
      </c>
    </row>
    <row r="213" spans="2:15" ht="14.25" customHeight="1">
      <c r="B213" s="115" t="s">
        <v>271</v>
      </c>
      <c r="C213" s="115" t="s">
        <v>755</v>
      </c>
      <c r="D213" s="115" t="s">
        <v>87</v>
      </c>
      <c r="E213" s="137">
        <v>19023</v>
      </c>
      <c r="F213" s="42">
        <v>44749</v>
      </c>
      <c r="G213" t="str">
        <f t="shared" si="28"/>
        <v>Thu</v>
      </c>
      <c r="H213" t="str">
        <f t="shared" si="29"/>
        <v>Jul</v>
      </c>
      <c r="I213">
        <f t="shared" ca="1" si="30"/>
        <v>3</v>
      </c>
      <c r="J213" t="str">
        <f t="shared" ca="1" si="31"/>
        <v>3 years 4 months 14 days</v>
      </c>
      <c r="K213" s="149">
        <f t="shared" si="32"/>
        <v>44809</v>
      </c>
      <c r="L213" s="149">
        <f t="shared" si="27"/>
        <v>44833</v>
      </c>
      <c r="M213" s="150">
        <f t="shared" si="33"/>
        <v>28</v>
      </c>
      <c r="N213" t="str">
        <f t="shared" si="34"/>
        <v>Weekday</v>
      </c>
      <c r="O213" s="149">
        <f t="shared" si="35"/>
        <v>45929</v>
      </c>
    </row>
    <row r="214" spans="2:15" ht="14.25" customHeight="1">
      <c r="B214" s="115" t="s">
        <v>268</v>
      </c>
      <c r="C214" s="115" t="s">
        <v>756</v>
      </c>
      <c r="D214" s="115" t="s">
        <v>87</v>
      </c>
      <c r="E214" s="137">
        <v>31514</v>
      </c>
      <c r="F214" s="42">
        <v>45150</v>
      </c>
      <c r="G214" t="str">
        <f t="shared" si="28"/>
        <v>Sat</v>
      </c>
      <c r="H214" t="str">
        <f t="shared" si="29"/>
        <v>Aug</v>
      </c>
      <c r="I214">
        <f t="shared" ca="1" si="30"/>
        <v>2</v>
      </c>
      <c r="J214" t="str">
        <f t="shared" ca="1" si="31"/>
        <v>2 years 3 months 9 days</v>
      </c>
      <c r="K214" s="149">
        <f t="shared" si="32"/>
        <v>45210</v>
      </c>
      <c r="L214" s="149">
        <f t="shared" si="27"/>
        <v>45233</v>
      </c>
      <c r="M214" s="150">
        <f t="shared" si="33"/>
        <v>33</v>
      </c>
      <c r="N214" t="str">
        <f t="shared" si="34"/>
        <v>Weekend</v>
      </c>
      <c r="O214" s="149">
        <f t="shared" si="35"/>
        <v>46329</v>
      </c>
    </row>
    <row r="215" spans="2:15" ht="14.25" customHeight="1">
      <c r="B215" s="115" t="s">
        <v>268</v>
      </c>
      <c r="C215" s="115" t="s">
        <v>757</v>
      </c>
      <c r="D215" s="115" t="s">
        <v>84</v>
      </c>
      <c r="E215" s="137">
        <v>16122</v>
      </c>
      <c r="F215" s="42">
        <v>44806</v>
      </c>
      <c r="G215" t="str">
        <f t="shared" si="28"/>
        <v>Fri</v>
      </c>
      <c r="H215" t="str">
        <f t="shared" si="29"/>
        <v>Sep</v>
      </c>
      <c r="I215">
        <f t="shared" ca="1" si="30"/>
        <v>3</v>
      </c>
      <c r="J215" t="str">
        <f t="shared" ca="1" si="31"/>
        <v>3 years 2 months 19 days</v>
      </c>
      <c r="K215" s="149">
        <f t="shared" si="32"/>
        <v>44866</v>
      </c>
      <c r="L215" s="149">
        <f t="shared" si="27"/>
        <v>44890</v>
      </c>
      <c r="M215" s="150">
        <f t="shared" si="33"/>
        <v>36</v>
      </c>
      <c r="N215" t="str">
        <f t="shared" si="34"/>
        <v>Weekday</v>
      </c>
      <c r="O215" s="149">
        <f t="shared" si="35"/>
        <v>45986</v>
      </c>
    </row>
    <row r="216" spans="2:15" ht="14.25" customHeight="1">
      <c r="B216" s="115" t="s">
        <v>272</v>
      </c>
      <c r="C216" s="115" t="s">
        <v>758</v>
      </c>
      <c r="D216" s="115" t="s">
        <v>87</v>
      </c>
      <c r="E216" s="137">
        <v>27189</v>
      </c>
      <c r="F216" s="42">
        <v>40782</v>
      </c>
      <c r="G216" t="str">
        <f t="shared" si="28"/>
        <v>Sat</v>
      </c>
      <c r="H216" t="str">
        <f t="shared" si="29"/>
        <v>Aug</v>
      </c>
      <c r="I216">
        <f t="shared" ca="1" si="30"/>
        <v>14</v>
      </c>
      <c r="J216" t="str">
        <f t="shared" ca="1" si="31"/>
        <v>14 years 2 months 25 days</v>
      </c>
      <c r="K216" s="149">
        <f t="shared" si="32"/>
        <v>40842</v>
      </c>
      <c r="L216" s="149">
        <f t="shared" si="27"/>
        <v>40865</v>
      </c>
      <c r="M216" s="150">
        <f t="shared" si="33"/>
        <v>35</v>
      </c>
      <c r="N216" t="str">
        <f t="shared" si="34"/>
        <v>Weekend</v>
      </c>
      <c r="O216" s="149">
        <f t="shared" si="35"/>
        <v>41961</v>
      </c>
    </row>
    <row r="217" spans="2:15" ht="14.25" customHeight="1">
      <c r="B217" s="115" t="s">
        <v>271</v>
      </c>
      <c r="C217" s="115" t="s">
        <v>759</v>
      </c>
      <c r="D217" s="115" t="s">
        <v>84</v>
      </c>
      <c r="E217" s="137">
        <v>17926</v>
      </c>
      <c r="F217" s="42">
        <v>40676</v>
      </c>
      <c r="G217" t="str">
        <f t="shared" si="28"/>
        <v>Fri</v>
      </c>
      <c r="H217" t="str">
        <f t="shared" si="29"/>
        <v>May</v>
      </c>
      <c r="I217">
        <f t="shared" ca="1" si="30"/>
        <v>14</v>
      </c>
      <c r="J217" t="str">
        <f t="shared" ca="1" si="31"/>
        <v>14 years 6 months 8 days</v>
      </c>
      <c r="K217" s="149">
        <f t="shared" si="32"/>
        <v>40736</v>
      </c>
      <c r="L217" s="149">
        <f t="shared" si="27"/>
        <v>40760</v>
      </c>
      <c r="M217" s="150">
        <f t="shared" si="33"/>
        <v>20</v>
      </c>
      <c r="N217" t="str">
        <f t="shared" si="34"/>
        <v>Weekday</v>
      </c>
      <c r="O217" s="149">
        <f t="shared" si="35"/>
        <v>41856</v>
      </c>
    </row>
    <row r="218" spans="2:15" ht="14.25" customHeight="1">
      <c r="B218" s="115" t="s">
        <v>272</v>
      </c>
      <c r="C218" s="115" t="s">
        <v>760</v>
      </c>
      <c r="D218" s="115" t="s">
        <v>84</v>
      </c>
      <c r="E218" s="137">
        <v>30614</v>
      </c>
      <c r="F218" s="42">
        <v>42210</v>
      </c>
      <c r="G218" t="str">
        <f t="shared" si="28"/>
        <v>Sat</v>
      </c>
      <c r="H218" t="str">
        <f t="shared" si="29"/>
        <v>Jul</v>
      </c>
      <c r="I218">
        <f t="shared" ca="1" si="30"/>
        <v>10</v>
      </c>
      <c r="J218" t="str">
        <f t="shared" ca="1" si="31"/>
        <v>10 years 3 months 27 days</v>
      </c>
      <c r="K218" s="149">
        <f t="shared" si="32"/>
        <v>42270</v>
      </c>
      <c r="L218" s="149">
        <f t="shared" si="27"/>
        <v>42293</v>
      </c>
      <c r="M218" s="150">
        <f t="shared" si="33"/>
        <v>30</v>
      </c>
      <c r="N218" t="str">
        <f t="shared" si="34"/>
        <v>Weekend</v>
      </c>
      <c r="O218" s="149">
        <f t="shared" si="35"/>
        <v>43389</v>
      </c>
    </row>
    <row r="219" spans="2:15" ht="14.25" customHeight="1">
      <c r="B219" s="115" t="s">
        <v>272</v>
      </c>
      <c r="C219" s="115" t="s">
        <v>761</v>
      </c>
      <c r="D219" s="115" t="s">
        <v>87</v>
      </c>
      <c r="E219" s="137">
        <v>22266</v>
      </c>
      <c r="F219" s="42">
        <v>42138</v>
      </c>
      <c r="G219" t="str">
        <f t="shared" si="28"/>
        <v>Thu</v>
      </c>
      <c r="H219" t="str">
        <f t="shared" si="29"/>
        <v>May</v>
      </c>
      <c r="I219">
        <f t="shared" ca="1" si="30"/>
        <v>10</v>
      </c>
      <c r="J219" t="str">
        <f t="shared" ca="1" si="31"/>
        <v>10 years 6 months 7 days</v>
      </c>
      <c r="K219" s="149">
        <f t="shared" si="32"/>
        <v>42198</v>
      </c>
      <c r="L219" s="149">
        <f t="shared" si="27"/>
        <v>42222</v>
      </c>
      <c r="M219" s="150">
        <f t="shared" si="33"/>
        <v>20</v>
      </c>
      <c r="N219" t="str">
        <f t="shared" si="34"/>
        <v>Weekday</v>
      </c>
      <c r="O219" s="149">
        <f t="shared" si="35"/>
        <v>43318</v>
      </c>
    </row>
    <row r="220" spans="2:15" ht="14.25" customHeight="1">
      <c r="B220" s="115" t="s">
        <v>270</v>
      </c>
      <c r="C220" s="115" t="s">
        <v>762</v>
      </c>
      <c r="D220" s="115" t="s">
        <v>87</v>
      </c>
      <c r="E220" s="137">
        <v>35038</v>
      </c>
      <c r="F220" s="42">
        <v>43952</v>
      </c>
      <c r="G220" t="str">
        <f t="shared" si="28"/>
        <v>Fri</v>
      </c>
      <c r="H220" t="str">
        <f t="shared" si="29"/>
        <v>May</v>
      </c>
      <c r="I220">
        <f t="shared" ca="1" si="30"/>
        <v>5</v>
      </c>
      <c r="J220" t="str">
        <f t="shared" ca="1" si="31"/>
        <v>5 years 6 months 20 days</v>
      </c>
      <c r="K220" s="149">
        <f t="shared" si="32"/>
        <v>44012</v>
      </c>
      <c r="L220" s="149">
        <f t="shared" si="27"/>
        <v>44036</v>
      </c>
      <c r="M220" s="150">
        <f t="shared" si="33"/>
        <v>18</v>
      </c>
      <c r="N220" t="str">
        <f t="shared" si="34"/>
        <v>Weekday</v>
      </c>
      <c r="O220" s="149">
        <f t="shared" si="35"/>
        <v>45131</v>
      </c>
    </row>
    <row r="221" spans="2:15" ht="14.25" customHeight="1">
      <c r="B221" s="115" t="s">
        <v>270</v>
      </c>
      <c r="C221" s="115" t="s">
        <v>763</v>
      </c>
      <c r="D221" s="115" t="s">
        <v>84</v>
      </c>
      <c r="E221" s="137">
        <v>18863</v>
      </c>
      <c r="F221" s="42">
        <v>43898</v>
      </c>
      <c r="G221" t="str">
        <f t="shared" si="28"/>
        <v>Sun</v>
      </c>
      <c r="H221" t="str">
        <f t="shared" si="29"/>
        <v>Mar</v>
      </c>
      <c r="I221">
        <f t="shared" ca="1" si="30"/>
        <v>5</v>
      </c>
      <c r="J221" t="str">
        <f t="shared" ca="1" si="31"/>
        <v>5 years 8 months 13 days</v>
      </c>
      <c r="K221" s="149">
        <f t="shared" si="32"/>
        <v>43958</v>
      </c>
      <c r="L221" s="149">
        <f t="shared" si="27"/>
        <v>43980</v>
      </c>
      <c r="M221" s="150">
        <f t="shared" si="33"/>
        <v>10</v>
      </c>
      <c r="N221" t="str">
        <f t="shared" si="34"/>
        <v>Weekend</v>
      </c>
      <c r="O221" s="149">
        <f t="shared" si="35"/>
        <v>45075</v>
      </c>
    </row>
    <row r="222" spans="2:15" ht="14.25" customHeight="1">
      <c r="B222" s="115" t="s">
        <v>269</v>
      </c>
      <c r="C222" s="115" t="s">
        <v>764</v>
      </c>
      <c r="D222" s="115" t="s">
        <v>87</v>
      </c>
      <c r="E222" s="137">
        <v>25875</v>
      </c>
      <c r="F222" s="42">
        <v>41519</v>
      </c>
      <c r="G222" t="str">
        <f t="shared" si="28"/>
        <v>Mon</v>
      </c>
      <c r="H222" t="str">
        <f t="shared" si="29"/>
        <v>Sep</v>
      </c>
      <c r="I222">
        <f t="shared" ca="1" si="30"/>
        <v>12</v>
      </c>
      <c r="J222" t="str">
        <f t="shared" ca="1" si="31"/>
        <v>12 years 2 months 19 days</v>
      </c>
      <c r="K222" s="149">
        <f t="shared" si="32"/>
        <v>41579</v>
      </c>
      <c r="L222" s="149">
        <f t="shared" si="27"/>
        <v>41603</v>
      </c>
      <c r="M222" s="150">
        <f t="shared" si="33"/>
        <v>36</v>
      </c>
      <c r="N222" t="str">
        <f t="shared" si="34"/>
        <v>Weekday</v>
      </c>
      <c r="O222" s="149">
        <f t="shared" si="35"/>
        <v>42699</v>
      </c>
    </row>
    <row r="223" spans="2:15" ht="14.25" customHeight="1">
      <c r="B223" s="115" t="s">
        <v>269</v>
      </c>
      <c r="C223" s="115" t="s">
        <v>765</v>
      </c>
      <c r="D223" s="115" t="s">
        <v>87</v>
      </c>
      <c r="E223" s="137">
        <v>32384</v>
      </c>
      <c r="F223" s="42">
        <v>43060</v>
      </c>
      <c r="G223" t="str">
        <f t="shared" si="28"/>
        <v>Tue</v>
      </c>
      <c r="H223" t="str">
        <f t="shared" si="29"/>
        <v>Nov</v>
      </c>
      <c r="I223">
        <f t="shared" ca="1" si="30"/>
        <v>8</v>
      </c>
      <c r="J223" t="str">
        <f t="shared" ca="1" si="31"/>
        <v>8 years 0 months 0 days</v>
      </c>
      <c r="K223" s="149">
        <f t="shared" si="32"/>
        <v>43120</v>
      </c>
      <c r="L223" s="149">
        <f t="shared" si="27"/>
        <v>43144</v>
      </c>
      <c r="M223" s="150">
        <f t="shared" si="33"/>
        <v>48</v>
      </c>
      <c r="N223" t="str">
        <f t="shared" si="34"/>
        <v>Weekday</v>
      </c>
      <c r="O223" s="149">
        <f t="shared" si="35"/>
        <v>44240</v>
      </c>
    </row>
    <row r="224" spans="2:15" ht="14.25" customHeight="1">
      <c r="B224" s="115" t="s">
        <v>270</v>
      </c>
      <c r="C224" s="115" t="s">
        <v>766</v>
      </c>
      <c r="D224" s="115" t="s">
        <v>84</v>
      </c>
      <c r="E224" s="137">
        <v>18456</v>
      </c>
      <c r="F224" s="42">
        <v>43606</v>
      </c>
      <c r="G224" t="str">
        <f t="shared" si="28"/>
        <v>Tue</v>
      </c>
      <c r="H224" t="str">
        <f t="shared" si="29"/>
        <v>May</v>
      </c>
      <c r="I224">
        <f t="shared" ca="1" si="30"/>
        <v>6</v>
      </c>
      <c r="J224" t="str">
        <f t="shared" ca="1" si="31"/>
        <v>6 years 6 months 0 days</v>
      </c>
      <c r="K224" s="149">
        <f t="shared" si="32"/>
        <v>43666</v>
      </c>
      <c r="L224" s="149">
        <f t="shared" si="27"/>
        <v>43690</v>
      </c>
      <c r="M224" s="150">
        <f t="shared" si="33"/>
        <v>21</v>
      </c>
      <c r="N224" t="str">
        <f t="shared" si="34"/>
        <v>Weekday</v>
      </c>
      <c r="O224" s="149">
        <f t="shared" si="35"/>
        <v>44786</v>
      </c>
    </row>
    <row r="225" spans="2:15" ht="14.25" customHeight="1">
      <c r="B225" s="115" t="s">
        <v>270</v>
      </c>
      <c r="C225" s="115" t="s">
        <v>767</v>
      </c>
      <c r="D225" s="115" t="s">
        <v>87</v>
      </c>
      <c r="E225" s="137">
        <v>23956</v>
      </c>
      <c r="F225" s="42">
        <v>41721</v>
      </c>
      <c r="G225" t="str">
        <f t="shared" si="28"/>
        <v>Sun</v>
      </c>
      <c r="H225" t="str">
        <f t="shared" si="29"/>
        <v>Mar</v>
      </c>
      <c r="I225">
        <f t="shared" ca="1" si="30"/>
        <v>11</v>
      </c>
      <c r="J225" t="str">
        <f t="shared" ca="1" si="31"/>
        <v>11 years 7 months 29 days</v>
      </c>
      <c r="K225" s="149">
        <f t="shared" si="32"/>
        <v>41781</v>
      </c>
      <c r="L225" s="149">
        <f t="shared" si="27"/>
        <v>41803</v>
      </c>
      <c r="M225" s="150">
        <f t="shared" si="33"/>
        <v>12</v>
      </c>
      <c r="N225" t="str">
        <f t="shared" si="34"/>
        <v>Weekend</v>
      </c>
      <c r="O225" s="149">
        <f t="shared" si="35"/>
        <v>42899</v>
      </c>
    </row>
    <row r="226" spans="2:15" ht="14.25" customHeight="1">
      <c r="B226" s="115" t="s">
        <v>269</v>
      </c>
      <c r="C226" s="115" t="s">
        <v>768</v>
      </c>
      <c r="D226" s="115" t="s">
        <v>84</v>
      </c>
      <c r="E226" s="137">
        <v>22604</v>
      </c>
      <c r="F226" s="42">
        <v>45003</v>
      </c>
      <c r="G226" t="str">
        <f t="shared" si="28"/>
        <v>Sat</v>
      </c>
      <c r="H226" t="str">
        <f t="shared" si="29"/>
        <v>Mar</v>
      </c>
      <c r="I226">
        <f t="shared" ca="1" si="30"/>
        <v>2</v>
      </c>
      <c r="J226" t="str">
        <f t="shared" ca="1" si="31"/>
        <v>2 years 8 months 3 days</v>
      </c>
      <c r="K226" s="149">
        <f t="shared" si="32"/>
        <v>45063</v>
      </c>
      <c r="L226" s="149">
        <f t="shared" si="27"/>
        <v>45086</v>
      </c>
      <c r="M226" s="150">
        <f t="shared" si="33"/>
        <v>12</v>
      </c>
      <c r="N226" t="str">
        <f t="shared" si="34"/>
        <v>Weekend</v>
      </c>
      <c r="O226" s="149">
        <f t="shared" si="35"/>
        <v>46182</v>
      </c>
    </row>
    <row r="227" spans="2:15" ht="14.25" customHeight="1">
      <c r="B227" s="115" t="s">
        <v>271</v>
      </c>
      <c r="C227" s="115" t="s">
        <v>769</v>
      </c>
      <c r="D227" s="115" t="s">
        <v>87</v>
      </c>
      <c r="E227" s="137">
        <v>34517</v>
      </c>
      <c r="F227" s="42">
        <v>41701</v>
      </c>
      <c r="G227" t="str">
        <f t="shared" si="28"/>
        <v>Mon</v>
      </c>
      <c r="H227" t="str">
        <f t="shared" si="29"/>
        <v>Mar</v>
      </c>
      <c r="I227">
        <f t="shared" ca="1" si="30"/>
        <v>11</v>
      </c>
      <c r="J227" t="str">
        <f t="shared" ca="1" si="31"/>
        <v>11 years 8 months 18 days</v>
      </c>
      <c r="K227" s="149">
        <f t="shared" si="32"/>
        <v>41761</v>
      </c>
      <c r="L227" s="149">
        <f t="shared" si="27"/>
        <v>41785</v>
      </c>
      <c r="M227" s="150">
        <f t="shared" si="33"/>
        <v>10</v>
      </c>
      <c r="N227" t="str">
        <f t="shared" si="34"/>
        <v>Weekday</v>
      </c>
      <c r="O227" s="149">
        <f t="shared" si="35"/>
        <v>42881</v>
      </c>
    </row>
    <row r="228" spans="2:15" ht="14.25" customHeight="1">
      <c r="B228" s="115" t="s">
        <v>268</v>
      </c>
      <c r="C228" s="115" t="s">
        <v>770</v>
      </c>
      <c r="D228" s="115" t="s">
        <v>84</v>
      </c>
      <c r="E228" s="137">
        <v>21753</v>
      </c>
      <c r="F228" s="42">
        <v>42465</v>
      </c>
      <c r="G228" t="str">
        <f t="shared" si="28"/>
        <v>Tue</v>
      </c>
      <c r="H228" t="str">
        <f t="shared" si="29"/>
        <v>Apr</v>
      </c>
      <c r="I228">
        <f t="shared" ca="1" si="30"/>
        <v>9</v>
      </c>
      <c r="J228" t="str">
        <f t="shared" ca="1" si="31"/>
        <v>9 years 7 months 16 days</v>
      </c>
      <c r="K228" s="149">
        <f t="shared" si="32"/>
        <v>42525</v>
      </c>
      <c r="L228" s="149">
        <f t="shared" si="27"/>
        <v>42549</v>
      </c>
      <c r="M228" s="150">
        <f t="shared" si="33"/>
        <v>15</v>
      </c>
      <c r="N228" t="str">
        <f t="shared" si="34"/>
        <v>Weekday</v>
      </c>
      <c r="O228" s="149">
        <f t="shared" si="35"/>
        <v>43644</v>
      </c>
    </row>
    <row r="229" spans="2:15" ht="14.25" customHeight="1">
      <c r="B229" s="115" t="s">
        <v>269</v>
      </c>
      <c r="C229" s="115" t="s">
        <v>771</v>
      </c>
      <c r="D229" s="115" t="s">
        <v>84</v>
      </c>
      <c r="E229" s="137">
        <v>16411</v>
      </c>
      <c r="F229" s="42">
        <v>44376</v>
      </c>
      <c r="G229" t="str">
        <f t="shared" si="28"/>
        <v>Tue</v>
      </c>
      <c r="H229" t="str">
        <f t="shared" si="29"/>
        <v>Jun</v>
      </c>
      <c r="I229">
        <f t="shared" ca="1" si="30"/>
        <v>4</v>
      </c>
      <c r="J229" t="str">
        <f t="shared" ca="1" si="31"/>
        <v>4 years 4 months 23 days</v>
      </c>
      <c r="K229" s="149">
        <f t="shared" si="32"/>
        <v>44436</v>
      </c>
      <c r="L229" s="149">
        <f t="shared" si="27"/>
        <v>44460</v>
      </c>
      <c r="M229" s="150">
        <f t="shared" si="33"/>
        <v>27</v>
      </c>
      <c r="N229" t="str">
        <f t="shared" si="34"/>
        <v>Weekday</v>
      </c>
      <c r="O229" s="149">
        <f t="shared" si="35"/>
        <v>45556</v>
      </c>
    </row>
    <row r="230" spans="2:15" ht="14.25" customHeight="1">
      <c r="B230" s="115" t="s">
        <v>270</v>
      </c>
      <c r="C230" s="115" t="s">
        <v>772</v>
      </c>
      <c r="D230" s="115" t="s">
        <v>87</v>
      </c>
      <c r="E230" s="137">
        <v>29357</v>
      </c>
      <c r="F230" s="42">
        <v>43106</v>
      </c>
      <c r="G230" t="str">
        <f t="shared" si="28"/>
        <v>Sat</v>
      </c>
      <c r="H230" t="str">
        <f t="shared" si="29"/>
        <v>Jan</v>
      </c>
      <c r="I230">
        <f t="shared" ca="1" si="30"/>
        <v>7</v>
      </c>
      <c r="J230" t="str">
        <f t="shared" ca="1" si="31"/>
        <v>7 years 10 months 15 days</v>
      </c>
      <c r="K230" s="149">
        <f t="shared" si="32"/>
        <v>43166</v>
      </c>
      <c r="L230" s="149">
        <f t="shared" si="27"/>
        <v>43189</v>
      </c>
      <c r="M230" s="150">
        <f t="shared" si="33"/>
        <v>1</v>
      </c>
      <c r="N230" t="str">
        <f t="shared" si="34"/>
        <v>Weekend</v>
      </c>
      <c r="O230" s="149">
        <f t="shared" si="35"/>
        <v>44285</v>
      </c>
    </row>
    <row r="231" spans="2:15" ht="14.25" customHeight="1">
      <c r="B231" s="115" t="s">
        <v>272</v>
      </c>
      <c r="C231" s="115" t="s">
        <v>773</v>
      </c>
      <c r="D231" s="115" t="s">
        <v>84</v>
      </c>
      <c r="E231" s="137">
        <v>34486</v>
      </c>
      <c r="F231" s="42">
        <v>43269</v>
      </c>
      <c r="G231" t="str">
        <f t="shared" si="28"/>
        <v>Mon</v>
      </c>
      <c r="H231" t="str">
        <f t="shared" si="29"/>
        <v>Jun</v>
      </c>
      <c r="I231">
        <f t="shared" ca="1" si="30"/>
        <v>7</v>
      </c>
      <c r="J231" t="str">
        <f t="shared" ca="1" si="31"/>
        <v>7 years 5 months 3 days</v>
      </c>
      <c r="K231" s="149">
        <f t="shared" si="32"/>
        <v>43329</v>
      </c>
      <c r="L231" s="149">
        <f t="shared" si="27"/>
        <v>43353</v>
      </c>
      <c r="M231" s="150">
        <f t="shared" si="33"/>
        <v>25</v>
      </c>
      <c r="N231" t="str">
        <f t="shared" si="34"/>
        <v>Weekday</v>
      </c>
      <c r="O231" s="149">
        <f t="shared" si="35"/>
        <v>44449</v>
      </c>
    </row>
    <row r="232" spans="2:15" ht="14.25" customHeight="1">
      <c r="B232" s="115" t="s">
        <v>271</v>
      </c>
      <c r="C232" s="115" t="s">
        <v>774</v>
      </c>
      <c r="D232" s="115" t="s">
        <v>84</v>
      </c>
      <c r="E232" s="137">
        <v>34351</v>
      </c>
      <c r="F232" s="42">
        <v>42708</v>
      </c>
      <c r="G232" t="str">
        <f t="shared" si="28"/>
        <v>Sun</v>
      </c>
      <c r="H232" t="str">
        <f t="shared" si="29"/>
        <v>Dec</v>
      </c>
      <c r="I232">
        <f t="shared" ca="1" si="30"/>
        <v>8</v>
      </c>
      <c r="J232" t="str">
        <f t="shared" ca="1" si="31"/>
        <v>8 years 11 months 17 days</v>
      </c>
      <c r="K232" s="149">
        <f t="shared" si="32"/>
        <v>42768</v>
      </c>
      <c r="L232" s="149">
        <f t="shared" si="27"/>
        <v>42790</v>
      </c>
      <c r="M232" s="150">
        <f t="shared" si="33"/>
        <v>49</v>
      </c>
      <c r="N232" t="str">
        <f t="shared" si="34"/>
        <v>Weekend</v>
      </c>
      <c r="O232" s="149">
        <f t="shared" si="35"/>
        <v>43885</v>
      </c>
    </row>
    <row r="233" spans="2:15" ht="14.25" customHeight="1">
      <c r="B233" s="115" t="s">
        <v>269</v>
      </c>
      <c r="C233" s="115" t="s">
        <v>775</v>
      </c>
      <c r="D233" s="115" t="s">
        <v>87</v>
      </c>
      <c r="E233" s="137">
        <v>15536</v>
      </c>
      <c r="F233" s="42">
        <v>41426</v>
      </c>
      <c r="G233" t="str">
        <f t="shared" si="28"/>
        <v>Sat</v>
      </c>
      <c r="H233" t="str">
        <f t="shared" si="29"/>
        <v>Jun</v>
      </c>
      <c r="I233">
        <f t="shared" ca="1" si="30"/>
        <v>12</v>
      </c>
      <c r="J233" t="str">
        <f t="shared" ca="1" si="31"/>
        <v>12 years 5 months 20 days</v>
      </c>
      <c r="K233" s="149">
        <f t="shared" si="32"/>
        <v>41486</v>
      </c>
      <c r="L233" s="149">
        <f t="shared" si="27"/>
        <v>41509</v>
      </c>
      <c r="M233" s="150">
        <f t="shared" si="33"/>
        <v>22</v>
      </c>
      <c r="N233" t="str">
        <f t="shared" si="34"/>
        <v>Weekend</v>
      </c>
      <c r="O233" s="149">
        <f t="shared" si="35"/>
        <v>42605</v>
      </c>
    </row>
    <row r="234" spans="2:15" ht="14.25" customHeight="1">
      <c r="B234" s="115" t="s">
        <v>269</v>
      </c>
      <c r="C234" s="115" t="s">
        <v>776</v>
      </c>
      <c r="D234" s="115" t="s">
        <v>87</v>
      </c>
      <c r="E234" s="137">
        <v>25812</v>
      </c>
      <c r="F234" s="42">
        <v>42802</v>
      </c>
      <c r="G234" t="str">
        <f t="shared" si="28"/>
        <v>Wed</v>
      </c>
      <c r="H234" t="str">
        <f t="shared" si="29"/>
        <v>Mar</v>
      </c>
      <c r="I234">
        <f t="shared" ca="1" si="30"/>
        <v>8</v>
      </c>
      <c r="J234" t="str">
        <f t="shared" ca="1" si="31"/>
        <v>8 years 8 months 13 days</v>
      </c>
      <c r="K234" s="149">
        <f t="shared" si="32"/>
        <v>42862</v>
      </c>
      <c r="L234" s="149">
        <f t="shared" si="27"/>
        <v>42886</v>
      </c>
      <c r="M234" s="150">
        <f t="shared" si="33"/>
        <v>11</v>
      </c>
      <c r="N234" t="str">
        <f t="shared" si="34"/>
        <v>Weekday</v>
      </c>
      <c r="O234" s="149">
        <f t="shared" si="35"/>
        <v>43982</v>
      </c>
    </row>
    <row r="235" spans="2:15" ht="14.25" customHeight="1">
      <c r="B235" s="115" t="s">
        <v>268</v>
      </c>
      <c r="C235" s="115" t="s">
        <v>777</v>
      </c>
      <c r="D235" s="115" t="s">
        <v>84</v>
      </c>
      <c r="E235" s="137">
        <v>26896</v>
      </c>
      <c r="F235" s="42">
        <v>42523</v>
      </c>
      <c r="G235" t="str">
        <f t="shared" si="28"/>
        <v>Thu</v>
      </c>
      <c r="H235" t="str">
        <f t="shared" si="29"/>
        <v>Jun</v>
      </c>
      <c r="I235">
        <f t="shared" ca="1" si="30"/>
        <v>9</v>
      </c>
      <c r="J235" t="str">
        <f t="shared" ca="1" si="31"/>
        <v>9 years 5 months 19 days</v>
      </c>
      <c r="K235" s="149">
        <f t="shared" si="32"/>
        <v>42583</v>
      </c>
      <c r="L235" s="149">
        <f t="shared" si="27"/>
        <v>42607</v>
      </c>
      <c r="M235" s="150">
        <f t="shared" si="33"/>
        <v>23</v>
      </c>
      <c r="N235" t="str">
        <f t="shared" si="34"/>
        <v>Weekday</v>
      </c>
      <c r="O235" s="149">
        <f t="shared" si="35"/>
        <v>43702</v>
      </c>
    </row>
    <row r="236" spans="2:15" ht="14.25" customHeight="1">
      <c r="B236" s="115" t="s">
        <v>272</v>
      </c>
      <c r="C236" s="115" t="s">
        <v>778</v>
      </c>
      <c r="D236" s="115" t="s">
        <v>84</v>
      </c>
      <c r="E236" s="137">
        <v>26732</v>
      </c>
      <c r="F236" s="42">
        <v>42919</v>
      </c>
      <c r="G236" t="str">
        <f t="shared" si="28"/>
        <v>Mon</v>
      </c>
      <c r="H236" t="str">
        <f t="shared" si="29"/>
        <v>Jul</v>
      </c>
      <c r="I236">
        <f t="shared" ca="1" si="30"/>
        <v>8</v>
      </c>
      <c r="J236" t="str">
        <f t="shared" ca="1" si="31"/>
        <v>8 years 4 months 18 days</v>
      </c>
      <c r="K236" s="149">
        <f t="shared" si="32"/>
        <v>42979</v>
      </c>
      <c r="L236" s="149">
        <f t="shared" si="27"/>
        <v>43003</v>
      </c>
      <c r="M236" s="150">
        <f t="shared" si="33"/>
        <v>28</v>
      </c>
      <c r="N236" t="str">
        <f t="shared" si="34"/>
        <v>Weekday</v>
      </c>
      <c r="O236" s="149">
        <f t="shared" si="35"/>
        <v>44099</v>
      </c>
    </row>
    <row r="237" spans="2:15" ht="14.25" customHeight="1">
      <c r="B237" s="115" t="s">
        <v>272</v>
      </c>
      <c r="C237" s="115" t="s">
        <v>779</v>
      </c>
      <c r="D237" s="115" t="s">
        <v>87</v>
      </c>
      <c r="E237" s="137">
        <v>32028</v>
      </c>
      <c r="F237" s="42">
        <v>40864</v>
      </c>
      <c r="G237" t="str">
        <f t="shared" si="28"/>
        <v>Thu</v>
      </c>
      <c r="H237" t="str">
        <f t="shared" si="29"/>
        <v>Nov</v>
      </c>
      <c r="I237">
        <f t="shared" ca="1" si="30"/>
        <v>14</v>
      </c>
      <c r="J237" t="str">
        <f t="shared" ca="1" si="31"/>
        <v>14 years 0 months 4 days</v>
      </c>
      <c r="K237" s="149">
        <f t="shared" si="32"/>
        <v>40924</v>
      </c>
      <c r="L237" s="149">
        <f t="shared" si="27"/>
        <v>40948</v>
      </c>
      <c r="M237" s="150">
        <f t="shared" si="33"/>
        <v>47</v>
      </c>
      <c r="N237" t="str">
        <f t="shared" si="34"/>
        <v>Weekday</v>
      </c>
      <c r="O237" s="149">
        <f t="shared" si="35"/>
        <v>42044</v>
      </c>
    </row>
    <row r="238" spans="2:15" ht="14.25" customHeight="1">
      <c r="B238" s="115" t="s">
        <v>270</v>
      </c>
      <c r="C238" s="115" t="s">
        <v>780</v>
      </c>
      <c r="D238" s="115" t="s">
        <v>84</v>
      </c>
      <c r="E238" s="137">
        <v>26450</v>
      </c>
      <c r="F238" s="42">
        <v>41693</v>
      </c>
      <c r="G238" t="str">
        <f t="shared" si="28"/>
        <v>Sun</v>
      </c>
      <c r="H238" t="str">
        <f t="shared" si="29"/>
        <v>Feb</v>
      </c>
      <c r="I238">
        <f t="shared" ca="1" si="30"/>
        <v>11</v>
      </c>
      <c r="J238" t="str">
        <f t="shared" ca="1" si="31"/>
        <v>11 years 8 months 29 days</v>
      </c>
      <c r="K238" s="149">
        <f t="shared" si="32"/>
        <v>41753</v>
      </c>
      <c r="L238" s="149">
        <f t="shared" si="27"/>
        <v>41775</v>
      </c>
      <c r="M238" s="150">
        <f t="shared" si="33"/>
        <v>8</v>
      </c>
      <c r="N238" t="str">
        <f t="shared" si="34"/>
        <v>Weekend</v>
      </c>
      <c r="O238" s="149">
        <f t="shared" si="35"/>
        <v>42871</v>
      </c>
    </row>
    <row r="239" spans="2:15" ht="14.25" customHeight="1">
      <c r="B239" s="115" t="s">
        <v>268</v>
      </c>
      <c r="C239" s="115" t="s">
        <v>781</v>
      </c>
      <c r="D239" s="115" t="s">
        <v>84</v>
      </c>
      <c r="E239" s="137">
        <v>34504</v>
      </c>
      <c r="F239" s="42">
        <v>41195</v>
      </c>
      <c r="G239" t="str">
        <f t="shared" si="28"/>
        <v>Sat</v>
      </c>
      <c r="H239" t="str">
        <f t="shared" si="29"/>
        <v>Oct</v>
      </c>
      <c r="I239">
        <f t="shared" ca="1" si="30"/>
        <v>13</v>
      </c>
      <c r="J239" t="str">
        <f t="shared" ca="1" si="31"/>
        <v>13 years 1 months 8 days</v>
      </c>
      <c r="K239" s="149">
        <f t="shared" si="32"/>
        <v>41255</v>
      </c>
      <c r="L239" s="149">
        <f t="shared" si="27"/>
        <v>41281</v>
      </c>
      <c r="M239" s="150">
        <f t="shared" si="33"/>
        <v>42</v>
      </c>
      <c r="N239" t="str">
        <f t="shared" si="34"/>
        <v>Weekend</v>
      </c>
      <c r="O239" s="149">
        <f t="shared" si="35"/>
        <v>42376</v>
      </c>
    </row>
    <row r="240" spans="2:15" ht="14.25" customHeight="1">
      <c r="B240" s="115" t="s">
        <v>270</v>
      </c>
      <c r="C240" s="115" t="s">
        <v>782</v>
      </c>
      <c r="D240" s="115" t="s">
        <v>87</v>
      </c>
      <c r="E240" s="137">
        <v>34861</v>
      </c>
      <c r="F240" s="42">
        <v>44868</v>
      </c>
      <c r="G240" t="str">
        <f t="shared" si="28"/>
        <v>Thu</v>
      </c>
      <c r="H240" t="str">
        <f t="shared" si="29"/>
        <v>Nov</v>
      </c>
      <c r="I240">
        <f t="shared" ca="1" si="30"/>
        <v>3</v>
      </c>
      <c r="J240" t="str">
        <f t="shared" ca="1" si="31"/>
        <v>3 years 0 months 18 days</v>
      </c>
      <c r="K240" s="149">
        <f t="shared" si="32"/>
        <v>44928</v>
      </c>
      <c r="L240" s="149">
        <f t="shared" si="27"/>
        <v>44952</v>
      </c>
      <c r="M240" s="150">
        <f t="shared" si="33"/>
        <v>45</v>
      </c>
      <c r="N240" t="str">
        <f t="shared" si="34"/>
        <v>Weekday</v>
      </c>
      <c r="O240" s="149">
        <f t="shared" si="35"/>
        <v>46048</v>
      </c>
    </row>
    <row r="241" spans="2:15" ht="14.25" customHeight="1">
      <c r="B241" s="115" t="s">
        <v>271</v>
      </c>
      <c r="C241" s="115" t="s">
        <v>783</v>
      </c>
      <c r="D241" s="115" t="s">
        <v>84</v>
      </c>
      <c r="E241" s="137">
        <v>17081</v>
      </c>
      <c r="F241" s="42">
        <v>41854</v>
      </c>
      <c r="G241" t="str">
        <f t="shared" si="28"/>
        <v>Sun</v>
      </c>
      <c r="H241" t="str">
        <f t="shared" si="29"/>
        <v>Aug</v>
      </c>
      <c r="I241">
        <f t="shared" ca="1" si="30"/>
        <v>11</v>
      </c>
      <c r="J241" t="str">
        <f t="shared" ca="1" si="31"/>
        <v>11 years 3 months 18 days</v>
      </c>
      <c r="K241" s="149">
        <f t="shared" si="32"/>
        <v>41914</v>
      </c>
      <c r="L241" s="149">
        <f t="shared" si="27"/>
        <v>41936</v>
      </c>
      <c r="M241" s="150">
        <f t="shared" si="33"/>
        <v>31</v>
      </c>
      <c r="N241" t="str">
        <f t="shared" si="34"/>
        <v>Weekend</v>
      </c>
      <c r="O241" s="149">
        <f t="shared" si="35"/>
        <v>43032</v>
      </c>
    </row>
    <row r="242" spans="2:15" ht="14.25" customHeight="1">
      <c r="B242" s="115" t="s">
        <v>272</v>
      </c>
      <c r="C242" s="115" t="s">
        <v>784</v>
      </c>
      <c r="D242" s="115" t="s">
        <v>84</v>
      </c>
      <c r="E242" s="137">
        <v>17470</v>
      </c>
      <c r="F242" s="42">
        <v>44606</v>
      </c>
      <c r="G242" t="str">
        <f t="shared" si="28"/>
        <v>Mon</v>
      </c>
      <c r="H242" t="str">
        <f t="shared" si="29"/>
        <v>Feb</v>
      </c>
      <c r="I242">
        <f t="shared" ca="1" si="30"/>
        <v>3</v>
      </c>
      <c r="J242" t="str">
        <f t="shared" ca="1" si="31"/>
        <v>3 years 9 months 7 days</v>
      </c>
      <c r="K242" s="149">
        <f t="shared" si="32"/>
        <v>44666</v>
      </c>
      <c r="L242" s="149">
        <f t="shared" si="27"/>
        <v>44690</v>
      </c>
      <c r="M242" s="150">
        <f t="shared" si="33"/>
        <v>8</v>
      </c>
      <c r="N242" t="str">
        <f t="shared" si="34"/>
        <v>Weekday</v>
      </c>
      <c r="O242" s="149">
        <f t="shared" si="35"/>
        <v>45786</v>
      </c>
    </row>
    <row r="243" spans="2:15" ht="14.25" customHeight="1">
      <c r="B243" s="115" t="s">
        <v>272</v>
      </c>
      <c r="C243" s="115" t="s">
        <v>785</v>
      </c>
      <c r="D243" s="115" t="s">
        <v>84</v>
      </c>
      <c r="E243" s="137">
        <v>22890</v>
      </c>
      <c r="F243" s="42">
        <v>41028</v>
      </c>
      <c r="G243" t="str">
        <f t="shared" si="28"/>
        <v>Sun</v>
      </c>
      <c r="H243" t="str">
        <f t="shared" si="29"/>
        <v>Apr</v>
      </c>
      <c r="I243">
        <f t="shared" ca="1" si="30"/>
        <v>13</v>
      </c>
      <c r="J243" t="str">
        <f t="shared" ca="1" si="31"/>
        <v>13 years 6 months 23 days</v>
      </c>
      <c r="K243" s="149">
        <f t="shared" si="32"/>
        <v>41088</v>
      </c>
      <c r="L243" s="149">
        <f t="shared" si="27"/>
        <v>41110</v>
      </c>
      <c r="M243" s="150">
        <f t="shared" si="33"/>
        <v>18</v>
      </c>
      <c r="N243" t="str">
        <f t="shared" si="34"/>
        <v>Weekend</v>
      </c>
      <c r="O243" s="149">
        <f t="shared" si="35"/>
        <v>42205</v>
      </c>
    </row>
    <row r="244" spans="2:15" ht="14.25" customHeight="1">
      <c r="B244" s="115" t="s">
        <v>268</v>
      </c>
      <c r="C244" s="115" t="s">
        <v>786</v>
      </c>
      <c r="D244" s="115" t="s">
        <v>84</v>
      </c>
      <c r="E244" s="137">
        <v>16872</v>
      </c>
      <c r="F244" s="42">
        <v>43790</v>
      </c>
      <c r="G244" t="str">
        <f t="shared" si="28"/>
        <v>Thu</v>
      </c>
      <c r="H244" t="str">
        <f t="shared" si="29"/>
        <v>Nov</v>
      </c>
      <c r="I244">
        <f t="shared" ca="1" si="30"/>
        <v>6</v>
      </c>
      <c r="J244" t="str">
        <f t="shared" ca="1" si="31"/>
        <v>6 years 0 months 0 days</v>
      </c>
      <c r="K244" s="149">
        <f t="shared" si="32"/>
        <v>43850</v>
      </c>
      <c r="L244" s="149">
        <f t="shared" si="27"/>
        <v>43874</v>
      </c>
      <c r="M244" s="150">
        <f t="shared" si="33"/>
        <v>47</v>
      </c>
      <c r="N244" t="str">
        <f t="shared" si="34"/>
        <v>Weekday</v>
      </c>
      <c r="O244" s="149">
        <f t="shared" si="35"/>
        <v>44970</v>
      </c>
    </row>
    <row r="245" spans="2:15" ht="14.25" customHeight="1">
      <c r="B245" s="115" t="s">
        <v>270</v>
      </c>
      <c r="C245" s="115" t="s">
        <v>787</v>
      </c>
      <c r="D245" s="115" t="s">
        <v>84</v>
      </c>
      <c r="E245" s="137">
        <v>24347</v>
      </c>
      <c r="F245" s="42">
        <v>45248</v>
      </c>
      <c r="G245" t="str">
        <f t="shared" si="28"/>
        <v>Sat</v>
      </c>
      <c r="H245" t="str">
        <f t="shared" si="29"/>
        <v>Nov</v>
      </c>
      <c r="I245">
        <f t="shared" ca="1" si="30"/>
        <v>2</v>
      </c>
      <c r="J245" t="str">
        <f t="shared" ca="1" si="31"/>
        <v>2 years 0 months 3 days</v>
      </c>
      <c r="K245" s="149">
        <f t="shared" si="32"/>
        <v>45308</v>
      </c>
      <c r="L245" s="149">
        <f t="shared" si="27"/>
        <v>45331</v>
      </c>
      <c r="M245" s="150">
        <f t="shared" si="33"/>
        <v>47</v>
      </c>
      <c r="N245" t="str">
        <f t="shared" si="34"/>
        <v>Weekend</v>
      </c>
      <c r="O245" s="149">
        <f t="shared" si="35"/>
        <v>46427</v>
      </c>
    </row>
    <row r="246" spans="2:15" ht="14.25" customHeight="1">
      <c r="B246" s="115" t="s">
        <v>270</v>
      </c>
      <c r="C246" s="115" t="s">
        <v>788</v>
      </c>
      <c r="D246" s="115" t="s">
        <v>87</v>
      </c>
      <c r="E246" s="137">
        <v>35181</v>
      </c>
      <c r="F246" s="42">
        <v>43184</v>
      </c>
      <c r="G246" t="str">
        <f t="shared" si="28"/>
        <v>Sun</v>
      </c>
      <c r="H246" t="str">
        <f t="shared" si="29"/>
        <v>Mar</v>
      </c>
      <c r="I246">
        <f t="shared" ca="1" si="30"/>
        <v>7</v>
      </c>
      <c r="J246" t="str">
        <f t="shared" ca="1" si="31"/>
        <v>7 years 7 months 27 days</v>
      </c>
      <c r="K246" s="149">
        <f t="shared" si="32"/>
        <v>43244</v>
      </c>
      <c r="L246" s="149">
        <f t="shared" si="27"/>
        <v>43266</v>
      </c>
      <c r="M246" s="150">
        <f t="shared" si="33"/>
        <v>12</v>
      </c>
      <c r="N246" t="str">
        <f t="shared" si="34"/>
        <v>Weekend</v>
      </c>
      <c r="O246" s="149">
        <f t="shared" si="35"/>
        <v>44362</v>
      </c>
    </row>
    <row r="247" spans="2:15" ht="14.25" customHeight="1">
      <c r="B247" s="115" t="s">
        <v>271</v>
      </c>
      <c r="C247" s="115" t="s">
        <v>789</v>
      </c>
      <c r="D247" s="115" t="s">
        <v>87</v>
      </c>
      <c r="E247" s="137">
        <v>24054</v>
      </c>
      <c r="F247" s="42">
        <v>44928</v>
      </c>
      <c r="G247" t="str">
        <f t="shared" si="28"/>
        <v>Mon</v>
      </c>
      <c r="H247" t="str">
        <f t="shared" si="29"/>
        <v>Jan</v>
      </c>
      <c r="I247">
        <f t="shared" ca="1" si="30"/>
        <v>2</v>
      </c>
      <c r="J247" t="str">
        <f t="shared" ca="1" si="31"/>
        <v>2 years 10 months 19 days</v>
      </c>
      <c r="K247" s="149">
        <f t="shared" si="32"/>
        <v>44988</v>
      </c>
      <c r="L247" s="149">
        <f t="shared" si="27"/>
        <v>45012</v>
      </c>
      <c r="M247" s="150">
        <f t="shared" si="33"/>
        <v>2</v>
      </c>
      <c r="N247" t="str">
        <f t="shared" si="34"/>
        <v>Weekday</v>
      </c>
      <c r="O247" s="149">
        <f t="shared" si="35"/>
        <v>46108</v>
      </c>
    </row>
    <row r="248" spans="2:15" ht="14.25" customHeight="1">
      <c r="B248" s="115" t="s">
        <v>271</v>
      </c>
      <c r="C248" s="115" t="s">
        <v>790</v>
      </c>
      <c r="D248" s="115" t="s">
        <v>87</v>
      </c>
      <c r="E248" s="137">
        <v>34218</v>
      </c>
      <c r="F248" s="42">
        <v>44835</v>
      </c>
      <c r="G248" t="str">
        <f t="shared" si="28"/>
        <v>Sat</v>
      </c>
      <c r="H248" t="str">
        <f t="shared" si="29"/>
        <v>Oct</v>
      </c>
      <c r="I248">
        <f t="shared" ca="1" si="30"/>
        <v>3</v>
      </c>
      <c r="J248" t="str">
        <f t="shared" ca="1" si="31"/>
        <v>3 years 1 months 20 days</v>
      </c>
      <c r="K248" s="149">
        <f t="shared" si="32"/>
        <v>44895</v>
      </c>
      <c r="L248" s="149">
        <f t="shared" si="27"/>
        <v>44918</v>
      </c>
      <c r="M248" s="150">
        <f t="shared" si="33"/>
        <v>40</v>
      </c>
      <c r="N248" t="str">
        <f t="shared" si="34"/>
        <v>Weekend</v>
      </c>
      <c r="O248" s="149">
        <f t="shared" si="35"/>
        <v>46014</v>
      </c>
    </row>
    <row r="249" spans="2:15" ht="14.25" customHeight="1">
      <c r="B249" s="115" t="s">
        <v>271</v>
      </c>
      <c r="C249" s="115" t="s">
        <v>791</v>
      </c>
      <c r="D249" s="115" t="s">
        <v>87</v>
      </c>
      <c r="E249" s="137">
        <v>19257</v>
      </c>
      <c r="F249" s="42">
        <v>42809</v>
      </c>
      <c r="G249" t="str">
        <f t="shared" si="28"/>
        <v>Wed</v>
      </c>
      <c r="H249" t="str">
        <f t="shared" si="29"/>
        <v>Mar</v>
      </c>
      <c r="I249">
        <f t="shared" ca="1" si="30"/>
        <v>8</v>
      </c>
      <c r="J249" t="str">
        <f t="shared" ca="1" si="31"/>
        <v>8 years 8 months 6 days</v>
      </c>
      <c r="K249" s="149">
        <f t="shared" si="32"/>
        <v>42869</v>
      </c>
      <c r="L249" s="149">
        <f t="shared" si="27"/>
        <v>42893</v>
      </c>
      <c r="M249" s="150">
        <f t="shared" si="33"/>
        <v>12</v>
      </c>
      <c r="N249" t="str">
        <f t="shared" si="34"/>
        <v>Weekday</v>
      </c>
      <c r="O249" s="149">
        <f t="shared" si="35"/>
        <v>43989</v>
      </c>
    </row>
    <row r="250" spans="2:15" ht="14.25" customHeight="1">
      <c r="B250" s="115" t="s">
        <v>270</v>
      </c>
      <c r="C250" s="115" t="s">
        <v>792</v>
      </c>
      <c r="D250" s="115" t="s">
        <v>87</v>
      </c>
      <c r="E250" s="137">
        <v>30535</v>
      </c>
      <c r="F250" s="42">
        <v>40772</v>
      </c>
      <c r="G250" t="str">
        <f t="shared" si="28"/>
        <v>Wed</v>
      </c>
      <c r="H250" t="str">
        <f t="shared" si="29"/>
        <v>Aug</v>
      </c>
      <c r="I250">
        <f t="shared" ca="1" si="30"/>
        <v>14</v>
      </c>
      <c r="J250" t="str">
        <f t="shared" ca="1" si="31"/>
        <v>14 years 3 months 4 days</v>
      </c>
      <c r="K250" s="149">
        <f t="shared" si="32"/>
        <v>40832</v>
      </c>
      <c r="L250" s="149">
        <f t="shared" si="27"/>
        <v>40856</v>
      </c>
      <c r="M250" s="150">
        <f t="shared" si="33"/>
        <v>34</v>
      </c>
      <c r="N250" t="str">
        <f t="shared" si="34"/>
        <v>Weekday</v>
      </c>
      <c r="O250" s="149">
        <f t="shared" si="35"/>
        <v>41952</v>
      </c>
    </row>
    <row r="251" spans="2:15" ht="14.25" customHeight="1">
      <c r="B251" s="115" t="s">
        <v>272</v>
      </c>
      <c r="C251" s="115" t="s">
        <v>793</v>
      </c>
      <c r="D251" s="115" t="s">
        <v>84</v>
      </c>
      <c r="E251" s="137">
        <v>18749</v>
      </c>
      <c r="F251" s="42">
        <v>43350</v>
      </c>
      <c r="G251" t="str">
        <f t="shared" si="28"/>
        <v>Fri</v>
      </c>
      <c r="H251" t="str">
        <f t="shared" si="29"/>
        <v>Sep</v>
      </c>
      <c r="I251">
        <f t="shared" ca="1" si="30"/>
        <v>7</v>
      </c>
      <c r="J251" t="str">
        <f t="shared" ca="1" si="31"/>
        <v>7 years 2 months 14 days</v>
      </c>
      <c r="K251" s="149">
        <f t="shared" si="32"/>
        <v>43410</v>
      </c>
      <c r="L251" s="149">
        <f t="shared" si="27"/>
        <v>43434</v>
      </c>
      <c r="M251" s="150">
        <f t="shared" si="33"/>
        <v>36</v>
      </c>
      <c r="N251" t="str">
        <f t="shared" si="34"/>
        <v>Weekday</v>
      </c>
      <c r="O251" s="149">
        <f t="shared" si="35"/>
        <v>44530</v>
      </c>
    </row>
    <row r="252" spans="2:15" ht="14.25" customHeight="1">
      <c r="B252" s="115" t="s">
        <v>271</v>
      </c>
      <c r="C252" s="115" t="s">
        <v>794</v>
      </c>
      <c r="D252" s="115" t="s">
        <v>84</v>
      </c>
      <c r="E252" s="137">
        <v>16507</v>
      </c>
      <c r="F252" s="42">
        <v>41798</v>
      </c>
      <c r="G252" t="str">
        <f t="shared" si="28"/>
        <v>Sun</v>
      </c>
      <c r="H252" t="str">
        <f t="shared" si="29"/>
        <v>Jun</v>
      </c>
      <c r="I252">
        <f t="shared" ca="1" si="30"/>
        <v>11</v>
      </c>
      <c r="J252" t="str">
        <f t="shared" ca="1" si="31"/>
        <v>11 years 5 months 13 days</v>
      </c>
      <c r="K252" s="149">
        <f t="shared" si="32"/>
        <v>41858</v>
      </c>
      <c r="L252" s="149">
        <f t="shared" si="27"/>
        <v>41880</v>
      </c>
      <c r="M252" s="150">
        <f t="shared" si="33"/>
        <v>23</v>
      </c>
      <c r="N252" t="str">
        <f t="shared" si="34"/>
        <v>Weekend</v>
      </c>
      <c r="O252" s="149">
        <f t="shared" si="35"/>
        <v>42976</v>
      </c>
    </row>
    <row r="253" spans="2:15" ht="14.25" customHeight="1">
      <c r="B253" s="115" t="s">
        <v>268</v>
      </c>
      <c r="C253" s="115" t="s">
        <v>795</v>
      </c>
      <c r="D253" s="115" t="s">
        <v>87</v>
      </c>
      <c r="E253" s="137">
        <v>35856</v>
      </c>
      <c r="F253" s="42">
        <v>45032</v>
      </c>
      <c r="G253" t="str">
        <f t="shared" si="28"/>
        <v>Sun</v>
      </c>
      <c r="H253" t="str">
        <f t="shared" si="29"/>
        <v>Apr</v>
      </c>
      <c r="I253">
        <f t="shared" ca="1" si="30"/>
        <v>2</v>
      </c>
      <c r="J253" t="str">
        <f t="shared" ca="1" si="31"/>
        <v>2 years 7 months 5 days</v>
      </c>
      <c r="K253" s="149">
        <f t="shared" si="32"/>
        <v>45092</v>
      </c>
      <c r="L253" s="149">
        <f t="shared" si="27"/>
        <v>45114</v>
      </c>
      <c r="M253" s="150">
        <f t="shared" si="33"/>
        <v>16</v>
      </c>
      <c r="N253" t="str">
        <f t="shared" si="34"/>
        <v>Weekend</v>
      </c>
      <c r="O253" s="149">
        <f t="shared" si="35"/>
        <v>46210</v>
      </c>
    </row>
    <row r="254" spans="2:15" ht="14.25" customHeight="1">
      <c r="B254" s="115" t="s">
        <v>269</v>
      </c>
      <c r="C254" s="115" t="s">
        <v>796</v>
      </c>
      <c r="D254" s="115" t="s">
        <v>84</v>
      </c>
      <c r="E254" s="137">
        <v>33642</v>
      </c>
      <c r="F254" s="42">
        <v>43870</v>
      </c>
      <c r="G254" t="str">
        <f t="shared" si="28"/>
        <v>Sun</v>
      </c>
      <c r="H254" t="str">
        <f t="shared" si="29"/>
        <v>Feb</v>
      </c>
      <c r="I254">
        <f t="shared" ca="1" si="30"/>
        <v>5</v>
      </c>
      <c r="J254" t="str">
        <f t="shared" ca="1" si="31"/>
        <v>5 years 9 months 12 days</v>
      </c>
      <c r="K254" s="149">
        <f t="shared" si="32"/>
        <v>43930</v>
      </c>
      <c r="L254" s="149">
        <f t="shared" si="27"/>
        <v>43952</v>
      </c>
      <c r="M254" s="150">
        <f t="shared" si="33"/>
        <v>6</v>
      </c>
      <c r="N254" t="str">
        <f t="shared" si="34"/>
        <v>Weekend</v>
      </c>
      <c r="O254" s="149">
        <f t="shared" si="35"/>
        <v>45047</v>
      </c>
    </row>
    <row r="255" spans="2:15" ht="14.25" customHeight="1">
      <c r="B255" s="115" t="s">
        <v>269</v>
      </c>
      <c r="C255" s="115" t="s">
        <v>797</v>
      </c>
      <c r="D255" s="115" t="s">
        <v>84</v>
      </c>
      <c r="E255" s="137">
        <v>28867</v>
      </c>
      <c r="F255" s="42">
        <v>41779</v>
      </c>
      <c r="G255" t="str">
        <f t="shared" si="28"/>
        <v>Tue</v>
      </c>
      <c r="H255" t="str">
        <f t="shared" si="29"/>
        <v>May</v>
      </c>
      <c r="I255">
        <f t="shared" ca="1" si="30"/>
        <v>11</v>
      </c>
      <c r="J255" t="str">
        <f t="shared" ca="1" si="31"/>
        <v>11 years 6 months 1 days</v>
      </c>
      <c r="K255" s="149">
        <f t="shared" si="32"/>
        <v>41839</v>
      </c>
      <c r="L255" s="149">
        <f t="shared" si="27"/>
        <v>41863</v>
      </c>
      <c r="M255" s="150">
        <f t="shared" si="33"/>
        <v>21</v>
      </c>
      <c r="N255" t="str">
        <f t="shared" si="34"/>
        <v>Weekday</v>
      </c>
      <c r="O255" s="149">
        <f t="shared" si="35"/>
        <v>42959</v>
      </c>
    </row>
    <row r="256" spans="2:15" ht="14.25" customHeight="1">
      <c r="B256" s="115" t="s">
        <v>272</v>
      </c>
      <c r="C256" s="115" t="s">
        <v>798</v>
      </c>
      <c r="D256" s="115" t="s">
        <v>84</v>
      </c>
      <c r="E256" s="137">
        <v>24947</v>
      </c>
      <c r="F256" s="42">
        <v>45243</v>
      </c>
      <c r="G256" t="str">
        <f t="shared" si="28"/>
        <v>Mon</v>
      </c>
      <c r="H256" t="str">
        <f t="shared" si="29"/>
        <v>Nov</v>
      </c>
      <c r="I256">
        <f t="shared" ca="1" si="30"/>
        <v>2</v>
      </c>
      <c r="J256" t="str">
        <f t="shared" ca="1" si="31"/>
        <v>2 years 0 months 8 days</v>
      </c>
      <c r="K256" s="149">
        <f t="shared" si="32"/>
        <v>45303</v>
      </c>
      <c r="L256" s="149">
        <f t="shared" si="27"/>
        <v>45327</v>
      </c>
      <c r="M256" s="150">
        <f t="shared" si="33"/>
        <v>47</v>
      </c>
      <c r="N256" t="str">
        <f t="shared" si="34"/>
        <v>Weekday</v>
      </c>
      <c r="O256" s="149">
        <f t="shared" si="35"/>
        <v>46423</v>
      </c>
    </row>
    <row r="257" spans="2:15" ht="14.25" customHeight="1">
      <c r="B257" s="115" t="s">
        <v>271</v>
      </c>
      <c r="C257" s="115" t="s">
        <v>799</v>
      </c>
      <c r="D257" s="115" t="s">
        <v>84</v>
      </c>
      <c r="E257" s="137">
        <v>15301</v>
      </c>
      <c r="F257" s="42">
        <v>41102</v>
      </c>
      <c r="G257" t="str">
        <f t="shared" si="28"/>
        <v>Thu</v>
      </c>
      <c r="H257" t="str">
        <f t="shared" si="29"/>
        <v>Jul</v>
      </c>
      <c r="I257">
        <f t="shared" ca="1" si="30"/>
        <v>13</v>
      </c>
      <c r="J257" t="str">
        <f t="shared" ca="1" si="31"/>
        <v>13 years 4 months 9 days</v>
      </c>
      <c r="K257" s="149">
        <f t="shared" si="32"/>
        <v>41162</v>
      </c>
      <c r="L257" s="149">
        <f t="shared" si="27"/>
        <v>41186</v>
      </c>
      <c r="M257" s="150">
        <f t="shared" si="33"/>
        <v>29</v>
      </c>
      <c r="N257" t="str">
        <f t="shared" si="34"/>
        <v>Weekday</v>
      </c>
      <c r="O257" s="149">
        <f t="shared" si="35"/>
        <v>42281</v>
      </c>
    </row>
    <row r="258" spans="2:15" ht="14.25" customHeight="1">
      <c r="B258" s="115" t="s">
        <v>270</v>
      </c>
      <c r="C258" s="115" t="s">
        <v>800</v>
      </c>
      <c r="D258" s="115" t="s">
        <v>87</v>
      </c>
      <c r="E258" s="137">
        <v>24026</v>
      </c>
      <c r="F258" s="42">
        <v>41760</v>
      </c>
      <c r="G258" t="str">
        <f t="shared" si="28"/>
        <v>Thu</v>
      </c>
      <c r="H258" t="str">
        <f t="shared" si="29"/>
        <v>May</v>
      </c>
      <c r="I258">
        <f t="shared" ca="1" si="30"/>
        <v>11</v>
      </c>
      <c r="J258" t="str">
        <f t="shared" ca="1" si="31"/>
        <v>11 years 6 months 20 days</v>
      </c>
      <c r="K258" s="149">
        <f t="shared" si="32"/>
        <v>41820</v>
      </c>
      <c r="L258" s="149">
        <f t="shared" si="27"/>
        <v>41844</v>
      </c>
      <c r="M258" s="150">
        <f t="shared" si="33"/>
        <v>18</v>
      </c>
      <c r="N258" t="str">
        <f t="shared" si="34"/>
        <v>Weekday</v>
      </c>
      <c r="O258" s="149">
        <f t="shared" si="35"/>
        <v>42940</v>
      </c>
    </row>
    <row r="259" spans="2:15" ht="14.25" customHeight="1">
      <c r="B259" s="115" t="s">
        <v>271</v>
      </c>
      <c r="C259" s="115" t="s">
        <v>801</v>
      </c>
      <c r="D259" s="115" t="s">
        <v>84</v>
      </c>
      <c r="E259" s="137">
        <v>15505</v>
      </c>
      <c r="F259" s="42">
        <v>42688</v>
      </c>
      <c r="G259" t="str">
        <f t="shared" si="28"/>
        <v>Mon</v>
      </c>
      <c r="H259" t="str">
        <f t="shared" si="29"/>
        <v>Nov</v>
      </c>
      <c r="I259">
        <f t="shared" ca="1" si="30"/>
        <v>9</v>
      </c>
      <c r="J259" t="str">
        <f t="shared" ca="1" si="31"/>
        <v>9 years 0 months 7 days</v>
      </c>
      <c r="K259" s="149">
        <f t="shared" si="32"/>
        <v>42748</v>
      </c>
      <c r="L259" s="149">
        <f t="shared" si="27"/>
        <v>42772</v>
      </c>
      <c r="M259" s="150">
        <f t="shared" si="33"/>
        <v>47</v>
      </c>
      <c r="N259" t="str">
        <f t="shared" si="34"/>
        <v>Weekday</v>
      </c>
      <c r="O259" s="149">
        <f t="shared" si="35"/>
        <v>43867</v>
      </c>
    </row>
    <row r="260" spans="2:15" ht="14.25" customHeight="1">
      <c r="B260" s="115" t="s">
        <v>272</v>
      </c>
      <c r="C260" s="115" t="s">
        <v>802</v>
      </c>
      <c r="D260" s="115" t="s">
        <v>84</v>
      </c>
      <c r="E260" s="137">
        <v>35989</v>
      </c>
      <c r="F260" s="42">
        <v>45101</v>
      </c>
      <c r="G260" t="str">
        <f t="shared" si="28"/>
        <v>Sat</v>
      </c>
      <c r="H260" t="str">
        <f t="shared" si="29"/>
        <v>Jun</v>
      </c>
      <c r="I260">
        <f t="shared" ca="1" si="30"/>
        <v>2</v>
      </c>
      <c r="J260" t="str">
        <f t="shared" ca="1" si="31"/>
        <v>2 years 4 months 28 days</v>
      </c>
      <c r="K260" s="149">
        <f t="shared" si="32"/>
        <v>45161</v>
      </c>
      <c r="L260" s="149">
        <f t="shared" si="27"/>
        <v>45184</v>
      </c>
      <c r="M260" s="150">
        <f t="shared" si="33"/>
        <v>26</v>
      </c>
      <c r="N260" t="str">
        <f t="shared" si="34"/>
        <v>Weekend</v>
      </c>
      <c r="O260" s="149">
        <f t="shared" si="35"/>
        <v>46280</v>
      </c>
    </row>
    <row r="261" spans="2:15" ht="14.25" customHeight="1">
      <c r="B261" s="115" t="s">
        <v>270</v>
      </c>
      <c r="C261" s="115" t="s">
        <v>803</v>
      </c>
      <c r="D261" s="115" t="s">
        <v>87</v>
      </c>
      <c r="E261" s="137">
        <v>26073</v>
      </c>
      <c r="F261" s="42">
        <v>43614</v>
      </c>
      <c r="G261" t="str">
        <f t="shared" si="28"/>
        <v>Wed</v>
      </c>
      <c r="H261" t="str">
        <f t="shared" si="29"/>
        <v>May</v>
      </c>
      <c r="I261">
        <f t="shared" ca="1" si="30"/>
        <v>6</v>
      </c>
      <c r="J261" t="str">
        <f t="shared" ca="1" si="31"/>
        <v>6 years 5 months 23 days</v>
      </c>
      <c r="K261" s="149">
        <f t="shared" si="32"/>
        <v>43674</v>
      </c>
      <c r="L261" s="149">
        <f t="shared" si="27"/>
        <v>43698</v>
      </c>
      <c r="M261" s="150">
        <f t="shared" si="33"/>
        <v>22</v>
      </c>
      <c r="N261" t="str">
        <f t="shared" si="34"/>
        <v>Weekday</v>
      </c>
      <c r="O261" s="149">
        <f t="shared" si="35"/>
        <v>44794</v>
      </c>
    </row>
    <row r="262" spans="2:15" ht="14.25" customHeight="1">
      <c r="B262" s="115" t="s">
        <v>270</v>
      </c>
      <c r="C262" s="115" t="s">
        <v>804</v>
      </c>
      <c r="D262" s="115" t="s">
        <v>87</v>
      </c>
      <c r="E262" s="137">
        <v>29397</v>
      </c>
      <c r="F262" s="42">
        <v>42053</v>
      </c>
      <c r="G262" t="str">
        <f t="shared" si="28"/>
        <v>Wed</v>
      </c>
      <c r="H262" t="str">
        <f t="shared" si="29"/>
        <v>Feb</v>
      </c>
      <c r="I262">
        <f t="shared" ca="1" si="30"/>
        <v>10</v>
      </c>
      <c r="J262" t="str">
        <f t="shared" ca="1" si="31"/>
        <v>10 years 9 months 3 days</v>
      </c>
      <c r="K262" s="149">
        <f t="shared" si="32"/>
        <v>42113</v>
      </c>
      <c r="L262" s="149">
        <f t="shared" ref="L262:L325" si="36">WORKDAY(F262,60,$R$6:$R$7)</f>
        <v>42137</v>
      </c>
      <c r="M262" s="150">
        <f t="shared" si="33"/>
        <v>8</v>
      </c>
      <c r="N262" t="str">
        <f t="shared" si="34"/>
        <v>Weekday</v>
      </c>
      <c r="O262" s="149">
        <f t="shared" si="35"/>
        <v>43233</v>
      </c>
    </row>
    <row r="263" spans="2:15" ht="14.25" customHeight="1">
      <c r="B263" s="115" t="s">
        <v>270</v>
      </c>
      <c r="C263" s="115" t="s">
        <v>805</v>
      </c>
      <c r="D263" s="115" t="s">
        <v>84</v>
      </c>
      <c r="E263" s="137">
        <v>27556</v>
      </c>
      <c r="F263" s="42">
        <v>42181</v>
      </c>
      <c r="G263" t="str">
        <f t="shared" ref="G263:G326" si="37">TEXT(F263,"DDD")</f>
        <v>Fri</v>
      </c>
      <c r="H263" t="str">
        <f t="shared" ref="H263:H326" si="38">TEXT(F263,"MMM")</f>
        <v>Jun</v>
      </c>
      <c r="I263">
        <f t="shared" ref="I263:I326" ca="1" si="39">DATEDIF(F263,TODAY(),"Y")</f>
        <v>10</v>
      </c>
      <c r="J263" t="str">
        <f t="shared" ref="J263:J326" ca="1" si="40">DATEDIF(F263,TODAY(),"Y")&amp;" years "&amp;DATEDIF(F263,TODAY(),"YM")&amp;" months "&amp;DATEDIF(F263,TODAY(),"MD")&amp;" days"</f>
        <v>10 years 4 months 26 days</v>
      </c>
      <c r="K263" s="149">
        <f t="shared" ref="K263:K326" si="41">F263+60</f>
        <v>42241</v>
      </c>
      <c r="L263" s="149">
        <f t="shared" si="36"/>
        <v>42265</v>
      </c>
      <c r="M263" s="150">
        <f t="shared" ref="M263:M326" si="42">WEEKNUM(F263,2)</f>
        <v>26</v>
      </c>
      <c r="N263" t="str">
        <f t="shared" ref="N263:N326" si="43">IF(WEEKDAY(F263,2)&gt;5,"Weekend","Weekday")</f>
        <v>Weekday</v>
      </c>
      <c r="O263" s="149">
        <f t="shared" ref="O263:O326" si="44">EDATE(L263,36)</f>
        <v>43361</v>
      </c>
    </row>
    <row r="264" spans="2:15" ht="14.25" customHeight="1">
      <c r="B264" s="115" t="s">
        <v>268</v>
      </c>
      <c r="C264" s="115" t="s">
        <v>806</v>
      </c>
      <c r="D264" s="115" t="s">
        <v>84</v>
      </c>
      <c r="E264" s="137">
        <v>15632</v>
      </c>
      <c r="F264" s="42">
        <v>44627</v>
      </c>
      <c r="G264" t="str">
        <f t="shared" si="37"/>
        <v>Mon</v>
      </c>
      <c r="H264" t="str">
        <f t="shared" si="38"/>
        <v>Mar</v>
      </c>
      <c r="I264">
        <f t="shared" ca="1" si="39"/>
        <v>3</v>
      </c>
      <c r="J264" t="str">
        <f t="shared" ca="1" si="40"/>
        <v>3 years 8 months 14 days</v>
      </c>
      <c r="K264" s="149">
        <f t="shared" si="41"/>
        <v>44687</v>
      </c>
      <c r="L264" s="149">
        <f t="shared" si="36"/>
        <v>44711</v>
      </c>
      <c r="M264" s="150">
        <f t="shared" si="42"/>
        <v>11</v>
      </c>
      <c r="N264" t="str">
        <f t="shared" si="43"/>
        <v>Weekday</v>
      </c>
      <c r="O264" s="149">
        <f t="shared" si="44"/>
        <v>45807</v>
      </c>
    </row>
    <row r="265" spans="2:15" ht="14.25" customHeight="1">
      <c r="B265" s="115" t="s">
        <v>271</v>
      </c>
      <c r="C265" s="115" t="s">
        <v>807</v>
      </c>
      <c r="D265" s="115" t="s">
        <v>84</v>
      </c>
      <c r="E265" s="137">
        <v>26966</v>
      </c>
      <c r="F265" s="42">
        <v>44840</v>
      </c>
      <c r="G265" t="str">
        <f t="shared" si="37"/>
        <v>Thu</v>
      </c>
      <c r="H265" t="str">
        <f t="shared" si="38"/>
        <v>Oct</v>
      </c>
      <c r="I265">
        <f t="shared" ca="1" si="39"/>
        <v>3</v>
      </c>
      <c r="J265" t="str">
        <f t="shared" ca="1" si="40"/>
        <v>3 years 1 months 15 days</v>
      </c>
      <c r="K265" s="149">
        <f t="shared" si="41"/>
        <v>44900</v>
      </c>
      <c r="L265" s="149">
        <f t="shared" si="36"/>
        <v>44924</v>
      </c>
      <c r="M265" s="150">
        <f t="shared" si="42"/>
        <v>41</v>
      </c>
      <c r="N265" t="str">
        <f t="shared" si="43"/>
        <v>Weekday</v>
      </c>
      <c r="O265" s="149">
        <f t="shared" si="44"/>
        <v>46020</v>
      </c>
    </row>
    <row r="266" spans="2:15" ht="14.25" customHeight="1">
      <c r="B266" s="115" t="s">
        <v>269</v>
      </c>
      <c r="C266" s="115" t="s">
        <v>808</v>
      </c>
      <c r="D266" s="115" t="s">
        <v>84</v>
      </c>
      <c r="E266" s="137">
        <v>23269</v>
      </c>
      <c r="F266" s="42">
        <v>44805</v>
      </c>
      <c r="G266" t="str">
        <f t="shared" si="37"/>
        <v>Thu</v>
      </c>
      <c r="H266" t="str">
        <f t="shared" si="38"/>
        <v>Sep</v>
      </c>
      <c r="I266">
        <f t="shared" ca="1" si="39"/>
        <v>3</v>
      </c>
      <c r="J266" t="str">
        <f t="shared" ca="1" si="40"/>
        <v>3 years 2 months 20 days</v>
      </c>
      <c r="K266" s="149">
        <f t="shared" si="41"/>
        <v>44865</v>
      </c>
      <c r="L266" s="149">
        <f t="shared" si="36"/>
        <v>44889</v>
      </c>
      <c r="M266" s="150">
        <f t="shared" si="42"/>
        <v>36</v>
      </c>
      <c r="N266" t="str">
        <f t="shared" si="43"/>
        <v>Weekday</v>
      </c>
      <c r="O266" s="149">
        <f t="shared" si="44"/>
        <v>45985</v>
      </c>
    </row>
    <row r="267" spans="2:15" ht="14.25" customHeight="1">
      <c r="B267" s="115" t="s">
        <v>268</v>
      </c>
      <c r="C267" s="115" t="s">
        <v>809</v>
      </c>
      <c r="D267" s="115" t="s">
        <v>84</v>
      </c>
      <c r="E267" s="137">
        <v>23524</v>
      </c>
      <c r="F267" s="42">
        <v>44579</v>
      </c>
      <c r="G267" t="str">
        <f t="shared" si="37"/>
        <v>Tue</v>
      </c>
      <c r="H267" t="str">
        <f t="shared" si="38"/>
        <v>Jan</v>
      </c>
      <c r="I267">
        <f t="shared" ca="1" si="39"/>
        <v>3</v>
      </c>
      <c r="J267" t="str">
        <f t="shared" ca="1" si="40"/>
        <v>3 years 10 months 3 days</v>
      </c>
      <c r="K267" s="149">
        <f t="shared" si="41"/>
        <v>44639</v>
      </c>
      <c r="L267" s="149">
        <f t="shared" si="36"/>
        <v>44663</v>
      </c>
      <c r="M267" s="150">
        <f t="shared" si="42"/>
        <v>4</v>
      </c>
      <c r="N267" t="str">
        <f t="shared" si="43"/>
        <v>Weekday</v>
      </c>
      <c r="O267" s="149">
        <f t="shared" si="44"/>
        <v>45759</v>
      </c>
    </row>
    <row r="268" spans="2:15" ht="14.25" customHeight="1">
      <c r="B268" s="115" t="s">
        <v>270</v>
      </c>
      <c r="C268" s="115" t="s">
        <v>810</v>
      </c>
      <c r="D268" s="115" t="s">
        <v>87</v>
      </c>
      <c r="E268" s="137">
        <v>32330</v>
      </c>
      <c r="F268" s="42">
        <v>41974</v>
      </c>
      <c r="G268" t="str">
        <f t="shared" si="37"/>
        <v>Mon</v>
      </c>
      <c r="H268" t="str">
        <f t="shared" si="38"/>
        <v>Dec</v>
      </c>
      <c r="I268">
        <f t="shared" ca="1" si="39"/>
        <v>10</v>
      </c>
      <c r="J268" t="str">
        <f t="shared" ca="1" si="40"/>
        <v>10 years 11 months 20 days</v>
      </c>
      <c r="K268" s="149">
        <f t="shared" si="41"/>
        <v>42034</v>
      </c>
      <c r="L268" s="149">
        <f t="shared" si="36"/>
        <v>42058</v>
      </c>
      <c r="M268" s="150">
        <f t="shared" si="42"/>
        <v>49</v>
      </c>
      <c r="N268" t="str">
        <f t="shared" si="43"/>
        <v>Weekday</v>
      </c>
      <c r="O268" s="149">
        <f t="shared" si="44"/>
        <v>43154</v>
      </c>
    </row>
    <row r="269" spans="2:15" ht="14.25" customHeight="1">
      <c r="B269" s="115" t="s">
        <v>270</v>
      </c>
      <c r="C269" s="115" t="s">
        <v>811</v>
      </c>
      <c r="D269" s="115" t="s">
        <v>87</v>
      </c>
      <c r="E269" s="137">
        <v>35639</v>
      </c>
      <c r="F269" s="42">
        <v>41070</v>
      </c>
      <c r="G269" t="str">
        <f t="shared" si="37"/>
        <v>Sun</v>
      </c>
      <c r="H269" t="str">
        <f t="shared" si="38"/>
        <v>Jun</v>
      </c>
      <c r="I269">
        <f t="shared" ca="1" si="39"/>
        <v>13</v>
      </c>
      <c r="J269" t="str">
        <f t="shared" ca="1" si="40"/>
        <v>13 years 5 months 11 days</v>
      </c>
      <c r="K269" s="149">
        <f t="shared" si="41"/>
        <v>41130</v>
      </c>
      <c r="L269" s="149">
        <f t="shared" si="36"/>
        <v>41152</v>
      </c>
      <c r="M269" s="150">
        <f t="shared" si="42"/>
        <v>24</v>
      </c>
      <c r="N269" t="str">
        <f t="shared" si="43"/>
        <v>Weekend</v>
      </c>
      <c r="O269" s="149">
        <f t="shared" si="44"/>
        <v>42247</v>
      </c>
    </row>
    <row r="270" spans="2:15" ht="14.25" customHeight="1">
      <c r="B270" s="115" t="s">
        <v>270</v>
      </c>
      <c r="C270" s="115" t="s">
        <v>812</v>
      </c>
      <c r="D270" s="115" t="s">
        <v>87</v>
      </c>
      <c r="E270" s="137">
        <v>29902</v>
      </c>
      <c r="F270" s="42">
        <v>42785</v>
      </c>
      <c r="G270" t="str">
        <f t="shared" si="37"/>
        <v>Sun</v>
      </c>
      <c r="H270" t="str">
        <f t="shared" si="38"/>
        <v>Feb</v>
      </c>
      <c r="I270">
        <f t="shared" ca="1" si="39"/>
        <v>8</v>
      </c>
      <c r="J270" t="str">
        <f t="shared" ca="1" si="40"/>
        <v>8 years 9 months 2 days</v>
      </c>
      <c r="K270" s="149">
        <f t="shared" si="41"/>
        <v>42845</v>
      </c>
      <c r="L270" s="149">
        <f t="shared" si="36"/>
        <v>42867</v>
      </c>
      <c r="M270" s="150">
        <f t="shared" si="42"/>
        <v>8</v>
      </c>
      <c r="N270" t="str">
        <f t="shared" si="43"/>
        <v>Weekend</v>
      </c>
      <c r="O270" s="149">
        <f t="shared" si="44"/>
        <v>43963</v>
      </c>
    </row>
    <row r="271" spans="2:15" ht="14.25" customHeight="1">
      <c r="B271" s="115" t="s">
        <v>268</v>
      </c>
      <c r="C271" s="115" t="s">
        <v>813</v>
      </c>
      <c r="D271" s="115" t="s">
        <v>84</v>
      </c>
      <c r="E271" s="137">
        <v>28896</v>
      </c>
      <c r="F271" s="42">
        <v>45051</v>
      </c>
      <c r="G271" t="str">
        <f t="shared" si="37"/>
        <v>Fri</v>
      </c>
      <c r="H271" t="str">
        <f t="shared" si="38"/>
        <v>May</v>
      </c>
      <c r="I271">
        <f t="shared" ca="1" si="39"/>
        <v>2</v>
      </c>
      <c r="J271" t="str">
        <f t="shared" ca="1" si="40"/>
        <v>2 years 6 months 16 days</v>
      </c>
      <c r="K271" s="149">
        <f t="shared" si="41"/>
        <v>45111</v>
      </c>
      <c r="L271" s="149">
        <f t="shared" si="36"/>
        <v>45135</v>
      </c>
      <c r="M271" s="150">
        <f t="shared" si="42"/>
        <v>19</v>
      </c>
      <c r="N271" t="str">
        <f t="shared" si="43"/>
        <v>Weekday</v>
      </c>
      <c r="O271" s="149">
        <f t="shared" si="44"/>
        <v>46231</v>
      </c>
    </row>
    <row r="272" spans="2:15" ht="14.25" customHeight="1">
      <c r="B272" s="115" t="s">
        <v>268</v>
      </c>
      <c r="C272" s="115" t="s">
        <v>814</v>
      </c>
      <c r="D272" s="115" t="s">
        <v>87</v>
      </c>
      <c r="E272" s="137">
        <v>27503</v>
      </c>
      <c r="F272" s="42">
        <v>41785</v>
      </c>
      <c r="G272" t="str">
        <f t="shared" si="37"/>
        <v>Mon</v>
      </c>
      <c r="H272" t="str">
        <f t="shared" si="38"/>
        <v>May</v>
      </c>
      <c r="I272">
        <f t="shared" ca="1" si="39"/>
        <v>11</v>
      </c>
      <c r="J272" t="str">
        <f t="shared" ca="1" si="40"/>
        <v>11 years 5 months 26 days</v>
      </c>
      <c r="K272" s="149">
        <f t="shared" si="41"/>
        <v>41845</v>
      </c>
      <c r="L272" s="149">
        <f t="shared" si="36"/>
        <v>41869</v>
      </c>
      <c r="M272" s="150">
        <f t="shared" si="42"/>
        <v>22</v>
      </c>
      <c r="N272" t="str">
        <f t="shared" si="43"/>
        <v>Weekday</v>
      </c>
      <c r="O272" s="149">
        <f t="shared" si="44"/>
        <v>42965</v>
      </c>
    </row>
    <row r="273" spans="2:15" ht="14.25" customHeight="1">
      <c r="B273" s="115" t="s">
        <v>268</v>
      </c>
      <c r="C273" s="115" t="s">
        <v>815</v>
      </c>
      <c r="D273" s="115" t="s">
        <v>84</v>
      </c>
      <c r="E273" s="137">
        <v>24511</v>
      </c>
      <c r="F273" s="42">
        <v>42880</v>
      </c>
      <c r="G273" t="str">
        <f t="shared" si="37"/>
        <v>Thu</v>
      </c>
      <c r="H273" t="str">
        <f t="shared" si="38"/>
        <v>May</v>
      </c>
      <c r="I273">
        <f t="shared" ca="1" si="39"/>
        <v>8</v>
      </c>
      <c r="J273" t="str">
        <f t="shared" ca="1" si="40"/>
        <v>8 years 5 months 27 days</v>
      </c>
      <c r="K273" s="149">
        <f t="shared" si="41"/>
        <v>42940</v>
      </c>
      <c r="L273" s="149">
        <f t="shared" si="36"/>
        <v>42964</v>
      </c>
      <c r="M273" s="150">
        <f t="shared" si="42"/>
        <v>22</v>
      </c>
      <c r="N273" t="str">
        <f t="shared" si="43"/>
        <v>Weekday</v>
      </c>
      <c r="O273" s="149">
        <f t="shared" si="44"/>
        <v>44060</v>
      </c>
    </row>
    <row r="274" spans="2:15" ht="14.25" customHeight="1">
      <c r="B274" s="115" t="s">
        <v>271</v>
      </c>
      <c r="C274" s="115" t="s">
        <v>816</v>
      </c>
      <c r="D274" s="115" t="s">
        <v>84</v>
      </c>
      <c r="E274" s="137">
        <v>24253</v>
      </c>
      <c r="F274" s="42">
        <v>42064</v>
      </c>
      <c r="G274" t="str">
        <f t="shared" si="37"/>
        <v>Sun</v>
      </c>
      <c r="H274" t="str">
        <f t="shared" si="38"/>
        <v>Mar</v>
      </c>
      <c r="I274">
        <f t="shared" ca="1" si="39"/>
        <v>10</v>
      </c>
      <c r="J274" t="str">
        <f t="shared" ca="1" si="40"/>
        <v>10 years 8 months 20 days</v>
      </c>
      <c r="K274" s="149">
        <f t="shared" si="41"/>
        <v>42124</v>
      </c>
      <c r="L274" s="149">
        <f t="shared" si="36"/>
        <v>42146</v>
      </c>
      <c r="M274" s="150">
        <f t="shared" si="42"/>
        <v>9</v>
      </c>
      <c r="N274" t="str">
        <f t="shared" si="43"/>
        <v>Weekend</v>
      </c>
      <c r="O274" s="149">
        <f t="shared" si="44"/>
        <v>43242</v>
      </c>
    </row>
    <row r="275" spans="2:15" ht="14.25" customHeight="1">
      <c r="B275" s="115" t="s">
        <v>271</v>
      </c>
      <c r="C275" s="115" t="s">
        <v>817</v>
      </c>
      <c r="D275" s="115" t="s">
        <v>87</v>
      </c>
      <c r="E275" s="137">
        <v>26366</v>
      </c>
      <c r="F275" s="42">
        <v>43413</v>
      </c>
      <c r="G275" t="str">
        <f t="shared" si="37"/>
        <v>Fri</v>
      </c>
      <c r="H275" t="str">
        <f t="shared" si="38"/>
        <v>Nov</v>
      </c>
      <c r="I275">
        <f t="shared" ca="1" si="39"/>
        <v>7</v>
      </c>
      <c r="J275" t="str">
        <f t="shared" ca="1" si="40"/>
        <v>7 years 0 months 12 days</v>
      </c>
      <c r="K275" s="149">
        <f t="shared" si="41"/>
        <v>43473</v>
      </c>
      <c r="L275" s="149">
        <f t="shared" si="36"/>
        <v>43497</v>
      </c>
      <c r="M275" s="150">
        <f t="shared" si="42"/>
        <v>45</v>
      </c>
      <c r="N275" t="str">
        <f t="shared" si="43"/>
        <v>Weekday</v>
      </c>
      <c r="O275" s="149">
        <f t="shared" si="44"/>
        <v>44593</v>
      </c>
    </row>
    <row r="276" spans="2:15" ht="14.25" customHeight="1">
      <c r="B276" s="115" t="s">
        <v>272</v>
      </c>
      <c r="C276" s="115" t="s">
        <v>818</v>
      </c>
      <c r="D276" s="115" t="s">
        <v>87</v>
      </c>
      <c r="E276" s="137">
        <v>22019</v>
      </c>
      <c r="F276" s="42">
        <v>42105</v>
      </c>
      <c r="G276" t="str">
        <f t="shared" si="37"/>
        <v>Sat</v>
      </c>
      <c r="H276" t="str">
        <f t="shared" si="38"/>
        <v>Apr</v>
      </c>
      <c r="I276">
        <f t="shared" ca="1" si="39"/>
        <v>10</v>
      </c>
      <c r="J276" t="str">
        <f t="shared" ca="1" si="40"/>
        <v>10 years 7 months 10 days</v>
      </c>
      <c r="K276" s="149">
        <f t="shared" si="41"/>
        <v>42165</v>
      </c>
      <c r="L276" s="149">
        <f t="shared" si="36"/>
        <v>42188</v>
      </c>
      <c r="M276" s="150">
        <f t="shared" si="42"/>
        <v>15</v>
      </c>
      <c r="N276" t="str">
        <f t="shared" si="43"/>
        <v>Weekend</v>
      </c>
      <c r="O276" s="149">
        <f t="shared" si="44"/>
        <v>43284</v>
      </c>
    </row>
    <row r="277" spans="2:15" ht="14.25" customHeight="1">
      <c r="B277" s="115" t="s">
        <v>268</v>
      </c>
      <c r="C277" s="115" t="s">
        <v>819</v>
      </c>
      <c r="D277" s="115" t="s">
        <v>84</v>
      </c>
      <c r="E277" s="137">
        <v>18832</v>
      </c>
      <c r="F277" s="42">
        <v>45092</v>
      </c>
      <c r="G277" t="str">
        <f t="shared" si="37"/>
        <v>Thu</v>
      </c>
      <c r="H277" t="str">
        <f t="shared" si="38"/>
        <v>Jun</v>
      </c>
      <c r="I277">
        <f t="shared" ca="1" si="39"/>
        <v>2</v>
      </c>
      <c r="J277" t="str">
        <f t="shared" ca="1" si="40"/>
        <v>2 years 5 months 6 days</v>
      </c>
      <c r="K277" s="149">
        <f t="shared" si="41"/>
        <v>45152</v>
      </c>
      <c r="L277" s="149">
        <f t="shared" si="36"/>
        <v>45176</v>
      </c>
      <c r="M277" s="150">
        <f t="shared" si="42"/>
        <v>25</v>
      </c>
      <c r="N277" t="str">
        <f t="shared" si="43"/>
        <v>Weekday</v>
      </c>
      <c r="O277" s="149">
        <f t="shared" si="44"/>
        <v>46272</v>
      </c>
    </row>
    <row r="278" spans="2:15" ht="14.25" customHeight="1">
      <c r="B278" s="115" t="s">
        <v>269</v>
      </c>
      <c r="C278" s="115" t="s">
        <v>820</v>
      </c>
      <c r="D278" s="115" t="s">
        <v>84</v>
      </c>
      <c r="E278" s="137">
        <v>17799</v>
      </c>
      <c r="F278" s="42">
        <v>42285</v>
      </c>
      <c r="G278" t="str">
        <f t="shared" si="37"/>
        <v>Thu</v>
      </c>
      <c r="H278" t="str">
        <f t="shared" si="38"/>
        <v>Oct</v>
      </c>
      <c r="I278">
        <f t="shared" ca="1" si="39"/>
        <v>10</v>
      </c>
      <c r="J278" t="str">
        <f t="shared" ca="1" si="40"/>
        <v>10 years 1 months 13 days</v>
      </c>
      <c r="K278" s="149">
        <f t="shared" si="41"/>
        <v>42345</v>
      </c>
      <c r="L278" s="149">
        <f t="shared" si="36"/>
        <v>42369</v>
      </c>
      <c r="M278" s="150">
        <f t="shared" si="42"/>
        <v>41</v>
      </c>
      <c r="N278" t="str">
        <f t="shared" si="43"/>
        <v>Weekday</v>
      </c>
      <c r="O278" s="149">
        <f t="shared" si="44"/>
        <v>43465</v>
      </c>
    </row>
    <row r="279" spans="2:15" ht="14.25" customHeight="1">
      <c r="B279" s="115" t="s">
        <v>268</v>
      </c>
      <c r="C279" s="115" t="s">
        <v>821</v>
      </c>
      <c r="D279" s="115" t="s">
        <v>84</v>
      </c>
      <c r="E279" s="137">
        <v>23487</v>
      </c>
      <c r="F279" s="42">
        <v>41116</v>
      </c>
      <c r="G279" t="str">
        <f t="shared" si="37"/>
        <v>Thu</v>
      </c>
      <c r="H279" t="str">
        <f t="shared" si="38"/>
        <v>Jul</v>
      </c>
      <c r="I279">
        <f t="shared" ca="1" si="39"/>
        <v>13</v>
      </c>
      <c r="J279" t="str">
        <f t="shared" ca="1" si="40"/>
        <v>13 years 3 months 26 days</v>
      </c>
      <c r="K279" s="149">
        <f t="shared" si="41"/>
        <v>41176</v>
      </c>
      <c r="L279" s="149">
        <f t="shared" si="36"/>
        <v>41200</v>
      </c>
      <c r="M279" s="150">
        <f t="shared" si="42"/>
        <v>31</v>
      </c>
      <c r="N279" t="str">
        <f t="shared" si="43"/>
        <v>Weekday</v>
      </c>
      <c r="O279" s="149">
        <f t="shared" si="44"/>
        <v>42295</v>
      </c>
    </row>
    <row r="280" spans="2:15" ht="14.25" customHeight="1">
      <c r="B280" s="115" t="s">
        <v>269</v>
      </c>
      <c r="C280" s="115" t="s">
        <v>822</v>
      </c>
      <c r="D280" s="115" t="s">
        <v>84</v>
      </c>
      <c r="E280" s="137">
        <v>35712</v>
      </c>
      <c r="F280" s="42">
        <v>43789</v>
      </c>
      <c r="G280" t="str">
        <f t="shared" si="37"/>
        <v>Wed</v>
      </c>
      <c r="H280" t="str">
        <f t="shared" si="38"/>
        <v>Nov</v>
      </c>
      <c r="I280">
        <f t="shared" ca="1" si="39"/>
        <v>6</v>
      </c>
      <c r="J280" t="str">
        <f t="shared" ca="1" si="40"/>
        <v>6 years 0 months 1 days</v>
      </c>
      <c r="K280" s="149">
        <f t="shared" si="41"/>
        <v>43849</v>
      </c>
      <c r="L280" s="149">
        <f t="shared" si="36"/>
        <v>43873</v>
      </c>
      <c r="M280" s="150">
        <f t="shared" si="42"/>
        <v>47</v>
      </c>
      <c r="N280" t="str">
        <f t="shared" si="43"/>
        <v>Weekday</v>
      </c>
      <c r="O280" s="149">
        <f t="shared" si="44"/>
        <v>44969</v>
      </c>
    </row>
    <row r="281" spans="2:15" ht="14.25" customHeight="1">
      <c r="B281" s="115" t="s">
        <v>271</v>
      </c>
      <c r="C281" s="115" t="s">
        <v>823</v>
      </c>
      <c r="D281" s="115" t="s">
        <v>84</v>
      </c>
      <c r="E281" s="137">
        <v>16998</v>
      </c>
      <c r="F281" s="42">
        <v>40956</v>
      </c>
      <c r="G281" t="str">
        <f t="shared" si="37"/>
        <v>Fri</v>
      </c>
      <c r="H281" t="str">
        <f t="shared" si="38"/>
        <v>Feb</v>
      </c>
      <c r="I281">
        <f t="shared" ca="1" si="39"/>
        <v>13</v>
      </c>
      <c r="J281" t="str">
        <f t="shared" ca="1" si="40"/>
        <v>13 years 9 months 4 days</v>
      </c>
      <c r="K281" s="149">
        <f t="shared" si="41"/>
        <v>41016</v>
      </c>
      <c r="L281" s="149">
        <f t="shared" si="36"/>
        <v>41040</v>
      </c>
      <c r="M281" s="150">
        <f t="shared" si="42"/>
        <v>8</v>
      </c>
      <c r="N281" t="str">
        <f t="shared" si="43"/>
        <v>Weekday</v>
      </c>
      <c r="O281" s="149">
        <f t="shared" si="44"/>
        <v>42135</v>
      </c>
    </row>
    <row r="282" spans="2:15" ht="14.25" customHeight="1">
      <c r="B282" s="115" t="s">
        <v>268</v>
      </c>
      <c r="C282" s="115" t="s">
        <v>824</v>
      </c>
      <c r="D282" s="115" t="s">
        <v>84</v>
      </c>
      <c r="E282" s="137">
        <v>29463</v>
      </c>
      <c r="F282" s="42">
        <v>42722</v>
      </c>
      <c r="G282" t="str">
        <f t="shared" si="37"/>
        <v>Sun</v>
      </c>
      <c r="H282" t="str">
        <f t="shared" si="38"/>
        <v>Dec</v>
      </c>
      <c r="I282">
        <f t="shared" ca="1" si="39"/>
        <v>8</v>
      </c>
      <c r="J282" t="str">
        <f t="shared" ca="1" si="40"/>
        <v>8 years 11 months 3 days</v>
      </c>
      <c r="K282" s="149">
        <f t="shared" si="41"/>
        <v>42782</v>
      </c>
      <c r="L282" s="149">
        <f t="shared" si="36"/>
        <v>42804</v>
      </c>
      <c r="M282" s="150">
        <f t="shared" si="42"/>
        <v>51</v>
      </c>
      <c r="N282" t="str">
        <f t="shared" si="43"/>
        <v>Weekend</v>
      </c>
      <c r="O282" s="149">
        <f t="shared" si="44"/>
        <v>43900</v>
      </c>
    </row>
    <row r="283" spans="2:15" ht="14.25" customHeight="1">
      <c r="B283" s="115" t="s">
        <v>269</v>
      </c>
      <c r="C283" s="115" t="s">
        <v>825</v>
      </c>
      <c r="D283" s="115" t="s">
        <v>87</v>
      </c>
      <c r="E283" s="137">
        <v>21649</v>
      </c>
      <c r="F283" s="42">
        <v>41414</v>
      </c>
      <c r="G283" t="str">
        <f t="shared" si="37"/>
        <v>Mon</v>
      </c>
      <c r="H283" t="str">
        <f t="shared" si="38"/>
        <v>May</v>
      </c>
      <c r="I283">
        <f t="shared" ca="1" si="39"/>
        <v>12</v>
      </c>
      <c r="J283" t="str">
        <f t="shared" ca="1" si="40"/>
        <v>12 years 6 months 1 days</v>
      </c>
      <c r="K283" s="149">
        <f t="shared" si="41"/>
        <v>41474</v>
      </c>
      <c r="L283" s="149">
        <f t="shared" si="36"/>
        <v>41498</v>
      </c>
      <c r="M283" s="150">
        <f t="shared" si="42"/>
        <v>21</v>
      </c>
      <c r="N283" t="str">
        <f t="shared" si="43"/>
        <v>Weekday</v>
      </c>
      <c r="O283" s="149">
        <f t="shared" si="44"/>
        <v>42594</v>
      </c>
    </row>
    <row r="284" spans="2:15" ht="14.25" customHeight="1">
      <c r="B284" s="115" t="s">
        <v>268</v>
      </c>
      <c r="C284" s="115" t="s">
        <v>826</v>
      </c>
      <c r="D284" s="115" t="s">
        <v>87</v>
      </c>
      <c r="E284" s="137">
        <v>31476</v>
      </c>
      <c r="F284" s="42">
        <v>44077</v>
      </c>
      <c r="G284" t="str">
        <f t="shared" si="37"/>
        <v>Thu</v>
      </c>
      <c r="H284" t="str">
        <f t="shared" si="38"/>
        <v>Sep</v>
      </c>
      <c r="I284">
        <f t="shared" ca="1" si="39"/>
        <v>5</v>
      </c>
      <c r="J284" t="str">
        <f t="shared" ca="1" si="40"/>
        <v>5 years 2 months 18 days</v>
      </c>
      <c r="K284" s="149">
        <f t="shared" si="41"/>
        <v>44137</v>
      </c>
      <c r="L284" s="149">
        <f t="shared" si="36"/>
        <v>44161</v>
      </c>
      <c r="M284" s="150">
        <f t="shared" si="42"/>
        <v>36</v>
      </c>
      <c r="N284" t="str">
        <f t="shared" si="43"/>
        <v>Weekday</v>
      </c>
      <c r="O284" s="149">
        <f t="shared" si="44"/>
        <v>45256</v>
      </c>
    </row>
    <row r="285" spans="2:15" ht="14.25" customHeight="1">
      <c r="B285" s="115" t="s">
        <v>271</v>
      </c>
      <c r="C285" s="115" t="s">
        <v>827</v>
      </c>
      <c r="D285" s="115" t="s">
        <v>87</v>
      </c>
      <c r="E285" s="137">
        <v>17920</v>
      </c>
      <c r="F285" s="42">
        <v>45192</v>
      </c>
      <c r="G285" t="str">
        <f t="shared" si="37"/>
        <v>Sat</v>
      </c>
      <c r="H285" t="str">
        <f t="shared" si="38"/>
        <v>Sep</v>
      </c>
      <c r="I285">
        <f t="shared" ca="1" si="39"/>
        <v>2</v>
      </c>
      <c r="J285" t="str">
        <f t="shared" ca="1" si="40"/>
        <v>2 years 1 months 29 days</v>
      </c>
      <c r="K285" s="149">
        <f t="shared" si="41"/>
        <v>45252</v>
      </c>
      <c r="L285" s="149">
        <f t="shared" si="36"/>
        <v>45275</v>
      </c>
      <c r="M285" s="150">
        <f t="shared" si="42"/>
        <v>39</v>
      </c>
      <c r="N285" t="str">
        <f t="shared" si="43"/>
        <v>Weekend</v>
      </c>
      <c r="O285" s="149">
        <f t="shared" si="44"/>
        <v>46371</v>
      </c>
    </row>
    <row r="286" spans="2:15" ht="14.25" customHeight="1">
      <c r="B286" s="115" t="s">
        <v>269</v>
      </c>
      <c r="C286" s="115" t="s">
        <v>828</v>
      </c>
      <c r="D286" s="115" t="s">
        <v>87</v>
      </c>
      <c r="E286" s="137">
        <v>27418</v>
      </c>
      <c r="F286" s="42">
        <v>43137</v>
      </c>
      <c r="G286" t="str">
        <f t="shared" si="37"/>
        <v>Tue</v>
      </c>
      <c r="H286" t="str">
        <f t="shared" si="38"/>
        <v>Feb</v>
      </c>
      <c r="I286">
        <f t="shared" ca="1" si="39"/>
        <v>7</v>
      </c>
      <c r="J286" t="str">
        <f t="shared" ca="1" si="40"/>
        <v>7 years 9 months 15 days</v>
      </c>
      <c r="K286" s="149">
        <f t="shared" si="41"/>
        <v>43197</v>
      </c>
      <c r="L286" s="149">
        <f t="shared" si="36"/>
        <v>43221</v>
      </c>
      <c r="M286" s="150">
        <f t="shared" si="42"/>
        <v>6</v>
      </c>
      <c r="N286" t="str">
        <f t="shared" si="43"/>
        <v>Weekday</v>
      </c>
      <c r="O286" s="149">
        <f t="shared" si="44"/>
        <v>44317</v>
      </c>
    </row>
    <row r="287" spans="2:15" ht="14.25" customHeight="1">
      <c r="B287" s="115" t="s">
        <v>268</v>
      </c>
      <c r="C287" s="115" t="s">
        <v>829</v>
      </c>
      <c r="D287" s="115" t="s">
        <v>87</v>
      </c>
      <c r="E287" s="137">
        <v>24656</v>
      </c>
      <c r="F287" s="42">
        <v>40672</v>
      </c>
      <c r="G287" t="str">
        <f t="shared" si="37"/>
        <v>Mon</v>
      </c>
      <c r="H287" t="str">
        <f t="shared" si="38"/>
        <v>May</v>
      </c>
      <c r="I287">
        <f t="shared" ca="1" si="39"/>
        <v>14</v>
      </c>
      <c r="J287" t="str">
        <f t="shared" ca="1" si="40"/>
        <v>14 years 6 months 12 days</v>
      </c>
      <c r="K287" s="149">
        <f t="shared" si="41"/>
        <v>40732</v>
      </c>
      <c r="L287" s="149">
        <f t="shared" si="36"/>
        <v>40756</v>
      </c>
      <c r="M287" s="150">
        <f t="shared" si="42"/>
        <v>20</v>
      </c>
      <c r="N287" t="str">
        <f t="shared" si="43"/>
        <v>Weekday</v>
      </c>
      <c r="O287" s="149">
        <f t="shared" si="44"/>
        <v>41852</v>
      </c>
    </row>
    <row r="288" spans="2:15" ht="14.25" customHeight="1">
      <c r="B288" s="115" t="s">
        <v>269</v>
      </c>
      <c r="C288" s="115" t="s">
        <v>830</v>
      </c>
      <c r="D288" s="115" t="s">
        <v>87</v>
      </c>
      <c r="E288" s="137">
        <v>22543</v>
      </c>
      <c r="F288" s="42">
        <v>43878</v>
      </c>
      <c r="G288" t="str">
        <f t="shared" si="37"/>
        <v>Mon</v>
      </c>
      <c r="H288" t="str">
        <f t="shared" si="38"/>
        <v>Feb</v>
      </c>
      <c r="I288">
        <f t="shared" ca="1" si="39"/>
        <v>5</v>
      </c>
      <c r="J288" t="str">
        <f t="shared" ca="1" si="40"/>
        <v>5 years 9 months 4 days</v>
      </c>
      <c r="K288" s="149">
        <f t="shared" si="41"/>
        <v>43938</v>
      </c>
      <c r="L288" s="149">
        <f t="shared" si="36"/>
        <v>43962</v>
      </c>
      <c r="M288" s="150">
        <f t="shared" si="42"/>
        <v>8</v>
      </c>
      <c r="N288" t="str">
        <f t="shared" si="43"/>
        <v>Weekday</v>
      </c>
      <c r="O288" s="149">
        <f t="shared" si="44"/>
        <v>45057</v>
      </c>
    </row>
    <row r="289" spans="2:15" ht="14.25" customHeight="1">
      <c r="B289" s="115" t="s">
        <v>269</v>
      </c>
      <c r="C289" s="115" t="s">
        <v>831</v>
      </c>
      <c r="D289" s="115" t="s">
        <v>84</v>
      </c>
      <c r="E289" s="137">
        <v>19513</v>
      </c>
      <c r="F289" s="42">
        <v>40820</v>
      </c>
      <c r="G289" t="str">
        <f t="shared" si="37"/>
        <v>Tue</v>
      </c>
      <c r="H289" t="str">
        <f t="shared" si="38"/>
        <v>Oct</v>
      </c>
      <c r="I289">
        <f t="shared" ca="1" si="39"/>
        <v>14</v>
      </c>
      <c r="J289" t="str">
        <f t="shared" ca="1" si="40"/>
        <v>14 years 1 months 17 days</v>
      </c>
      <c r="K289" s="149">
        <f t="shared" si="41"/>
        <v>40880</v>
      </c>
      <c r="L289" s="149">
        <f t="shared" si="36"/>
        <v>40904</v>
      </c>
      <c r="M289" s="150">
        <f t="shared" si="42"/>
        <v>41</v>
      </c>
      <c r="N289" t="str">
        <f t="shared" si="43"/>
        <v>Weekday</v>
      </c>
      <c r="O289" s="149">
        <f t="shared" si="44"/>
        <v>42000</v>
      </c>
    </row>
    <row r="290" spans="2:15" ht="14.25" customHeight="1">
      <c r="B290" s="115" t="s">
        <v>271</v>
      </c>
      <c r="C290" s="115" t="s">
        <v>832</v>
      </c>
      <c r="D290" s="115" t="s">
        <v>84</v>
      </c>
      <c r="E290" s="137">
        <v>34750</v>
      </c>
      <c r="F290" s="42">
        <v>41860</v>
      </c>
      <c r="G290" t="str">
        <f t="shared" si="37"/>
        <v>Sat</v>
      </c>
      <c r="H290" t="str">
        <f t="shared" si="38"/>
        <v>Aug</v>
      </c>
      <c r="I290">
        <f t="shared" ca="1" si="39"/>
        <v>11</v>
      </c>
      <c r="J290" t="str">
        <f t="shared" ca="1" si="40"/>
        <v>11 years 3 months 12 days</v>
      </c>
      <c r="K290" s="149">
        <f t="shared" si="41"/>
        <v>41920</v>
      </c>
      <c r="L290" s="149">
        <f t="shared" si="36"/>
        <v>41943</v>
      </c>
      <c r="M290" s="150">
        <f t="shared" si="42"/>
        <v>32</v>
      </c>
      <c r="N290" t="str">
        <f t="shared" si="43"/>
        <v>Weekend</v>
      </c>
      <c r="O290" s="149">
        <f t="shared" si="44"/>
        <v>43039</v>
      </c>
    </row>
    <row r="291" spans="2:15" ht="14.25" customHeight="1">
      <c r="B291" s="115" t="s">
        <v>272</v>
      </c>
      <c r="C291" s="115" t="s">
        <v>833</v>
      </c>
      <c r="D291" s="115" t="s">
        <v>87</v>
      </c>
      <c r="E291" s="137">
        <v>20289</v>
      </c>
      <c r="F291" s="42">
        <v>41290</v>
      </c>
      <c r="G291" t="str">
        <f t="shared" si="37"/>
        <v>Wed</v>
      </c>
      <c r="H291" t="str">
        <f t="shared" si="38"/>
        <v>Jan</v>
      </c>
      <c r="I291">
        <f t="shared" ca="1" si="39"/>
        <v>12</v>
      </c>
      <c r="J291" t="str">
        <f t="shared" ca="1" si="40"/>
        <v>12 years 10 months 5 days</v>
      </c>
      <c r="K291" s="149">
        <f t="shared" si="41"/>
        <v>41350</v>
      </c>
      <c r="L291" s="149">
        <f t="shared" si="36"/>
        <v>41374</v>
      </c>
      <c r="M291" s="150">
        <f t="shared" si="42"/>
        <v>3</v>
      </c>
      <c r="N291" t="str">
        <f t="shared" si="43"/>
        <v>Weekday</v>
      </c>
      <c r="O291" s="149">
        <f t="shared" si="44"/>
        <v>42470</v>
      </c>
    </row>
    <row r="292" spans="2:15" ht="14.25" customHeight="1">
      <c r="B292" s="115" t="s">
        <v>271</v>
      </c>
      <c r="C292" s="115" t="s">
        <v>834</v>
      </c>
      <c r="D292" s="115" t="s">
        <v>84</v>
      </c>
      <c r="E292" s="137">
        <v>15325</v>
      </c>
      <c r="F292" s="42">
        <v>45250</v>
      </c>
      <c r="G292" t="str">
        <f t="shared" si="37"/>
        <v>Mon</v>
      </c>
      <c r="H292" t="str">
        <f t="shared" si="38"/>
        <v>Nov</v>
      </c>
      <c r="I292">
        <f t="shared" ca="1" si="39"/>
        <v>2</v>
      </c>
      <c r="J292" t="str">
        <f t="shared" ca="1" si="40"/>
        <v>2 years 0 months 1 days</v>
      </c>
      <c r="K292" s="149">
        <f t="shared" si="41"/>
        <v>45310</v>
      </c>
      <c r="L292" s="149">
        <f t="shared" si="36"/>
        <v>45334</v>
      </c>
      <c r="M292" s="150">
        <f t="shared" si="42"/>
        <v>48</v>
      </c>
      <c r="N292" t="str">
        <f t="shared" si="43"/>
        <v>Weekday</v>
      </c>
      <c r="O292" s="149">
        <f t="shared" si="44"/>
        <v>46430</v>
      </c>
    </row>
    <row r="293" spans="2:15" ht="14.25" customHeight="1">
      <c r="B293" s="115" t="s">
        <v>269</v>
      </c>
      <c r="C293" s="115" t="s">
        <v>835</v>
      </c>
      <c r="D293" s="115" t="s">
        <v>87</v>
      </c>
      <c r="E293" s="137">
        <v>26225</v>
      </c>
      <c r="F293" s="42">
        <v>43020</v>
      </c>
      <c r="G293" t="str">
        <f t="shared" si="37"/>
        <v>Thu</v>
      </c>
      <c r="H293" t="str">
        <f t="shared" si="38"/>
        <v>Oct</v>
      </c>
      <c r="I293">
        <f t="shared" ca="1" si="39"/>
        <v>8</v>
      </c>
      <c r="J293" t="str">
        <f t="shared" ca="1" si="40"/>
        <v>8 years 1 months 9 days</v>
      </c>
      <c r="K293" s="149">
        <f t="shared" si="41"/>
        <v>43080</v>
      </c>
      <c r="L293" s="149">
        <f t="shared" si="36"/>
        <v>43104</v>
      </c>
      <c r="M293" s="150">
        <f t="shared" si="42"/>
        <v>42</v>
      </c>
      <c r="N293" t="str">
        <f t="shared" si="43"/>
        <v>Weekday</v>
      </c>
      <c r="O293" s="149">
        <f t="shared" si="44"/>
        <v>44200</v>
      </c>
    </row>
    <row r="294" spans="2:15" ht="14.25" customHeight="1">
      <c r="B294" s="115" t="s">
        <v>269</v>
      </c>
      <c r="C294" s="115" t="s">
        <v>836</v>
      </c>
      <c r="D294" s="115" t="s">
        <v>87</v>
      </c>
      <c r="E294" s="137">
        <v>22978</v>
      </c>
      <c r="F294" s="42">
        <v>43139</v>
      </c>
      <c r="G294" t="str">
        <f t="shared" si="37"/>
        <v>Thu</v>
      </c>
      <c r="H294" t="str">
        <f t="shared" si="38"/>
        <v>Feb</v>
      </c>
      <c r="I294">
        <f t="shared" ca="1" si="39"/>
        <v>7</v>
      </c>
      <c r="J294" t="str">
        <f t="shared" ca="1" si="40"/>
        <v>7 years 9 months 13 days</v>
      </c>
      <c r="K294" s="149">
        <f t="shared" si="41"/>
        <v>43199</v>
      </c>
      <c r="L294" s="149">
        <f t="shared" si="36"/>
        <v>43223</v>
      </c>
      <c r="M294" s="150">
        <f t="shared" si="42"/>
        <v>6</v>
      </c>
      <c r="N294" t="str">
        <f t="shared" si="43"/>
        <v>Weekday</v>
      </c>
      <c r="O294" s="149">
        <f t="shared" si="44"/>
        <v>44319</v>
      </c>
    </row>
    <row r="295" spans="2:15" ht="14.25" customHeight="1">
      <c r="B295" s="115" t="s">
        <v>270</v>
      </c>
      <c r="C295" s="115" t="s">
        <v>837</v>
      </c>
      <c r="D295" s="115" t="s">
        <v>87</v>
      </c>
      <c r="E295" s="137">
        <v>27032</v>
      </c>
      <c r="F295" s="42">
        <v>43178</v>
      </c>
      <c r="G295" t="str">
        <f t="shared" si="37"/>
        <v>Mon</v>
      </c>
      <c r="H295" t="str">
        <f t="shared" si="38"/>
        <v>Mar</v>
      </c>
      <c r="I295">
        <f t="shared" ca="1" si="39"/>
        <v>7</v>
      </c>
      <c r="J295" t="str">
        <f t="shared" ca="1" si="40"/>
        <v>7 years 8 months 2 days</v>
      </c>
      <c r="K295" s="149">
        <f t="shared" si="41"/>
        <v>43238</v>
      </c>
      <c r="L295" s="149">
        <f t="shared" si="36"/>
        <v>43262</v>
      </c>
      <c r="M295" s="150">
        <f t="shared" si="42"/>
        <v>12</v>
      </c>
      <c r="N295" t="str">
        <f t="shared" si="43"/>
        <v>Weekday</v>
      </c>
      <c r="O295" s="149">
        <f t="shared" si="44"/>
        <v>44358</v>
      </c>
    </row>
    <row r="296" spans="2:15" ht="14.25" customHeight="1">
      <c r="B296" s="115" t="s">
        <v>268</v>
      </c>
      <c r="C296" s="115" t="s">
        <v>838</v>
      </c>
      <c r="D296" s="115" t="s">
        <v>84</v>
      </c>
      <c r="E296" s="137">
        <v>20420</v>
      </c>
      <c r="F296" s="42">
        <v>41576</v>
      </c>
      <c r="G296" t="str">
        <f t="shared" si="37"/>
        <v>Tue</v>
      </c>
      <c r="H296" t="str">
        <f t="shared" si="38"/>
        <v>Oct</v>
      </c>
      <c r="I296">
        <f t="shared" ca="1" si="39"/>
        <v>12</v>
      </c>
      <c r="J296" t="str">
        <f t="shared" ca="1" si="40"/>
        <v>12 years 0 months 23 days</v>
      </c>
      <c r="K296" s="149">
        <f t="shared" si="41"/>
        <v>41636</v>
      </c>
      <c r="L296" s="149">
        <f t="shared" si="36"/>
        <v>41660</v>
      </c>
      <c r="M296" s="150">
        <f t="shared" si="42"/>
        <v>44</v>
      </c>
      <c r="N296" t="str">
        <f t="shared" si="43"/>
        <v>Weekday</v>
      </c>
      <c r="O296" s="149">
        <f t="shared" si="44"/>
        <v>42756</v>
      </c>
    </row>
    <row r="297" spans="2:15" ht="14.25" customHeight="1">
      <c r="B297" s="115" t="s">
        <v>272</v>
      </c>
      <c r="C297" s="115" t="s">
        <v>839</v>
      </c>
      <c r="D297" s="115" t="s">
        <v>87</v>
      </c>
      <c r="E297" s="137">
        <v>25237</v>
      </c>
      <c r="F297" s="42">
        <v>41887</v>
      </c>
      <c r="G297" t="str">
        <f t="shared" si="37"/>
        <v>Fri</v>
      </c>
      <c r="H297" t="str">
        <f t="shared" si="38"/>
        <v>Sep</v>
      </c>
      <c r="I297">
        <f t="shared" ca="1" si="39"/>
        <v>11</v>
      </c>
      <c r="J297" t="str">
        <f t="shared" ca="1" si="40"/>
        <v>11 years 2 months 16 days</v>
      </c>
      <c r="K297" s="149">
        <f t="shared" si="41"/>
        <v>41947</v>
      </c>
      <c r="L297" s="149">
        <f t="shared" si="36"/>
        <v>41971</v>
      </c>
      <c r="M297" s="150">
        <f t="shared" si="42"/>
        <v>36</v>
      </c>
      <c r="N297" t="str">
        <f t="shared" si="43"/>
        <v>Weekday</v>
      </c>
      <c r="O297" s="149">
        <f t="shared" si="44"/>
        <v>43067</v>
      </c>
    </row>
    <row r="298" spans="2:15" ht="14.25" customHeight="1">
      <c r="B298" s="115" t="s">
        <v>271</v>
      </c>
      <c r="C298" s="115" t="s">
        <v>840</v>
      </c>
      <c r="D298" s="115" t="s">
        <v>87</v>
      </c>
      <c r="E298" s="137">
        <v>27689</v>
      </c>
      <c r="F298" s="42">
        <v>41499</v>
      </c>
      <c r="G298" t="str">
        <f t="shared" si="37"/>
        <v>Tue</v>
      </c>
      <c r="H298" t="str">
        <f t="shared" si="38"/>
        <v>Aug</v>
      </c>
      <c r="I298">
        <f t="shared" ca="1" si="39"/>
        <v>12</v>
      </c>
      <c r="J298" t="str">
        <f t="shared" ca="1" si="40"/>
        <v>12 years 3 months 8 days</v>
      </c>
      <c r="K298" s="149">
        <f t="shared" si="41"/>
        <v>41559</v>
      </c>
      <c r="L298" s="149">
        <f t="shared" si="36"/>
        <v>41583</v>
      </c>
      <c r="M298" s="150">
        <f t="shared" si="42"/>
        <v>33</v>
      </c>
      <c r="N298" t="str">
        <f t="shared" si="43"/>
        <v>Weekday</v>
      </c>
      <c r="O298" s="149">
        <f t="shared" si="44"/>
        <v>42679</v>
      </c>
    </row>
    <row r="299" spans="2:15" ht="14.25" customHeight="1">
      <c r="B299" s="115" t="s">
        <v>272</v>
      </c>
      <c r="C299" s="115" t="s">
        <v>841</v>
      </c>
      <c r="D299" s="115" t="s">
        <v>87</v>
      </c>
      <c r="E299" s="137">
        <v>18862</v>
      </c>
      <c r="F299" s="42">
        <v>41911</v>
      </c>
      <c r="G299" t="str">
        <f t="shared" si="37"/>
        <v>Mon</v>
      </c>
      <c r="H299" t="str">
        <f t="shared" si="38"/>
        <v>Sep</v>
      </c>
      <c r="I299">
        <f t="shared" ca="1" si="39"/>
        <v>11</v>
      </c>
      <c r="J299" t="str">
        <f t="shared" ca="1" si="40"/>
        <v>11 years 1 months 23 days</v>
      </c>
      <c r="K299" s="149">
        <f t="shared" si="41"/>
        <v>41971</v>
      </c>
      <c r="L299" s="149">
        <f t="shared" si="36"/>
        <v>41995</v>
      </c>
      <c r="M299" s="150">
        <f t="shared" si="42"/>
        <v>40</v>
      </c>
      <c r="N299" t="str">
        <f t="shared" si="43"/>
        <v>Weekday</v>
      </c>
      <c r="O299" s="149">
        <f t="shared" si="44"/>
        <v>43091</v>
      </c>
    </row>
    <row r="300" spans="2:15" ht="14.25" customHeight="1">
      <c r="B300" s="115" t="s">
        <v>272</v>
      </c>
      <c r="C300" s="115" t="s">
        <v>842</v>
      </c>
      <c r="D300" s="115" t="s">
        <v>84</v>
      </c>
      <c r="E300" s="137">
        <v>21731</v>
      </c>
      <c r="F300" s="42">
        <v>41401</v>
      </c>
      <c r="G300" t="str">
        <f t="shared" si="37"/>
        <v>Tue</v>
      </c>
      <c r="H300" t="str">
        <f t="shared" si="38"/>
        <v>May</v>
      </c>
      <c r="I300">
        <f t="shared" ca="1" si="39"/>
        <v>12</v>
      </c>
      <c r="J300" t="str">
        <f t="shared" ca="1" si="40"/>
        <v>12 years 6 months 14 days</v>
      </c>
      <c r="K300" s="149">
        <f t="shared" si="41"/>
        <v>41461</v>
      </c>
      <c r="L300" s="149">
        <f t="shared" si="36"/>
        <v>41485</v>
      </c>
      <c r="M300" s="150">
        <f t="shared" si="42"/>
        <v>19</v>
      </c>
      <c r="N300" t="str">
        <f t="shared" si="43"/>
        <v>Weekday</v>
      </c>
      <c r="O300" s="149">
        <f t="shared" si="44"/>
        <v>42581</v>
      </c>
    </row>
    <row r="301" spans="2:15" ht="14.25" customHeight="1">
      <c r="B301" s="115" t="s">
        <v>272</v>
      </c>
      <c r="C301" s="115" t="s">
        <v>843</v>
      </c>
      <c r="D301" s="115" t="s">
        <v>84</v>
      </c>
      <c r="E301" s="137">
        <v>26783</v>
      </c>
      <c r="F301" s="42">
        <v>40885</v>
      </c>
      <c r="G301" t="str">
        <f t="shared" si="37"/>
        <v>Thu</v>
      </c>
      <c r="H301" t="str">
        <f t="shared" si="38"/>
        <v>Dec</v>
      </c>
      <c r="I301">
        <f t="shared" ca="1" si="39"/>
        <v>13</v>
      </c>
      <c r="J301" t="str">
        <f t="shared" ca="1" si="40"/>
        <v>13 years 11 months 13 days</v>
      </c>
      <c r="K301" s="149">
        <f t="shared" si="41"/>
        <v>40945</v>
      </c>
      <c r="L301" s="149">
        <f t="shared" si="36"/>
        <v>40969</v>
      </c>
      <c r="M301" s="150">
        <f t="shared" si="42"/>
        <v>50</v>
      </c>
      <c r="N301" t="str">
        <f t="shared" si="43"/>
        <v>Weekday</v>
      </c>
      <c r="O301" s="149">
        <f t="shared" si="44"/>
        <v>42064</v>
      </c>
    </row>
    <row r="302" spans="2:15" ht="14.25" customHeight="1">
      <c r="B302" s="115" t="s">
        <v>272</v>
      </c>
      <c r="C302" s="115" t="s">
        <v>844</v>
      </c>
      <c r="D302" s="115" t="s">
        <v>84</v>
      </c>
      <c r="E302" s="137">
        <v>25737</v>
      </c>
      <c r="F302" s="42">
        <v>41174</v>
      </c>
      <c r="G302" t="str">
        <f t="shared" si="37"/>
        <v>Sat</v>
      </c>
      <c r="H302" t="str">
        <f t="shared" si="38"/>
        <v>Sep</v>
      </c>
      <c r="I302">
        <f t="shared" ca="1" si="39"/>
        <v>13</v>
      </c>
      <c r="J302" t="str">
        <f t="shared" ca="1" si="40"/>
        <v>13 years 1 months 30 days</v>
      </c>
      <c r="K302" s="149">
        <f t="shared" si="41"/>
        <v>41234</v>
      </c>
      <c r="L302" s="149">
        <f t="shared" si="36"/>
        <v>41257</v>
      </c>
      <c r="M302" s="150">
        <f t="shared" si="42"/>
        <v>39</v>
      </c>
      <c r="N302" t="str">
        <f t="shared" si="43"/>
        <v>Weekend</v>
      </c>
      <c r="O302" s="149">
        <f t="shared" si="44"/>
        <v>42352</v>
      </c>
    </row>
    <row r="303" spans="2:15" ht="14.25" customHeight="1">
      <c r="B303" s="115" t="s">
        <v>272</v>
      </c>
      <c r="C303" s="115" t="s">
        <v>845</v>
      </c>
      <c r="D303" s="115" t="s">
        <v>87</v>
      </c>
      <c r="E303" s="137">
        <v>22953</v>
      </c>
      <c r="F303" s="42">
        <v>42189</v>
      </c>
      <c r="G303" t="str">
        <f t="shared" si="37"/>
        <v>Sat</v>
      </c>
      <c r="H303" t="str">
        <f t="shared" si="38"/>
        <v>Jul</v>
      </c>
      <c r="I303">
        <f t="shared" ca="1" si="39"/>
        <v>10</v>
      </c>
      <c r="J303" t="str">
        <f t="shared" ca="1" si="40"/>
        <v>10 years 4 months 17 days</v>
      </c>
      <c r="K303" s="149">
        <f t="shared" si="41"/>
        <v>42249</v>
      </c>
      <c r="L303" s="149">
        <f t="shared" si="36"/>
        <v>42272</v>
      </c>
      <c r="M303" s="150">
        <f t="shared" si="42"/>
        <v>27</v>
      </c>
      <c r="N303" t="str">
        <f t="shared" si="43"/>
        <v>Weekend</v>
      </c>
      <c r="O303" s="149">
        <f t="shared" si="44"/>
        <v>43368</v>
      </c>
    </row>
    <row r="304" spans="2:15" ht="14.25" customHeight="1">
      <c r="B304" s="115" t="s">
        <v>269</v>
      </c>
      <c r="C304" s="115" t="s">
        <v>846</v>
      </c>
      <c r="D304" s="115" t="s">
        <v>87</v>
      </c>
      <c r="E304" s="137">
        <v>20647</v>
      </c>
      <c r="F304" s="42">
        <v>41784</v>
      </c>
      <c r="G304" t="str">
        <f t="shared" si="37"/>
        <v>Sun</v>
      </c>
      <c r="H304" t="str">
        <f t="shared" si="38"/>
        <v>May</v>
      </c>
      <c r="I304">
        <f t="shared" ca="1" si="39"/>
        <v>11</v>
      </c>
      <c r="J304" t="str">
        <f t="shared" ca="1" si="40"/>
        <v>11 years 5 months 27 days</v>
      </c>
      <c r="K304" s="149">
        <f t="shared" si="41"/>
        <v>41844</v>
      </c>
      <c r="L304" s="149">
        <f t="shared" si="36"/>
        <v>41866</v>
      </c>
      <c r="M304" s="150">
        <f t="shared" si="42"/>
        <v>21</v>
      </c>
      <c r="N304" t="str">
        <f t="shared" si="43"/>
        <v>Weekend</v>
      </c>
      <c r="O304" s="149">
        <f t="shared" si="44"/>
        <v>42962</v>
      </c>
    </row>
    <row r="305" spans="2:15" ht="14.25" customHeight="1">
      <c r="B305" s="115" t="s">
        <v>271</v>
      </c>
      <c r="C305" s="115" t="s">
        <v>847</v>
      </c>
      <c r="D305" s="115" t="s">
        <v>87</v>
      </c>
      <c r="E305" s="137">
        <v>27487</v>
      </c>
      <c r="F305" s="42">
        <v>43263</v>
      </c>
      <c r="G305" t="str">
        <f t="shared" si="37"/>
        <v>Tue</v>
      </c>
      <c r="H305" t="str">
        <f t="shared" si="38"/>
        <v>Jun</v>
      </c>
      <c r="I305">
        <f t="shared" ca="1" si="39"/>
        <v>7</v>
      </c>
      <c r="J305" t="str">
        <f t="shared" ca="1" si="40"/>
        <v>7 years 5 months 9 days</v>
      </c>
      <c r="K305" s="149">
        <f t="shared" si="41"/>
        <v>43323</v>
      </c>
      <c r="L305" s="149">
        <f t="shared" si="36"/>
        <v>43347</v>
      </c>
      <c r="M305" s="150">
        <f t="shared" si="42"/>
        <v>24</v>
      </c>
      <c r="N305" t="str">
        <f t="shared" si="43"/>
        <v>Weekday</v>
      </c>
      <c r="O305" s="149">
        <f t="shared" si="44"/>
        <v>44443</v>
      </c>
    </row>
    <row r="306" spans="2:15" ht="14.25" customHeight="1">
      <c r="B306" s="115" t="s">
        <v>268</v>
      </c>
      <c r="C306" s="115" t="s">
        <v>848</v>
      </c>
      <c r="D306" s="115" t="s">
        <v>84</v>
      </c>
      <c r="E306" s="137">
        <v>23918</v>
      </c>
      <c r="F306" s="42">
        <v>44292</v>
      </c>
      <c r="G306" t="str">
        <f t="shared" si="37"/>
        <v>Tue</v>
      </c>
      <c r="H306" t="str">
        <f t="shared" si="38"/>
        <v>Apr</v>
      </c>
      <c r="I306">
        <f t="shared" ca="1" si="39"/>
        <v>4</v>
      </c>
      <c r="J306" t="str">
        <f t="shared" ca="1" si="40"/>
        <v>4 years 7 months 15 days</v>
      </c>
      <c r="K306" s="149">
        <f t="shared" si="41"/>
        <v>44352</v>
      </c>
      <c r="L306" s="149">
        <f t="shared" si="36"/>
        <v>44376</v>
      </c>
      <c r="M306" s="150">
        <f t="shared" si="42"/>
        <v>15</v>
      </c>
      <c r="N306" t="str">
        <f t="shared" si="43"/>
        <v>Weekday</v>
      </c>
      <c r="O306" s="149">
        <f t="shared" si="44"/>
        <v>45472</v>
      </c>
    </row>
    <row r="307" spans="2:15" ht="14.25" customHeight="1">
      <c r="B307" s="115" t="s">
        <v>269</v>
      </c>
      <c r="C307" s="115" t="s">
        <v>849</v>
      </c>
      <c r="D307" s="115" t="s">
        <v>87</v>
      </c>
      <c r="E307" s="137">
        <v>22278</v>
      </c>
      <c r="F307" s="42">
        <v>44205</v>
      </c>
      <c r="G307" t="str">
        <f t="shared" si="37"/>
        <v>Sat</v>
      </c>
      <c r="H307" t="str">
        <f t="shared" si="38"/>
        <v>Jan</v>
      </c>
      <c r="I307">
        <f t="shared" ca="1" si="39"/>
        <v>4</v>
      </c>
      <c r="J307" t="str">
        <f t="shared" ca="1" si="40"/>
        <v>4 years 10 months 12 days</v>
      </c>
      <c r="K307" s="149">
        <f t="shared" si="41"/>
        <v>44265</v>
      </c>
      <c r="L307" s="149">
        <f t="shared" si="36"/>
        <v>44288</v>
      </c>
      <c r="M307" s="150">
        <f t="shared" si="42"/>
        <v>2</v>
      </c>
      <c r="N307" t="str">
        <f t="shared" si="43"/>
        <v>Weekend</v>
      </c>
      <c r="O307" s="149">
        <f t="shared" si="44"/>
        <v>45384</v>
      </c>
    </row>
    <row r="308" spans="2:15" ht="14.25" customHeight="1">
      <c r="B308" s="115" t="s">
        <v>271</v>
      </c>
      <c r="C308" s="115" t="s">
        <v>850</v>
      </c>
      <c r="D308" s="115" t="s">
        <v>87</v>
      </c>
      <c r="E308" s="137">
        <v>26287</v>
      </c>
      <c r="F308" s="42">
        <v>44231</v>
      </c>
      <c r="G308" t="str">
        <f t="shared" si="37"/>
        <v>Thu</v>
      </c>
      <c r="H308" t="str">
        <f t="shared" si="38"/>
        <v>Feb</v>
      </c>
      <c r="I308">
        <f t="shared" ca="1" si="39"/>
        <v>4</v>
      </c>
      <c r="J308" t="str">
        <f t="shared" ca="1" si="40"/>
        <v>4 years 9 months 17 days</v>
      </c>
      <c r="K308" s="149">
        <f t="shared" si="41"/>
        <v>44291</v>
      </c>
      <c r="L308" s="149">
        <f t="shared" si="36"/>
        <v>44315</v>
      </c>
      <c r="M308" s="150">
        <f t="shared" si="42"/>
        <v>6</v>
      </c>
      <c r="N308" t="str">
        <f t="shared" si="43"/>
        <v>Weekday</v>
      </c>
      <c r="O308" s="149">
        <f t="shared" si="44"/>
        <v>45411</v>
      </c>
    </row>
    <row r="309" spans="2:15" ht="14.25" customHeight="1">
      <c r="B309" s="115" t="s">
        <v>268</v>
      </c>
      <c r="C309" s="115" t="s">
        <v>851</v>
      </c>
      <c r="D309" s="115" t="s">
        <v>84</v>
      </c>
      <c r="E309" s="137">
        <v>16088</v>
      </c>
      <c r="F309" s="42">
        <v>42406</v>
      </c>
      <c r="G309" t="str">
        <f t="shared" si="37"/>
        <v>Sat</v>
      </c>
      <c r="H309" t="str">
        <f t="shared" si="38"/>
        <v>Feb</v>
      </c>
      <c r="I309">
        <f t="shared" ca="1" si="39"/>
        <v>9</v>
      </c>
      <c r="J309" t="str">
        <f t="shared" ca="1" si="40"/>
        <v>9 years 9 months 15 days</v>
      </c>
      <c r="K309" s="149">
        <f t="shared" si="41"/>
        <v>42466</v>
      </c>
      <c r="L309" s="149">
        <f t="shared" si="36"/>
        <v>42489</v>
      </c>
      <c r="M309" s="150">
        <f t="shared" si="42"/>
        <v>6</v>
      </c>
      <c r="N309" t="str">
        <f t="shared" si="43"/>
        <v>Weekend</v>
      </c>
      <c r="O309" s="149">
        <f t="shared" si="44"/>
        <v>43584</v>
      </c>
    </row>
    <row r="310" spans="2:15" ht="14.25" customHeight="1">
      <c r="B310" s="115" t="s">
        <v>272</v>
      </c>
      <c r="C310" s="115" t="s">
        <v>852</v>
      </c>
      <c r="D310" s="115" t="s">
        <v>87</v>
      </c>
      <c r="E310" s="137">
        <v>25589</v>
      </c>
      <c r="F310" s="42">
        <v>42633</v>
      </c>
      <c r="G310" t="str">
        <f t="shared" si="37"/>
        <v>Tue</v>
      </c>
      <c r="H310" t="str">
        <f t="shared" si="38"/>
        <v>Sep</v>
      </c>
      <c r="I310">
        <f t="shared" ca="1" si="39"/>
        <v>9</v>
      </c>
      <c r="J310" t="str">
        <f t="shared" ca="1" si="40"/>
        <v>9 years 2 months 1 days</v>
      </c>
      <c r="K310" s="149">
        <f t="shared" si="41"/>
        <v>42693</v>
      </c>
      <c r="L310" s="149">
        <f t="shared" si="36"/>
        <v>42717</v>
      </c>
      <c r="M310" s="150">
        <f t="shared" si="42"/>
        <v>39</v>
      </c>
      <c r="N310" t="str">
        <f t="shared" si="43"/>
        <v>Weekday</v>
      </c>
      <c r="O310" s="149">
        <f t="shared" si="44"/>
        <v>43812</v>
      </c>
    </row>
    <row r="311" spans="2:15" ht="14.25" customHeight="1">
      <c r="B311" s="115" t="s">
        <v>271</v>
      </c>
      <c r="C311" s="115" t="s">
        <v>853</v>
      </c>
      <c r="D311" s="115" t="s">
        <v>87</v>
      </c>
      <c r="E311" s="137">
        <v>20079</v>
      </c>
      <c r="F311" s="42">
        <v>42174</v>
      </c>
      <c r="G311" t="str">
        <f t="shared" si="37"/>
        <v>Fri</v>
      </c>
      <c r="H311" t="str">
        <f t="shared" si="38"/>
        <v>Jun</v>
      </c>
      <c r="I311">
        <f t="shared" ca="1" si="39"/>
        <v>10</v>
      </c>
      <c r="J311" t="str">
        <f t="shared" ca="1" si="40"/>
        <v>10 years 5 months 2 days</v>
      </c>
      <c r="K311" s="149">
        <f t="shared" si="41"/>
        <v>42234</v>
      </c>
      <c r="L311" s="149">
        <f t="shared" si="36"/>
        <v>42258</v>
      </c>
      <c r="M311" s="150">
        <f t="shared" si="42"/>
        <v>25</v>
      </c>
      <c r="N311" t="str">
        <f t="shared" si="43"/>
        <v>Weekday</v>
      </c>
      <c r="O311" s="149">
        <f t="shared" si="44"/>
        <v>43354</v>
      </c>
    </row>
    <row r="312" spans="2:15" ht="14.25" customHeight="1">
      <c r="B312" s="115" t="s">
        <v>269</v>
      </c>
      <c r="C312" s="115" t="s">
        <v>854</v>
      </c>
      <c r="D312" s="115" t="s">
        <v>84</v>
      </c>
      <c r="E312" s="137">
        <v>28378</v>
      </c>
      <c r="F312" s="42">
        <v>42650</v>
      </c>
      <c r="G312" t="str">
        <f t="shared" si="37"/>
        <v>Fri</v>
      </c>
      <c r="H312" t="str">
        <f t="shared" si="38"/>
        <v>Oct</v>
      </c>
      <c r="I312">
        <f t="shared" ca="1" si="39"/>
        <v>9</v>
      </c>
      <c r="J312" t="str">
        <f t="shared" ca="1" si="40"/>
        <v>9 years 1 months 14 days</v>
      </c>
      <c r="K312" s="149">
        <f t="shared" si="41"/>
        <v>42710</v>
      </c>
      <c r="L312" s="149">
        <f t="shared" si="36"/>
        <v>42734</v>
      </c>
      <c r="M312" s="150">
        <f t="shared" si="42"/>
        <v>41</v>
      </c>
      <c r="N312" t="str">
        <f t="shared" si="43"/>
        <v>Weekday</v>
      </c>
      <c r="O312" s="149">
        <f t="shared" si="44"/>
        <v>43829</v>
      </c>
    </row>
    <row r="313" spans="2:15" ht="14.25" customHeight="1">
      <c r="B313" s="115" t="s">
        <v>268</v>
      </c>
      <c r="C313" s="115" t="s">
        <v>855</v>
      </c>
      <c r="D313" s="115" t="s">
        <v>84</v>
      </c>
      <c r="E313" s="137">
        <v>16869</v>
      </c>
      <c r="F313" s="42">
        <v>45251</v>
      </c>
      <c r="G313" t="str">
        <f t="shared" si="37"/>
        <v>Tue</v>
      </c>
      <c r="H313" t="str">
        <f t="shared" si="38"/>
        <v>Nov</v>
      </c>
      <c r="I313">
        <f t="shared" ca="1" si="39"/>
        <v>2</v>
      </c>
      <c r="J313" t="str">
        <f t="shared" ca="1" si="40"/>
        <v>2 years 0 months 0 days</v>
      </c>
      <c r="K313" s="149">
        <f t="shared" si="41"/>
        <v>45311</v>
      </c>
      <c r="L313" s="149">
        <f t="shared" si="36"/>
        <v>45335</v>
      </c>
      <c r="M313" s="150">
        <f t="shared" si="42"/>
        <v>48</v>
      </c>
      <c r="N313" t="str">
        <f t="shared" si="43"/>
        <v>Weekday</v>
      </c>
      <c r="O313" s="149">
        <f t="shared" si="44"/>
        <v>46431</v>
      </c>
    </row>
    <row r="314" spans="2:15" ht="14.25" customHeight="1">
      <c r="B314" s="115" t="s">
        <v>271</v>
      </c>
      <c r="C314" s="115" t="s">
        <v>856</v>
      </c>
      <c r="D314" s="115" t="s">
        <v>87</v>
      </c>
      <c r="E314" s="137">
        <v>19270</v>
      </c>
      <c r="F314" s="42">
        <v>44660</v>
      </c>
      <c r="G314" t="str">
        <f t="shared" si="37"/>
        <v>Sat</v>
      </c>
      <c r="H314" t="str">
        <f t="shared" si="38"/>
        <v>Apr</v>
      </c>
      <c r="I314">
        <f t="shared" ca="1" si="39"/>
        <v>3</v>
      </c>
      <c r="J314" t="str">
        <f t="shared" ca="1" si="40"/>
        <v>3 years 7 months 12 days</v>
      </c>
      <c r="K314" s="149">
        <f t="shared" si="41"/>
        <v>44720</v>
      </c>
      <c r="L314" s="149">
        <f t="shared" si="36"/>
        <v>44743</v>
      </c>
      <c r="M314" s="150">
        <f t="shared" si="42"/>
        <v>15</v>
      </c>
      <c r="N314" t="str">
        <f t="shared" si="43"/>
        <v>Weekend</v>
      </c>
      <c r="O314" s="149">
        <f t="shared" si="44"/>
        <v>45839</v>
      </c>
    </row>
    <row r="315" spans="2:15" ht="14.25" customHeight="1">
      <c r="B315" s="115" t="s">
        <v>272</v>
      </c>
      <c r="C315" s="115" t="s">
        <v>857</v>
      </c>
      <c r="D315" s="115" t="s">
        <v>84</v>
      </c>
      <c r="E315" s="137">
        <v>23947</v>
      </c>
      <c r="F315" s="42">
        <v>44042</v>
      </c>
      <c r="G315" t="str">
        <f t="shared" si="37"/>
        <v>Thu</v>
      </c>
      <c r="H315" t="str">
        <f t="shared" si="38"/>
        <v>Jul</v>
      </c>
      <c r="I315">
        <f t="shared" ca="1" si="39"/>
        <v>5</v>
      </c>
      <c r="J315" t="str">
        <f t="shared" ca="1" si="40"/>
        <v>5 years 3 months 22 days</v>
      </c>
      <c r="K315" s="149">
        <f t="shared" si="41"/>
        <v>44102</v>
      </c>
      <c r="L315" s="149">
        <f t="shared" si="36"/>
        <v>44126</v>
      </c>
      <c r="M315" s="150">
        <f t="shared" si="42"/>
        <v>31</v>
      </c>
      <c r="N315" t="str">
        <f t="shared" si="43"/>
        <v>Weekday</v>
      </c>
      <c r="O315" s="149">
        <f t="shared" si="44"/>
        <v>45221</v>
      </c>
    </row>
    <row r="316" spans="2:15" ht="14.25" customHeight="1">
      <c r="B316" s="115" t="s">
        <v>272</v>
      </c>
      <c r="C316" s="115" t="s">
        <v>858</v>
      </c>
      <c r="D316" s="115" t="s">
        <v>87</v>
      </c>
      <c r="E316" s="137">
        <v>34276</v>
      </c>
      <c r="F316" s="42">
        <v>40736</v>
      </c>
      <c r="G316" t="str">
        <f t="shared" si="37"/>
        <v>Tue</v>
      </c>
      <c r="H316" t="str">
        <f t="shared" si="38"/>
        <v>Jul</v>
      </c>
      <c r="I316">
        <f t="shared" ca="1" si="39"/>
        <v>14</v>
      </c>
      <c r="J316" t="str">
        <f t="shared" ca="1" si="40"/>
        <v>14 years 4 months 9 days</v>
      </c>
      <c r="K316" s="149">
        <f t="shared" si="41"/>
        <v>40796</v>
      </c>
      <c r="L316" s="149">
        <f t="shared" si="36"/>
        <v>40820</v>
      </c>
      <c r="M316" s="150">
        <f t="shared" si="42"/>
        <v>29</v>
      </c>
      <c r="N316" t="str">
        <f t="shared" si="43"/>
        <v>Weekday</v>
      </c>
      <c r="O316" s="149">
        <f t="shared" si="44"/>
        <v>41916</v>
      </c>
    </row>
    <row r="317" spans="2:15" ht="14.25" customHeight="1">
      <c r="B317" s="115" t="s">
        <v>270</v>
      </c>
      <c r="C317" s="115" t="s">
        <v>859</v>
      </c>
      <c r="D317" s="115" t="s">
        <v>84</v>
      </c>
      <c r="E317" s="137">
        <v>26539</v>
      </c>
      <c r="F317" s="42">
        <v>42905</v>
      </c>
      <c r="G317" t="str">
        <f t="shared" si="37"/>
        <v>Mon</v>
      </c>
      <c r="H317" t="str">
        <f t="shared" si="38"/>
        <v>Jun</v>
      </c>
      <c r="I317">
        <f t="shared" ca="1" si="39"/>
        <v>8</v>
      </c>
      <c r="J317" t="str">
        <f t="shared" ca="1" si="40"/>
        <v>8 years 5 months 2 days</v>
      </c>
      <c r="K317" s="149">
        <f t="shared" si="41"/>
        <v>42965</v>
      </c>
      <c r="L317" s="149">
        <f t="shared" si="36"/>
        <v>42989</v>
      </c>
      <c r="M317" s="150">
        <f t="shared" si="42"/>
        <v>26</v>
      </c>
      <c r="N317" t="str">
        <f t="shared" si="43"/>
        <v>Weekday</v>
      </c>
      <c r="O317" s="149">
        <f t="shared" si="44"/>
        <v>44085</v>
      </c>
    </row>
    <row r="318" spans="2:15" ht="14.25" customHeight="1">
      <c r="B318" s="115" t="s">
        <v>271</v>
      </c>
      <c r="C318" s="115" t="s">
        <v>860</v>
      </c>
      <c r="D318" s="115" t="s">
        <v>87</v>
      </c>
      <c r="E318" s="137">
        <v>30504</v>
      </c>
      <c r="F318" s="42">
        <v>44848</v>
      </c>
      <c r="G318" t="str">
        <f t="shared" si="37"/>
        <v>Fri</v>
      </c>
      <c r="H318" t="str">
        <f t="shared" si="38"/>
        <v>Oct</v>
      </c>
      <c r="I318">
        <f t="shared" ca="1" si="39"/>
        <v>3</v>
      </c>
      <c r="J318" t="str">
        <f t="shared" ca="1" si="40"/>
        <v>3 years 1 months 7 days</v>
      </c>
      <c r="K318" s="149">
        <f t="shared" si="41"/>
        <v>44908</v>
      </c>
      <c r="L318" s="149">
        <f t="shared" si="36"/>
        <v>44932</v>
      </c>
      <c r="M318" s="150">
        <f t="shared" si="42"/>
        <v>42</v>
      </c>
      <c r="N318" t="str">
        <f t="shared" si="43"/>
        <v>Weekday</v>
      </c>
      <c r="O318" s="149">
        <f t="shared" si="44"/>
        <v>46028</v>
      </c>
    </row>
    <row r="319" spans="2:15" ht="14.25" customHeight="1">
      <c r="B319" s="115" t="s">
        <v>269</v>
      </c>
      <c r="C319" s="115" t="s">
        <v>861</v>
      </c>
      <c r="D319" s="115" t="s">
        <v>84</v>
      </c>
      <c r="E319" s="137">
        <v>25313</v>
      </c>
      <c r="F319" s="42">
        <v>41567</v>
      </c>
      <c r="G319" t="str">
        <f t="shared" si="37"/>
        <v>Sun</v>
      </c>
      <c r="H319" t="str">
        <f t="shared" si="38"/>
        <v>Oct</v>
      </c>
      <c r="I319">
        <f t="shared" ca="1" si="39"/>
        <v>12</v>
      </c>
      <c r="J319" t="str">
        <f t="shared" ca="1" si="40"/>
        <v>12 years 1 months 1 days</v>
      </c>
      <c r="K319" s="149">
        <f t="shared" si="41"/>
        <v>41627</v>
      </c>
      <c r="L319" s="149">
        <f t="shared" si="36"/>
        <v>41649</v>
      </c>
      <c r="M319" s="150">
        <f t="shared" si="42"/>
        <v>42</v>
      </c>
      <c r="N319" t="str">
        <f t="shared" si="43"/>
        <v>Weekend</v>
      </c>
      <c r="O319" s="149">
        <f t="shared" si="44"/>
        <v>42745</v>
      </c>
    </row>
    <row r="320" spans="2:15" ht="14.25" customHeight="1">
      <c r="B320" s="115" t="s">
        <v>272</v>
      </c>
      <c r="C320" s="115" t="s">
        <v>862</v>
      </c>
      <c r="D320" s="115" t="s">
        <v>87</v>
      </c>
      <c r="E320" s="137">
        <v>34035</v>
      </c>
      <c r="F320" s="42">
        <v>42345</v>
      </c>
      <c r="G320" t="str">
        <f t="shared" si="37"/>
        <v>Mon</v>
      </c>
      <c r="H320" t="str">
        <f t="shared" si="38"/>
        <v>Dec</v>
      </c>
      <c r="I320">
        <f t="shared" ca="1" si="39"/>
        <v>9</v>
      </c>
      <c r="J320" t="str">
        <f t="shared" ca="1" si="40"/>
        <v>9 years 11 months 14 days</v>
      </c>
      <c r="K320" s="149">
        <f t="shared" si="41"/>
        <v>42405</v>
      </c>
      <c r="L320" s="149">
        <f t="shared" si="36"/>
        <v>42429</v>
      </c>
      <c r="M320" s="150">
        <f t="shared" si="42"/>
        <v>50</v>
      </c>
      <c r="N320" t="str">
        <f t="shared" si="43"/>
        <v>Weekday</v>
      </c>
      <c r="O320" s="149">
        <f t="shared" si="44"/>
        <v>43524</v>
      </c>
    </row>
    <row r="321" spans="2:15" ht="14.25" customHeight="1">
      <c r="B321" s="115" t="s">
        <v>271</v>
      </c>
      <c r="C321" s="115" t="s">
        <v>863</v>
      </c>
      <c r="D321" s="115" t="s">
        <v>87</v>
      </c>
      <c r="E321" s="137">
        <v>23881</v>
      </c>
      <c r="F321" s="42">
        <v>45015</v>
      </c>
      <c r="G321" t="str">
        <f t="shared" si="37"/>
        <v>Thu</v>
      </c>
      <c r="H321" t="str">
        <f t="shared" si="38"/>
        <v>Mar</v>
      </c>
      <c r="I321">
        <f t="shared" ca="1" si="39"/>
        <v>2</v>
      </c>
      <c r="J321" t="str">
        <f t="shared" ca="1" si="40"/>
        <v>2 years 7 months 22 days</v>
      </c>
      <c r="K321" s="149">
        <f t="shared" si="41"/>
        <v>45075</v>
      </c>
      <c r="L321" s="149">
        <f t="shared" si="36"/>
        <v>45099</v>
      </c>
      <c r="M321" s="150">
        <f t="shared" si="42"/>
        <v>14</v>
      </c>
      <c r="N321" t="str">
        <f t="shared" si="43"/>
        <v>Weekday</v>
      </c>
      <c r="O321" s="149">
        <f t="shared" si="44"/>
        <v>46195</v>
      </c>
    </row>
    <row r="322" spans="2:15" ht="14.25" customHeight="1">
      <c r="B322" s="115" t="s">
        <v>272</v>
      </c>
      <c r="C322" s="115" t="s">
        <v>864</v>
      </c>
      <c r="D322" s="115" t="s">
        <v>87</v>
      </c>
      <c r="E322" s="137">
        <v>23010</v>
      </c>
      <c r="F322" s="42">
        <v>42906</v>
      </c>
      <c r="G322" t="str">
        <f t="shared" si="37"/>
        <v>Tue</v>
      </c>
      <c r="H322" t="str">
        <f t="shared" si="38"/>
        <v>Jun</v>
      </c>
      <c r="I322">
        <f t="shared" ca="1" si="39"/>
        <v>8</v>
      </c>
      <c r="J322" t="str">
        <f t="shared" ca="1" si="40"/>
        <v>8 years 5 months 1 days</v>
      </c>
      <c r="K322" s="149">
        <f t="shared" si="41"/>
        <v>42966</v>
      </c>
      <c r="L322" s="149">
        <f t="shared" si="36"/>
        <v>42990</v>
      </c>
      <c r="M322" s="150">
        <f t="shared" si="42"/>
        <v>26</v>
      </c>
      <c r="N322" t="str">
        <f t="shared" si="43"/>
        <v>Weekday</v>
      </c>
      <c r="O322" s="149">
        <f t="shared" si="44"/>
        <v>44086</v>
      </c>
    </row>
    <row r="323" spans="2:15" ht="14.25" customHeight="1">
      <c r="B323" s="115" t="s">
        <v>271</v>
      </c>
      <c r="C323" s="115" t="s">
        <v>865</v>
      </c>
      <c r="D323" s="115" t="s">
        <v>84</v>
      </c>
      <c r="E323" s="137">
        <v>20747</v>
      </c>
      <c r="F323" s="42">
        <v>42372</v>
      </c>
      <c r="G323" t="str">
        <f t="shared" si="37"/>
        <v>Sun</v>
      </c>
      <c r="H323" t="str">
        <f t="shared" si="38"/>
        <v>Jan</v>
      </c>
      <c r="I323">
        <f t="shared" ca="1" si="39"/>
        <v>9</v>
      </c>
      <c r="J323" t="str">
        <f t="shared" ca="1" si="40"/>
        <v>9 years 10 months 18 days</v>
      </c>
      <c r="K323" s="149">
        <f t="shared" si="41"/>
        <v>42432</v>
      </c>
      <c r="L323" s="149">
        <f t="shared" si="36"/>
        <v>42454</v>
      </c>
      <c r="M323" s="150">
        <f t="shared" si="42"/>
        <v>1</v>
      </c>
      <c r="N323" t="str">
        <f t="shared" si="43"/>
        <v>Weekend</v>
      </c>
      <c r="O323" s="149">
        <f t="shared" si="44"/>
        <v>43549</v>
      </c>
    </row>
    <row r="324" spans="2:15" ht="14.25" customHeight="1">
      <c r="B324" s="115" t="s">
        <v>272</v>
      </c>
      <c r="C324" s="115" t="s">
        <v>866</v>
      </c>
      <c r="D324" s="115" t="s">
        <v>84</v>
      </c>
      <c r="E324" s="137">
        <v>21800</v>
      </c>
      <c r="F324" s="42">
        <v>41527</v>
      </c>
      <c r="G324" t="str">
        <f t="shared" si="37"/>
        <v>Tue</v>
      </c>
      <c r="H324" t="str">
        <f t="shared" si="38"/>
        <v>Sep</v>
      </c>
      <c r="I324">
        <f t="shared" ca="1" si="39"/>
        <v>12</v>
      </c>
      <c r="J324" t="str">
        <f t="shared" ca="1" si="40"/>
        <v>12 years 2 months 11 days</v>
      </c>
      <c r="K324" s="149">
        <f t="shared" si="41"/>
        <v>41587</v>
      </c>
      <c r="L324" s="149">
        <f t="shared" si="36"/>
        <v>41611</v>
      </c>
      <c r="M324" s="150">
        <f t="shared" si="42"/>
        <v>37</v>
      </c>
      <c r="N324" t="str">
        <f t="shared" si="43"/>
        <v>Weekday</v>
      </c>
      <c r="O324" s="149">
        <f t="shared" si="44"/>
        <v>42707</v>
      </c>
    </row>
    <row r="325" spans="2:15" ht="14.25" customHeight="1">
      <c r="B325" s="115" t="s">
        <v>271</v>
      </c>
      <c r="C325" s="115" t="s">
        <v>867</v>
      </c>
      <c r="D325" s="115" t="s">
        <v>87</v>
      </c>
      <c r="E325" s="137">
        <v>31887</v>
      </c>
      <c r="F325" s="42">
        <v>43479</v>
      </c>
      <c r="G325" t="str">
        <f t="shared" si="37"/>
        <v>Mon</v>
      </c>
      <c r="H325" t="str">
        <f t="shared" si="38"/>
        <v>Jan</v>
      </c>
      <c r="I325">
        <f t="shared" ca="1" si="39"/>
        <v>6</v>
      </c>
      <c r="J325" t="str">
        <f t="shared" ca="1" si="40"/>
        <v>6 years 10 months 7 days</v>
      </c>
      <c r="K325" s="149">
        <f t="shared" si="41"/>
        <v>43539</v>
      </c>
      <c r="L325" s="149">
        <f t="shared" si="36"/>
        <v>43563</v>
      </c>
      <c r="M325" s="150">
        <f t="shared" si="42"/>
        <v>3</v>
      </c>
      <c r="N325" t="str">
        <f t="shared" si="43"/>
        <v>Weekday</v>
      </c>
      <c r="O325" s="149">
        <f t="shared" si="44"/>
        <v>44659</v>
      </c>
    </row>
    <row r="326" spans="2:15" ht="14.25" customHeight="1">
      <c r="B326" s="115" t="s">
        <v>272</v>
      </c>
      <c r="C326" s="115" t="s">
        <v>868</v>
      </c>
      <c r="D326" s="115" t="s">
        <v>87</v>
      </c>
      <c r="E326" s="137">
        <v>19705</v>
      </c>
      <c r="F326" s="42">
        <v>42491</v>
      </c>
      <c r="G326" t="str">
        <f t="shared" si="37"/>
        <v>Sun</v>
      </c>
      <c r="H326" t="str">
        <f t="shared" si="38"/>
        <v>May</v>
      </c>
      <c r="I326">
        <f t="shared" ca="1" si="39"/>
        <v>9</v>
      </c>
      <c r="J326" t="str">
        <f t="shared" ca="1" si="40"/>
        <v>9 years 6 months 20 days</v>
      </c>
      <c r="K326" s="149">
        <f t="shared" si="41"/>
        <v>42551</v>
      </c>
      <c r="L326" s="149">
        <f t="shared" ref="L326:L389" si="45">WORKDAY(F326,60,$R$6:$R$7)</f>
        <v>42573</v>
      </c>
      <c r="M326" s="150">
        <f t="shared" si="42"/>
        <v>18</v>
      </c>
      <c r="N326" t="str">
        <f t="shared" si="43"/>
        <v>Weekend</v>
      </c>
      <c r="O326" s="149">
        <f t="shared" si="44"/>
        <v>43668</v>
      </c>
    </row>
    <row r="327" spans="2:15" ht="14.25" customHeight="1">
      <c r="B327" s="115" t="s">
        <v>269</v>
      </c>
      <c r="C327" s="115" t="s">
        <v>869</v>
      </c>
      <c r="D327" s="115" t="s">
        <v>84</v>
      </c>
      <c r="E327" s="137">
        <v>18491</v>
      </c>
      <c r="F327" s="42">
        <v>44677</v>
      </c>
      <c r="G327" t="str">
        <f t="shared" ref="G327:G390" si="46">TEXT(F327,"DDD")</f>
        <v>Tue</v>
      </c>
      <c r="H327" t="str">
        <f t="shared" ref="H327:H390" si="47">TEXT(F327,"MMM")</f>
        <v>Apr</v>
      </c>
      <c r="I327">
        <f t="shared" ref="I327:I390" ca="1" si="48">DATEDIF(F327,TODAY(),"Y")</f>
        <v>3</v>
      </c>
      <c r="J327" t="str">
        <f t="shared" ref="J327:J390" ca="1" si="49">DATEDIF(F327,TODAY(),"Y")&amp;" years "&amp;DATEDIF(F327,TODAY(),"YM")&amp;" months "&amp;DATEDIF(F327,TODAY(),"MD")&amp;" days"</f>
        <v>3 years 6 months 26 days</v>
      </c>
      <c r="K327" s="149">
        <f t="shared" ref="K327:K390" si="50">F327+60</f>
        <v>44737</v>
      </c>
      <c r="L327" s="149">
        <f t="shared" si="45"/>
        <v>44761</v>
      </c>
      <c r="M327" s="150">
        <f t="shared" ref="M327:M390" si="51">WEEKNUM(F327,2)</f>
        <v>18</v>
      </c>
      <c r="N327" t="str">
        <f t="shared" ref="N327:N390" si="52">IF(WEEKDAY(F327,2)&gt;5,"Weekend","Weekday")</f>
        <v>Weekday</v>
      </c>
      <c r="O327" s="149">
        <f t="shared" ref="O327:O390" si="53">EDATE(L327,36)</f>
        <v>45857</v>
      </c>
    </row>
    <row r="328" spans="2:15" ht="14.25" customHeight="1">
      <c r="B328" s="115" t="s">
        <v>269</v>
      </c>
      <c r="C328" s="115" t="s">
        <v>870</v>
      </c>
      <c r="D328" s="115" t="s">
        <v>84</v>
      </c>
      <c r="E328" s="137">
        <v>24465</v>
      </c>
      <c r="F328" s="42">
        <v>40572</v>
      </c>
      <c r="G328" t="str">
        <f t="shared" si="46"/>
        <v>Sat</v>
      </c>
      <c r="H328" t="str">
        <f t="shared" si="47"/>
        <v>Jan</v>
      </c>
      <c r="I328">
        <f t="shared" ca="1" si="48"/>
        <v>14</v>
      </c>
      <c r="J328" t="str">
        <f t="shared" ca="1" si="49"/>
        <v>14 years 9 months 23 days</v>
      </c>
      <c r="K328" s="149">
        <f t="shared" si="50"/>
        <v>40632</v>
      </c>
      <c r="L328" s="149">
        <f t="shared" si="45"/>
        <v>40655</v>
      </c>
      <c r="M328" s="150">
        <f t="shared" si="51"/>
        <v>5</v>
      </c>
      <c r="N328" t="str">
        <f t="shared" si="52"/>
        <v>Weekend</v>
      </c>
      <c r="O328" s="149">
        <f t="shared" si="53"/>
        <v>41751</v>
      </c>
    </row>
    <row r="329" spans="2:15" ht="14.25" customHeight="1">
      <c r="B329" s="115" t="s">
        <v>272</v>
      </c>
      <c r="C329" s="115" t="s">
        <v>871</v>
      </c>
      <c r="D329" s="115" t="s">
        <v>87</v>
      </c>
      <c r="E329" s="137">
        <v>15629</v>
      </c>
      <c r="F329" s="42">
        <v>41445</v>
      </c>
      <c r="G329" t="str">
        <f t="shared" si="46"/>
        <v>Thu</v>
      </c>
      <c r="H329" t="str">
        <f t="shared" si="47"/>
        <v>Jun</v>
      </c>
      <c r="I329">
        <f t="shared" ca="1" si="48"/>
        <v>12</v>
      </c>
      <c r="J329" t="str">
        <f t="shared" ca="1" si="49"/>
        <v>12 years 5 months 1 days</v>
      </c>
      <c r="K329" s="149">
        <f t="shared" si="50"/>
        <v>41505</v>
      </c>
      <c r="L329" s="149">
        <f t="shared" si="45"/>
        <v>41529</v>
      </c>
      <c r="M329" s="150">
        <f t="shared" si="51"/>
        <v>25</v>
      </c>
      <c r="N329" t="str">
        <f t="shared" si="52"/>
        <v>Weekday</v>
      </c>
      <c r="O329" s="149">
        <f t="shared" si="53"/>
        <v>42625</v>
      </c>
    </row>
    <row r="330" spans="2:15" ht="14.25" customHeight="1">
      <c r="B330" s="115" t="s">
        <v>269</v>
      </c>
      <c r="C330" s="115" t="s">
        <v>872</v>
      </c>
      <c r="D330" s="115" t="s">
        <v>84</v>
      </c>
      <c r="E330" s="137">
        <v>21743</v>
      </c>
      <c r="F330" s="42">
        <v>42610</v>
      </c>
      <c r="G330" t="str">
        <f t="shared" si="46"/>
        <v>Sun</v>
      </c>
      <c r="H330" t="str">
        <f t="shared" si="47"/>
        <v>Aug</v>
      </c>
      <c r="I330">
        <f t="shared" ca="1" si="48"/>
        <v>9</v>
      </c>
      <c r="J330" t="str">
        <f t="shared" ca="1" si="49"/>
        <v>9 years 2 months 24 days</v>
      </c>
      <c r="K330" s="149">
        <f t="shared" si="50"/>
        <v>42670</v>
      </c>
      <c r="L330" s="149">
        <f t="shared" si="45"/>
        <v>42692</v>
      </c>
      <c r="M330" s="150">
        <f t="shared" si="51"/>
        <v>35</v>
      </c>
      <c r="N330" t="str">
        <f t="shared" si="52"/>
        <v>Weekend</v>
      </c>
      <c r="O330" s="149">
        <f t="shared" si="53"/>
        <v>43787</v>
      </c>
    </row>
    <row r="331" spans="2:15" ht="14.25" customHeight="1">
      <c r="B331" s="115" t="s">
        <v>268</v>
      </c>
      <c r="C331" s="115" t="s">
        <v>873</v>
      </c>
      <c r="D331" s="115" t="s">
        <v>87</v>
      </c>
      <c r="E331" s="137">
        <v>27438</v>
      </c>
      <c r="F331" s="42">
        <v>40861</v>
      </c>
      <c r="G331" t="str">
        <f t="shared" si="46"/>
        <v>Mon</v>
      </c>
      <c r="H331" t="str">
        <f t="shared" si="47"/>
        <v>Nov</v>
      </c>
      <c r="I331">
        <f t="shared" ca="1" si="48"/>
        <v>14</v>
      </c>
      <c r="J331" t="str">
        <f t="shared" ca="1" si="49"/>
        <v>14 years 0 months 7 days</v>
      </c>
      <c r="K331" s="149">
        <f t="shared" si="50"/>
        <v>40921</v>
      </c>
      <c r="L331" s="149">
        <f t="shared" si="45"/>
        <v>40945</v>
      </c>
      <c r="M331" s="150">
        <f t="shared" si="51"/>
        <v>47</v>
      </c>
      <c r="N331" t="str">
        <f t="shared" si="52"/>
        <v>Weekday</v>
      </c>
      <c r="O331" s="149">
        <f t="shared" si="53"/>
        <v>42041</v>
      </c>
    </row>
    <row r="332" spans="2:15" ht="14.25" customHeight="1">
      <c r="B332" s="115" t="s">
        <v>268</v>
      </c>
      <c r="C332" s="115" t="s">
        <v>874</v>
      </c>
      <c r="D332" s="115" t="s">
        <v>87</v>
      </c>
      <c r="E332" s="137">
        <v>28734</v>
      </c>
      <c r="F332" s="42">
        <v>44722</v>
      </c>
      <c r="G332" t="str">
        <f t="shared" si="46"/>
        <v>Fri</v>
      </c>
      <c r="H332" t="str">
        <f t="shared" si="47"/>
        <v>Jun</v>
      </c>
      <c r="I332">
        <f t="shared" ca="1" si="48"/>
        <v>3</v>
      </c>
      <c r="J332" t="str">
        <f t="shared" ca="1" si="49"/>
        <v>3 years 5 months 11 days</v>
      </c>
      <c r="K332" s="149">
        <f t="shared" si="50"/>
        <v>44782</v>
      </c>
      <c r="L332" s="149">
        <f t="shared" si="45"/>
        <v>44806</v>
      </c>
      <c r="M332" s="150">
        <f t="shared" si="51"/>
        <v>24</v>
      </c>
      <c r="N332" t="str">
        <f t="shared" si="52"/>
        <v>Weekday</v>
      </c>
      <c r="O332" s="149">
        <f t="shared" si="53"/>
        <v>45902</v>
      </c>
    </row>
    <row r="333" spans="2:15" ht="14.25" customHeight="1">
      <c r="B333" s="115" t="s">
        <v>272</v>
      </c>
      <c r="C333" s="115" t="s">
        <v>875</v>
      </c>
      <c r="D333" s="115" t="s">
        <v>84</v>
      </c>
      <c r="E333" s="137">
        <v>22570</v>
      </c>
      <c r="F333" s="42">
        <v>43203</v>
      </c>
      <c r="G333" t="str">
        <f t="shared" si="46"/>
        <v>Fri</v>
      </c>
      <c r="H333" t="str">
        <f t="shared" si="47"/>
        <v>Apr</v>
      </c>
      <c r="I333">
        <f t="shared" ca="1" si="48"/>
        <v>7</v>
      </c>
      <c r="J333" t="str">
        <f t="shared" ca="1" si="49"/>
        <v>7 years 7 months 8 days</v>
      </c>
      <c r="K333" s="149">
        <f t="shared" si="50"/>
        <v>43263</v>
      </c>
      <c r="L333" s="149">
        <f t="shared" si="45"/>
        <v>43287</v>
      </c>
      <c r="M333" s="150">
        <f t="shared" si="51"/>
        <v>15</v>
      </c>
      <c r="N333" t="str">
        <f t="shared" si="52"/>
        <v>Weekday</v>
      </c>
      <c r="O333" s="149">
        <f t="shared" si="53"/>
        <v>44383</v>
      </c>
    </row>
    <row r="334" spans="2:15" ht="14.25" customHeight="1">
      <c r="B334" s="115" t="s">
        <v>269</v>
      </c>
      <c r="C334" s="115" t="s">
        <v>876</v>
      </c>
      <c r="D334" s="115" t="s">
        <v>87</v>
      </c>
      <c r="E334" s="137">
        <v>20653</v>
      </c>
      <c r="F334" s="42">
        <v>42979</v>
      </c>
      <c r="G334" t="str">
        <f t="shared" si="46"/>
        <v>Fri</v>
      </c>
      <c r="H334" t="str">
        <f t="shared" si="47"/>
        <v>Sep</v>
      </c>
      <c r="I334">
        <f t="shared" ca="1" si="48"/>
        <v>8</v>
      </c>
      <c r="J334" t="str">
        <f t="shared" ca="1" si="49"/>
        <v>8 years 2 months 20 days</v>
      </c>
      <c r="K334" s="149">
        <f t="shared" si="50"/>
        <v>43039</v>
      </c>
      <c r="L334" s="149">
        <f t="shared" si="45"/>
        <v>43063</v>
      </c>
      <c r="M334" s="150">
        <f t="shared" si="51"/>
        <v>36</v>
      </c>
      <c r="N334" t="str">
        <f t="shared" si="52"/>
        <v>Weekday</v>
      </c>
      <c r="O334" s="149">
        <f t="shared" si="53"/>
        <v>44159</v>
      </c>
    </row>
    <row r="335" spans="2:15" ht="14.25" customHeight="1">
      <c r="B335" s="115" t="s">
        <v>268</v>
      </c>
      <c r="C335" s="115" t="s">
        <v>877</v>
      </c>
      <c r="D335" s="115" t="s">
        <v>87</v>
      </c>
      <c r="E335" s="137">
        <v>18949</v>
      </c>
      <c r="F335" s="42">
        <v>41083</v>
      </c>
      <c r="G335" t="str">
        <f t="shared" si="46"/>
        <v>Sat</v>
      </c>
      <c r="H335" t="str">
        <f t="shared" si="47"/>
        <v>Jun</v>
      </c>
      <c r="I335">
        <f t="shared" ca="1" si="48"/>
        <v>13</v>
      </c>
      <c r="J335" t="str">
        <f t="shared" ca="1" si="49"/>
        <v>13 years 4 months 29 days</v>
      </c>
      <c r="K335" s="149">
        <f t="shared" si="50"/>
        <v>41143</v>
      </c>
      <c r="L335" s="149">
        <f t="shared" si="45"/>
        <v>41166</v>
      </c>
      <c r="M335" s="150">
        <f t="shared" si="51"/>
        <v>26</v>
      </c>
      <c r="N335" t="str">
        <f t="shared" si="52"/>
        <v>Weekend</v>
      </c>
      <c r="O335" s="149">
        <f t="shared" si="53"/>
        <v>42261</v>
      </c>
    </row>
    <row r="336" spans="2:15" ht="14.25" customHeight="1">
      <c r="B336" s="115" t="s">
        <v>268</v>
      </c>
      <c r="C336" s="115" t="s">
        <v>878</v>
      </c>
      <c r="D336" s="115" t="s">
        <v>87</v>
      </c>
      <c r="E336" s="137">
        <v>20888</v>
      </c>
      <c r="F336" s="42">
        <v>44370</v>
      </c>
      <c r="G336" t="str">
        <f t="shared" si="46"/>
        <v>Wed</v>
      </c>
      <c r="H336" t="str">
        <f t="shared" si="47"/>
        <v>Jun</v>
      </c>
      <c r="I336">
        <f t="shared" ca="1" si="48"/>
        <v>4</v>
      </c>
      <c r="J336" t="str">
        <f t="shared" ca="1" si="49"/>
        <v>4 years 4 months 29 days</v>
      </c>
      <c r="K336" s="149">
        <f t="shared" si="50"/>
        <v>44430</v>
      </c>
      <c r="L336" s="149">
        <f t="shared" si="45"/>
        <v>44454</v>
      </c>
      <c r="M336" s="150">
        <f t="shared" si="51"/>
        <v>26</v>
      </c>
      <c r="N336" t="str">
        <f t="shared" si="52"/>
        <v>Weekday</v>
      </c>
      <c r="O336" s="149">
        <f t="shared" si="53"/>
        <v>45550</v>
      </c>
    </row>
    <row r="337" spans="2:15" ht="14.25" customHeight="1">
      <c r="B337" s="115" t="s">
        <v>271</v>
      </c>
      <c r="C337" s="115" t="s">
        <v>879</v>
      </c>
      <c r="D337" s="115" t="s">
        <v>87</v>
      </c>
      <c r="E337" s="137">
        <v>31354</v>
      </c>
      <c r="F337" s="42">
        <v>42880</v>
      </c>
      <c r="G337" t="str">
        <f t="shared" si="46"/>
        <v>Thu</v>
      </c>
      <c r="H337" t="str">
        <f t="shared" si="47"/>
        <v>May</v>
      </c>
      <c r="I337">
        <f t="shared" ca="1" si="48"/>
        <v>8</v>
      </c>
      <c r="J337" t="str">
        <f t="shared" ca="1" si="49"/>
        <v>8 years 5 months 27 days</v>
      </c>
      <c r="K337" s="149">
        <f t="shared" si="50"/>
        <v>42940</v>
      </c>
      <c r="L337" s="149">
        <f t="shared" si="45"/>
        <v>42964</v>
      </c>
      <c r="M337" s="150">
        <f t="shared" si="51"/>
        <v>22</v>
      </c>
      <c r="N337" t="str">
        <f t="shared" si="52"/>
        <v>Weekday</v>
      </c>
      <c r="O337" s="149">
        <f t="shared" si="53"/>
        <v>44060</v>
      </c>
    </row>
    <row r="338" spans="2:15" ht="14.25" customHeight="1">
      <c r="B338" s="115" t="s">
        <v>269</v>
      </c>
      <c r="C338" s="115" t="s">
        <v>880</v>
      </c>
      <c r="D338" s="115" t="s">
        <v>84</v>
      </c>
      <c r="E338" s="137">
        <v>29271</v>
      </c>
      <c r="F338" s="42">
        <v>40599</v>
      </c>
      <c r="G338" t="str">
        <f t="shared" si="46"/>
        <v>Fri</v>
      </c>
      <c r="H338" t="str">
        <f t="shared" si="47"/>
        <v>Feb</v>
      </c>
      <c r="I338">
        <f t="shared" ca="1" si="48"/>
        <v>14</v>
      </c>
      <c r="J338" t="str">
        <f t="shared" ca="1" si="49"/>
        <v>14 years 8 months 27 days</v>
      </c>
      <c r="K338" s="149">
        <f t="shared" si="50"/>
        <v>40659</v>
      </c>
      <c r="L338" s="149">
        <f t="shared" si="45"/>
        <v>40683</v>
      </c>
      <c r="M338" s="150">
        <f t="shared" si="51"/>
        <v>9</v>
      </c>
      <c r="N338" t="str">
        <f t="shared" si="52"/>
        <v>Weekday</v>
      </c>
      <c r="O338" s="149">
        <f t="shared" si="53"/>
        <v>41779</v>
      </c>
    </row>
    <row r="339" spans="2:15" ht="14.25" customHeight="1">
      <c r="B339" s="115" t="s">
        <v>272</v>
      </c>
      <c r="C339" s="115" t="s">
        <v>881</v>
      </c>
      <c r="D339" s="115" t="s">
        <v>87</v>
      </c>
      <c r="E339" s="137">
        <v>19312</v>
      </c>
      <c r="F339" s="42">
        <v>43829</v>
      </c>
      <c r="G339" t="str">
        <f t="shared" si="46"/>
        <v>Mon</v>
      </c>
      <c r="H339" t="str">
        <f t="shared" si="47"/>
        <v>Dec</v>
      </c>
      <c r="I339">
        <f t="shared" ca="1" si="48"/>
        <v>5</v>
      </c>
      <c r="J339" t="str">
        <f t="shared" ca="1" si="49"/>
        <v>5 years 10 months 22 days</v>
      </c>
      <c r="K339" s="149">
        <f t="shared" si="50"/>
        <v>43889</v>
      </c>
      <c r="L339" s="149">
        <f t="shared" si="45"/>
        <v>43913</v>
      </c>
      <c r="M339" s="150">
        <f t="shared" si="51"/>
        <v>53</v>
      </c>
      <c r="N339" t="str">
        <f t="shared" si="52"/>
        <v>Weekday</v>
      </c>
      <c r="O339" s="149">
        <f t="shared" si="53"/>
        <v>45008</v>
      </c>
    </row>
    <row r="340" spans="2:15" ht="14.25" customHeight="1">
      <c r="B340" s="115" t="s">
        <v>271</v>
      </c>
      <c r="C340" s="115" t="s">
        <v>882</v>
      </c>
      <c r="D340" s="115" t="s">
        <v>87</v>
      </c>
      <c r="E340" s="137">
        <v>28319</v>
      </c>
      <c r="F340" s="42">
        <v>43496</v>
      </c>
      <c r="G340" t="str">
        <f t="shared" si="46"/>
        <v>Thu</v>
      </c>
      <c r="H340" t="str">
        <f t="shared" si="47"/>
        <v>Jan</v>
      </c>
      <c r="I340">
        <f t="shared" ca="1" si="48"/>
        <v>6</v>
      </c>
      <c r="J340" t="str">
        <f t="shared" ca="1" si="49"/>
        <v>6 years 9 months 21 days</v>
      </c>
      <c r="K340" s="149">
        <f t="shared" si="50"/>
        <v>43556</v>
      </c>
      <c r="L340" s="149">
        <f t="shared" si="45"/>
        <v>43580</v>
      </c>
      <c r="M340" s="150">
        <f t="shared" si="51"/>
        <v>5</v>
      </c>
      <c r="N340" t="str">
        <f t="shared" si="52"/>
        <v>Weekday</v>
      </c>
      <c r="O340" s="149">
        <f t="shared" si="53"/>
        <v>44676</v>
      </c>
    </row>
    <row r="341" spans="2:15" ht="14.25" customHeight="1">
      <c r="B341" s="115" t="s">
        <v>270</v>
      </c>
      <c r="C341" s="115" t="s">
        <v>883</v>
      </c>
      <c r="D341" s="115" t="s">
        <v>87</v>
      </c>
      <c r="E341" s="137">
        <v>22841</v>
      </c>
      <c r="F341" s="42">
        <v>43147</v>
      </c>
      <c r="G341" t="str">
        <f t="shared" si="46"/>
        <v>Fri</v>
      </c>
      <c r="H341" t="str">
        <f t="shared" si="47"/>
        <v>Feb</v>
      </c>
      <c r="I341">
        <f t="shared" ca="1" si="48"/>
        <v>7</v>
      </c>
      <c r="J341" t="str">
        <f t="shared" ca="1" si="49"/>
        <v>7 years 9 months 5 days</v>
      </c>
      <c r="K341" s="149">
        <f t="shared" si="50"/>
        <v>43207</v>
      </c>
      <c r="L341" s="149">
        <f t="shared" si="45"/>
        <v>43231</v>
      </c>
      <c r="M341" s="150">
        <f t="shared" si="51"/>
        <v>7</v>
      </c>
      <c r="N341" t="str">
        <f t="shared" si="52"/>
        <v>Weekday</v>
      </c>
      <c r="O341" s="149">
        <f t="shared" si="53"/>
        <v>44327</v>
      </c>
    </row>
    <row r="342" spans="2:15" ht="14.25" customHeight="1">
      <c r="B342" s="115" t="s">
        <v>268</v>
      </c>
      <c r="C342" s="115" t="s">
        <v>884</v>
      </c>
      <c r="D342" s="115" t="s">
        <v>84</v>
      </c>
      <c r="E342" s="137">
        <v>35236</v>
      </c>
      <c r="F342" s="42">
        <v>43702</v>
      </c>
      <c r="G342" t="str">
        <f t="shared" si="46"/>
        <v>Sun</v>
      </c>
      <c r="H342" t="str">
        <f t="shared" si="47"/>
        <v>Aug</v>
      </c>
      <c r="I342">
        <f t="shared" ca="1" si="48"/>
        <v>6</v>
      </c>
      <c r="J342" t="str">
        <f t="shared" ca="1" si="49"/>
        <v>6 years 2 months 27 days</v>
      </c>
      <c r="K342" s="149">
        <f t="shared" si="50"/>
        <v>43762</v>
      </c>
      <c r="L342" s="149">
        <f t="shared" si="45"/>
        <v>43784</v>
      </c>
      <c r="M342" s="150">
        <f t="shared" si="51"/>
        <v>34</v>
      </c>
      <c r="N342" t="str">
        <f t="shared" si="52"/>
        <v>Weekend</v>
      </c>
      <c r="O342" s="149">
        <f t="shared" si="53"/>
        <v>44880</v>
      </c>
    </row>
    <row r="343" spans="2:15" ht="14.25" customHeight="1">
      <c r="B343" s="115" t="s">
        <v>269</v>
      </c>
      <c r="C343" s="115" t="s">
        <v>885</v>
      </c>
      <c r="D343" s="115" t="s">
        <v>84</v>
      </c>
      <c r="E343" s="137">
        <v>22748</v>
      </c>
      <c r="F343" s="42">
        <v>42069</v>
      </c>
      <c r="G343" t="str">
        <f t="shared" si="46"/>
        <v>Fri</v>
      </c>
      <c r="H343" t="str">
        <f t="shared" si="47"/>
        <v>Mar</v>
      </c>
      <c r="I343">
        <f t="shared" ca="1" si="48"/>
        <v>10</v>
      </c>
      <c r="J343" t="str">
        <f t="shared" ca="1" si="49"/>
        <v>10 years 8 months 15 days</v>
      </c>
      <c r="K343" s="149">
        <f t="shared" si="50"/>
        <v>42129</v>
      </c>
      <c r="L343" s="149">
        <f t="shared" si="45"/>
        <v>42153</v>
      </c>
      <c r="M343" s="150">
        <f t="shared" si="51"/>
        <v>10</v>
      </c>
      <c r="N343" t="str">
        <f t="shared" si="52"/>
        <v>Weekday</v>
      </c>
      <c r="O343" s="149">
        <f t="shared" si="53"/>
        <v>43249</v>
      </c>
    </row>
    <row r="344" spans="2:15" ht="14.25" customHeight="1">
      <c r="B344" s="115" t="s">
        <v>270</v>
      </c>
      <c r="C344" s="115" t="s">
        <v>886</v>
      </c>
      <c r="D344" s="115" t="s">
        <v>87</v>
      </c>
      <c r="E344" s="137">
        <v>20811</v>
      </c>
      <c r="F344" s="42">
        <v>41805</v>
      </c>
      <c r="G344" t="str">
        <f t="shared" si="46"/>
        <v>Sun</v>
      </c>
      <c r="H344" t="str">
        <f t="shared" si="47"/>
        <v>Jun</v>
      </c>
      <c r="I344">
        <f t="shared" ca="1" si="48"/>
        <v>11</v>
      </c>
      <c r="J344" t="str">
        <f t="shared" ca="1" si="49"/>
        <v>11 years 5 months 6 days</v>
      </c>
      <c r="K344" s="149">
        <f t="shared" si="50"/>
        <v>41865</v>
      </c>
      <c r="L344" s="149">
        <f t="shared" si="45"/>
        <v>41887</v>
      </c>
      <c r="M344" s="150">
        <f t="shared" si="51"/>
        <v>24</v>
      </c>
      <c r="N344" t="str">
        <f t="shared" si="52"/>
        <v>Weekend</v>
      </c>
      <c r="O344" s="149">
        <f t="shared" si="53"/>
        <v>42983</v>
      </c>
    </row>
    <row r="345" spans="2:15" ht="14.25" customHeight="1">
      <c r="B345" s="115" t="s">
        <v>269</v>
      </c>
      <c r="C345" s="115" t="s">
        <v>887</v>
      </c>
      <c r="D345" s="115" t="s">
        <v>84</v>
      </c>
      <c r="E345" s="137">
        <v>35226</v>
      </c>
      <c r="F345" s="42">
        <v>43151</v>
      </c>
      <c r="G345" t="str">
        <f t="shared" si="46"/>
        <v>Tue</v>
      </c>
      <c r="H345" t="str">
        <f t="shared" si="47"/>
        <v>Feb</v>
      </c>
      <c r="I345">
        <f t="shared" ca="1" si="48"/>
        <v>7</v>
      </c>
      <c r="J345" t="str">
        <f t="shared" ca="1" si="49"/>
        <v>7 years 9 months 1 days</v>
      </c>
      <c r="K345" s="149">
        <f t="shared" si="50"/>
        <v>43211</v>
      </c>
      <c r="L345" s="149">
        <f t="shared" si="45"/>
        <v>43235</v>
      </c>
      <c r="M345" s="150">
        <f t="shared" si="51"/>
        <v>8</v>
      </c>
      <c r="N345" t="str">
        <f t="shared" si="52"/>
        <v>Weekday</v>
      </c>
      <c r="O345" s="149">
        <f t="shared" si="53"/>
        <v>44331</v>
      </c>
    </row>
    <row r="346" spans="2:15" ht="14.25" customHeight="1">
      <c r="B346" s="115" t="s">
        <v>269</v>
      </c>
      <c r="C346" s="115" t="s">
        <v>888</v>
      </c>
      <c r="D346" s="115" t="s">
        <v>84</v>
      </c>
      <c r="E346" s="137">
        <v>25120</v>
      </c>
      <c r="F346" s="42">
        <v>41152</v>
      </c>
      <c r="G346" t="str">
        <f t="shared" si="46"/>
        <v>Fri</v>
      </c>
      <c r="H346" t="str">
        <f t="shared" si="47"/>
        <v>Aug</v>
      </c>
      <c r="I346">
        <f t="shared" ca="1" si="48"/>
        <v>13</v>
      </c>
      <c r="J346" t="str">
        <f t="shared" ca="1" si="49"/>
        <v>13 years 2 months 21 days</v>
      </c>
      <c r="K346" s="149">
        <f t="shared" si="50"/>
        <v>41212</v>
      </c>
      <c r="L346" s="149">
        <f t="shared" si="45"/>
        <v>41236</v>
      </c>
      <c r="M346" s="150">
        <f t="shared" si="51"/>
        <v>36</v>
      </c>
      <c r="N346" t="str">
        <f t="shared" si="52"/>
        <v>Weekday</v>
      </c>
      <c r="O346" s="149">
        <f t="shared" si="53"/>
        <v>42331</v>
      </c>
    </row>
    <row r="347" spans="2:15" ht="14.25" customHeight="1">
      <c r="B347" s="115" t="s">
        <v>269</v>
      </c>
      <c r="C347" s="115" t="s">
        <v>889</v>
      </c>
      <c r="D347" s="115" t="s">
        <v>87</v>
      </c>
      <c r="E347" s="137">
        <v>26864</v>
      </c>
      <c r="F347" s="42">
        <v>41476</v>
      </c>
      <c r="G347" t="str">
        <f t="shared" si="46"/>
        <v>Sun</v>
      </c>
      <c r="H347" t="str">
        <f t="shared" si="47"/>
        <v>Jul</v>
      </c>
      <c r="I347">
        <f t="shared" ca="1" si="48"/>
        <v>12</v>
      </c>
      <c r="J347" t="str">
        <f t="shared" ca="1" si="49"/>
        <v>12 years 4 months 0 days</v>
      </c>
      <c r="K347" s="149">
        <f t="shared" si="50"/>
        <v>41536</v>
      </c>
      <c r="L347" s="149">
        <f t="shared" si="45"/>
        <v>41558</v>
      </c>
      <c r="M347" s="150">
        <f t="shared" si="51"/>
        <v>29</v>
      </c>
      <c r="N347" t="str">
        <f t="shared" si="52"/>
        <v>Weekend</v>
      </c>
      <c r="O347" s="149">
        <f t="shared" si="53"/>
        <v>42654</v>
      </c>
    </row>
    <row r="348" spans="2:15" ht="14.25" customHeight="1">
      <c r="B348" s="115" t="s">
        <v>272</v>
      </c>
      <c r="C348" s="115" t="s">
        <v>890</v>
      </c>
      <c r="D348" s="115" t="s">
        <v>84</v>
      </c>
      <c r="E348" s="137">
        <v>20315</v>
      </c>
      <c r="F348" s="42">
        <v>44135</v>
      </c>
      <c r="G348" t="str">
        <f t="shared" si="46"/>
        <v>Sat</v>
      </c>
      <c r="H348" t="str">
        <f t="shared" si="47"/>
        <v>Oct</v>
      </c>
      <c r="I348">
        <f t="shared" ca="1" si="48"/>
        <v>5</v>
      </c>
      <c r="J348" t="str">
        <f t="shared" ca="1" si="49"/>
        <v>5 years 0 months 21 days</v>
      </c>
      <c r="K348" s="149">
        <f t="shared" si="50"/>
        <v>44195</v>
      </c>
      <c r="L348" s="149">
        <f t="shared" si="45"/>
        <v>44218</v>
      </c>
      <c r="M348" s="150">
        <f t="shared" si="51"/>
        <v>44</v>
      </c>
      <c r="N348" t="str">
        <f t="shared" si="52"/>
        <v>Weekend</v>
      </c>
      <c r="O348" s="149">
        <f t="shared" si="53"/>
        <v>45313</v>
      </c>
    </row>
    <row r="349" spans="2:15" ht="14.25" customHeight="1">
      <c r="B349" s="115" t="s">
        <v>271</v>
      </c>
      <c r="C349" s="115" t="s">
        <v>891</v>
      </c>
      <c r="D349" s="115" t="s">
        <v>84</v>
      </c>
      <c r="E349" s="137">
        <v>33226</v>
      </c>
      <c r="F349" s="42">
        <v>44005</v>
      </c>
      <c r="G349" t="str">
        <f t="shared" si="46"/>
        <v>Tue</v>
      </c>
      <c r="H349" t="str">
        <f t="shared" si="47"/>
        <v>Jun</v>
      </c>
      <c r="I349">
        <f t="shared" ca="1" si="48"/>
        <v>5</v>
      </c>
      <c r="J349" t="str">
        <f t="shared" ca="1" si="49"/>
        <v>5 years 4 months 29 days</v>
      </c>
      <c r="K349" s="149">
        <f t="shared" si="50"/>
        <v>44065</v>
      </c>
      <c r="L349" s="149">
        <f t="shared" si="45"/>
        <v>44089</v>
      </c>
      <c r="M349" s="150">
        <f t="shared" si="51"/>
        <v>26</v>
      </c>
      <c r="N349" t="str">
        <f t="shared" si="52"/>
        <v>Weekday</v>
      </c>
      <c r="O349" s="149">
        <f t="shared" si="53"/>
        <v>45184</v>
      </c>
    </row>
    <row r="350" spans="2:15" ht="14.25" customHeight="1">
      <c r="B350" s="115" t="s">
        <v>272</v>
      </c>
      <c r="C350" s="115" t="s">
        <v>892</v>
      </c>
      <c r="D350" s="115" t="s">
        <v>84</v>
      </c>
      <c r="E350" s="137">
        <v>34046</v>
      </c>
      <c r="F350" s="42">
        <v>43507</v>
      </c>
      <c r="G350" t="str">
        <f t="shared" si="46"/>
        <v>Mon</v>
      </c>
      <c r="H350" t="str">
        <f t="shared" si="47"/>
        <v>Feb</v>
      </c>
      <c r="I350">
        <f t="shared" ca="1" si="48"/>
        <v>6</v>
      </c>
      <c r="J350" t="str">
        <f t="shared" ca="1" si="49"/>
        <v>6 years 9 months 10 days</v>
      </c>
      <c r="K350" s="149">
        <f t="shared" si="50"/>
        <v>43567</v>
      </c>
      <c r="L350" s="149">
        <f t="shared" si="45"/>
        <v>43591</v>
      </c>
      <c r="M350" s="150">
        <f t="shared" si="51"/>
        <v>7</v>
      </c>
      <c r="N350" t="str">
        <f t="shared" si="52"/>
        <v>Weekday</v>
      </c>
      <c r="O350" s="149">
        <f t="shared" si="53"/>
        <v>44687</v>
      </c>
    </row>
    <row r="351" spans="2:15" ht="14.25" customHeight="1">
      <c r="B351" s="115" t="s">
        <v>270</v>
      </c>
      <c r="C351" s="115" t="s">
        <v>893</v>
      </c>
      <c r="D351" s="115" t="s">
        <v>87</v>
      </c>
      <c r="E351" s="137">
        <v>17101</v>
      </c>
      <c r="F351" s="42">
        <v>42026</v>
      </c>
      <c r="G351" t="str">
        <f t="shared" si="46"/>
        <v>Thu</v>
      </c>
      <c r="H351" t="str">
        <f t="shared" si="47"/>
        <v>Jan</v>
      </c>
      <c r="I351">
        <f t="shared" ca="1" si="48"/>
        <v>10</v>
      </c>
      <c r="J351" t="str">
        <f t="shared" ca="1" si="49"/>
        <v>10 years 9 months 30 days</v>
      </c>
      <c r="K351" s="149">
        <f t="shared" si="50"/>
        <v>42086</v>
      </c>
      <c r="L351" s="149">
        <f t="shared" si="45"/>
        <v>42110</v>
      </c>
      <c r="M351" s="150">
        <f t="shared" si="51"/>
        <v>4</v>
      </c>
      <c r="N351" t="str">
        <f t="shared" si="52"/>
        <v>Weekday</v>
      </c>
      <c r="O351" s="149">
        <f t="shared" si="53"/>
        <v>43206</v>
      </c>
    </row>
    <row r="352" spans="2:15" ht="14.25" customHeight="1">
      <c r="B352" s="115" t="s">
        <v>268</v>
      </c>
      <c r="C352" s="115" t="s">
        <v>894</v>
      </c>
      <c r="D352" s="115" t="s">
        <v>84</v>
      </c>
      <c r="E352" s="137">
        <v>34281</v>
      </c>
      <c r="F352" s="42">
        <v>43426</v>
      </c>
      <c r="G352" t="str">
        <f t="shared" si="46"/>
        <v>Thu</v>
      </c>
      <c r="H352" t="str">
        <f t="shared" si="47"/>
        <v>Nov</v>
      </c>
      <c r="I352">
        <f t="shared" ca="1" si="48"/>
        <v>6</v>
      </c>
      <c r="J352" t="str">
        <f t="shared" ca="1" si="49"/>
        <v>6 years 11 months 30 days</v>
      </c>
      <c r="K352" s="149">
        <f t="shared" si="50"/>
        <v>43486</v>
      </c>
      <c r="L352" s="149">
        <f t="shared" si="45"/>
        <v>43510</v>
      </c>
      <c r="M352" s="150">
        <f t="shared" si="51"/>
        <v>47</v>
      </c>
      <c r="N352" t="str">
        <f t="shared" si="52"/>
        <v>Weekday</v>
      </c>
      <c r="O352" s="149">
        <f t="shared" si="53"/>
        <v>44606</v>
      </c>
    </row>
    <row r="353" spans="2:15" ht="14.25" customHeight="1">
      <c r="B353" s="115" t="s">
        <v>268</v>
      </c>
      <c r="C353" s="115" t="s">
        <v>895</v>
      </c>
      <c r="D353" s="115" t="s">
        <v>87</v>
      </c>
      <c r="E353" s="137">
        <v>25620</v>
      </c>
      <c r="F353" s="42">
        <v>43019</v>
      </c>
      <c r="G353" t="str">
        <f t="shared" si="46"/>
        <v>Wed</v>
      </c>
      <c r="H353" t="str">
        <f t="shared" si="47"/>
        <v>Oct</v>
      </c>
      <c r="I353">
        <f t="shared" ca="1" si="48"/>
        <v>8</v>
      </c>
      <c r="J353" t="str">
        <f t="shared" ca="1" si="49"/>
        <v>8 years 1 months 10 days</v>
      </c>
      <c r="K353" s="149">
        <f t="shared" si="50"/>
        <v>43079</v>
      </c>
      <c r="L353" s="149">
        <f t="shared" si="45"/>
        <v>43103</v>
      </c>
      <c r="M353" s="150">
        <f t="shared" si="51"/>
        <v>42</v>
      </c>
      <c r="N353" t="str">
        <f t="shared" si="52"/>
        <v>Weekday</v>
      </c>
      <c r="O353" s="149">
        <f t="shared" si="53"/>
        <v>44199</v>
      </c>
    </row>
    <row r="354" spans="2:15" ht="14.25" customHeight="1">
      <c r="B354" s="115" t="s">
        <v>272</v>
      </c>
      <c r="C354" s="115" t="s">
        <v>896</v>
      </c>
      <c r="D354" s="115" t="s">
        <v>87</v>
      </c>
      <c r="E354" s="137">
        <v>31808</v>
      </c>
      <c r="F354" s="42">
        <v>45052</v>
      </c>
      <c r="G354" t="str">
        <f t="shared" si="46"/>
        <v>Sat</v>
      </c>
      <c r="H354" t="str">
        <f t="shared" si="47"/>
        <v>May</v>
      </c>
      <c r="I354">
        <f t="shared" ca="1" si="48"/>
        <v>2</v>
      </c>
      <c r="J354" t="str">
        <f t="shared" ca="1" si="49"/>
        <v>2 years 6 months 15 days</v>
      </c>
      <c r="K354" s="149">
        <f t="shared" si="50"/>
        <v>45112</v>
      </c>
      <c r="L354" s="149">
        <f t="shared" si="45"/>
        <v>45135</v>
      </c>
      <c r="M354" s="150">
        <f t="shared" si="51"/>
        <v>19</v>
      </c>
      <c r="N354" t="str">
        <f t="shared" si="52"/>
        <v>Weekend</v>
      </c>
      <c r="O354" s="149">
        <f t="shared" si="53"/>
        <v>46231</v>
      </c>
    </row>
    <row r="355" spans="2:15" ht="14.25" customHeight="1">
      <c r="B355" s="115" t="s">
        <v>270</v>
      </c>
      <c r="C355" s="115" t="s">
        <v>897</v>
      </c>
      <c r="D355" s="115" t="s">
        <v>84</v>
      </c>
      <c r="E355" s="137">
        <v>22231</v>
      </c>
      <c r="F355" s="42">
        <v>43258</v>
      </c>
      <c r="G355" t="str">
        <f t="shared" si="46"/>
        <v>Thu</v>
      </c>
      <c r="H355" t="str">
        <f t="shared" si="47"/>
        <v>Jun</v>
      </c>
      <c r="I355">
        <f t="shared" ca="1" si="48"/>
        <v>7</v>
      </c>
      <c r="J355" t="str">
        <f t="shared" ca="1" si="49"/>
        <v>7 years 5 months 14 days</v>
      </c>
      <c r="K355" s="149">
        <f t="shared" si="50"/>
        <v>43318</v>
      </c>
      <c r="L355" s="149">
        <f t="shared" si="45"/>
        <v>43342</v>
      </c>
      <c r="M355" s="150">
        <f t="shared" si="51"/>
        <v>23</v>
      </c>
      <c r="N355" t="str">
        <f t="shared" si="52"/>
        <v>Weekday</v>
      </c>
      <c r="O355" s="149">
        <f t="shared" si="53"/>
        <v>44438</v>
      </c>
    </row>
    <row r="356" spans="2:15" ht="14.25" customHeight="1">
      <c r="B356" s="115" t="s">
        <v>272</v>
      </c>
      <c r="C356" s="115" t="s">
        <v>898</v>
      </c>
      <c r="D356" s="115" t="s">
        <v>84</v>
      </c>
      <c r="E356" s="137">
        <v>30553</v>
      </c>
      <c r="F356" s="42">
        <v>41470</v>
      </c>
      <c r="G356" t="str">
        <f t="shared" si="46"/>
        <v>Mon</v>
      </c>
      <c r="H356" t="str">
        <f t="shared" si="47"/>
        <v>Jul</v>
      </c>
      <c r="I356">
        <f t="shared" ca="1" si="48"/>
        <v>12</v>
      </c>
      <c r="J356" t="str">
        <f t="shared" ca="1" si="49"/>
        <v>12 years 4 months 6 days</v>
      </c>
      <c r="K356" s="149">
        <f t="shared" si="50"/>
        <v>41530</v>
      </c>
      <c r="L356" s="149">
        <f t="shared" si="45"/>
        <v>41554</v>
      </c>
      <c r="M356" s="150">
        <f t="shared" si="51"/>
        <v>29</v>
      </c>
      <c r="N356" t="str">
        <f t="shared" si="52"/>
        <v>Weekday</v>
      </c>
      <c r="O356" s="149">
        <f t="shared" si="53"/>
        <v>42650</v>
      </c>
    </row>
    <row r="357" spans="2:15" ht="14.25" customHeight="1">
      <c r="B357" s="115" t="s">
        <v>268</v>
      </c>
      <c r="C357" s="115" t="s">
        <v>899</v>
      </c>
      <c r="D357" s="115" t="s">
        <v>84</v>
      </c>
      <c r="E357" s="137">
        <v>17627</v>
      </c>
      <c r="F357" s="42">
        <v>44197</v>
      </c>
      <c r="G357" t="str">
        <f t="shared" si="46"/>
        <v>Fri</v>
      </c>
      <c r="H357" t="str">
        <f t="shared" si="47"/>
        <v>Jan</v>
      </c>
      <c r="I357">
        <f t="shared" ca="1" si="48"/>
        <v>4</v>
      </c>
      <c r="J357" t="str">
        <f t="shared" ca="1" si="49"/>
        <v>4 years 10 months 20 days</v>
      </c>
      <c r="K357" s="149">
        <f t="shared" si="50"/>
        <v>44257</v>
      </c>
      <c r="L357" s="149">
        <f t="shared" si="45"/>
        <v>44281</v>
      </c>
      <c r="M357" s="150">
        <f t="shared" si="51"/>
        <v>1</v>
      </c>
      <c r="N357" t="str">
        <f t="shared" si="52"/>
        <v>Weekday</v>
      </c>
      <c r="O357" s="149">
        <f t="shared" si="53"/>
        <v>45377</v>
      </c>
    </row>
    <row r="358" spans="2:15" ht="14.25" customHeight="1">
      <c r="B358" s="115" t="s">
        <v>272</v>
      </c>
      <c r="C358" s="115" t="s">
        <v>900</v>
      </c>
      <c r="D358" s="115" t="s">
        <v>84</v>
      </c>
      <c r="E358" s="137">
        <v>19675</v>
      </c>
      <c r="F358" s="42">
        <v>43722</v>
      </c>
      <c r="G358" t="str">
        <f t="shared" si="46"/>
        <v>Sat</v>
      </c>
      <c r="H358" t="str">
        <f t="shared" si="47"/>
        <v>Sep</v>
      </c>
      <c r="I358">
        <f t="shared" ca="1" si="48"/>
        <v>6</v>
      </c>
      <c r="J358" t="str">
        <f t="shared" ca="1" si="49"/>
        <v>6 years 2 months 7 days</v>
      </c>
      <c r="K358" s="149">
        <f t="shared" si="50"/>
        <v>43782</v>
      </c>
      <c r="L358" s="149">
        <f t="shared" si="45"/>
        <v>43805</v>
      </c>
      <c r="M358" s="150">
        <f t="shared" si="51"/>
        <v>37</v>
      </c>
      <c r="N358" t="str">
        <f t="shared" si="52"/>
        <v>Weekend</v>
      </c>
      <c r="O358" s="149">
        <f t="shared" si="53"/>
        <v>44901</v>
      </c>
    </row>
    <row r="359" spans="2:15" ht="14.25" customHeight="1">
      <c r="B359" s="115" t="s">
        <v>269</v>
      </c>
      <c r="C359" s="115" t="s">
        <v>901</v>
      </c>
      <c r="D359" s="115" t="s">
        <v>87</v>
      </c>
      <c r="E359" s="137">
        <v>29336</v>
      </c>
      <c r="F359" s="42">
        <v>42140</v>
      </c>
      <c r="G359" t="str">
        <f t="shared" si="46"/>
        <v>Sat</v>
      </c>
      <c r="H359" t="str">
        <f t="shared" si="47"/>
        <v>May</v>
      </c>
      <c r="I359">
        <f t="shared" ca="1" si="48"/>
        <v>10</v>
      </c>
      <c r="J359" t="str">
        <f t="shared" ca="1" si="49"/>
        <v>10 years 6 months 5 days</v>
      </c>
      <c r="K359" s="149">
        <f t="shared" si="50"/>
        <v>42200</v>
      </c>
      <c r="L359" s="149">
        <f t="shared" si="45"/>
        <v>42223</v>
      </c>
      <c r="M359" s="150">
        <f t="shared" si="51"/>
        <v>20</v>
      </c>
      <c r="N359" t="str">
        <f t="shared" si="52"/>
        <v>Weekend</v>
      </c>
      <c r="O359" s="149">
        <f t="shared" si="53"/>
        <v>43319</v>
      </c>
    </row>
    <row r="360" spans="2:15" ht="14.25" customHeight="1">
      <c r="B360" s="115" t="s">
        <v>268</v>
      </c>
      <c r="C360" s="115" t="s">
        <v>902</v>
      </c>
      <c r="D360" s="115" t="s">
        <v>87</v>
      </c>
      <c r="E360" s="137">
        <v>26804</v>
      </c>
      <c r="F360" s="42">
        <v>45022</v>
      </c>
      <c r="G360" t="str">
        <f t="shared" si="46"/>
        <v>Thu</v>
      </c>
      <c r="H360" t="str">
        <f t="shared" si="47"/>
        <v>Apr</v>
      </c>
      <c r="I360">
        <f t="shared" ca="1" si="48"/>
        <v>2</v>
      </c>
      <c r="J360" t="str">
        <f t="shared" ca="1" si="49"/>
        <v>2 years 7 months 15 days</v>
      </c>
      <c r="K360" s="149">
        <f t="shared" si="50"/>
        <v>45082</v>
      </c>
      <c r="L360" s="149">
        <f t="shared" si="45"/>
        <v>45106</v>
      </c>
      <c r="M360" s="150">
        <f t="shared" si="51"/>
        <v>15</v>
      </c>
      <c r="N360" t="str">
        <f t="shared" si="52"/>
        <v>Weekday</v>
      </c>
      <c r="O360" s="149">
        <f t="shared" si="53"/>
        <v>46202</v>
      </c>
    </row>
    <row r="361" spans="2:15" ht="14.25" customHeight="1">
      <c r="B361" s="115" t="s">
        <v>272</v>
      </c>
      <c r="C361" s="115" t="s">
        <v>903</v>
      </c>
      <c r="D361" s="115" t="s">
        <v>84</v>
      </c>
      <c r="E361" s="137">
        <v>18004</v>
      </c>
      <c r="F361" s="42">
        <v>44100</v>
      </c>
      <c r="G361" t="str">
        <f t="shared" si="46"/>
        <v>Sat</v>
      </c>
      <c r="H361" t="str">
        <f t="shared" si="47"/>
        <v>Sep</v>
      </c>
      <c r="I361">
        <f t="shared" ca="1" si="48"/>
        <v>5</v>
      </c>
      <c r="J361" t="str">
        <f t="shared" ca="1" si="49"/>
        <v>5 years 1 months 26 days</v>
      </c>
      <c r="K361" s="149">
        <f t="shared" si="50"/>
        <v>44160</v>
      </c>
      <c r="L361" s="149">
        <f t="shared" si="45"/>
        <v>44183</v>
      </c>
      <c r="M361" s="150">
        <f t="shared" si="51"/>
        <v>39</v>
      </c>
      <c r="N361" t="str">
        <f t="shared" si="52"/>
        <v>Weekend</v>
      </c>
      <c r="O361" s="149">
        <f t="shared" si="53"/>
        <v>45278</v>
      </c>
    </row>
    <row r="362" spans="2:15" ht="14.25" customHeight="1">
      <c r="B362" s="115" t="s">
        <v>268</v>
      </c>
      <c r="C362" s="115" t="s">
        <v>904</v>
      </c>
      <c r="D362" s="115" t="s">
        <v>87</v>
      </c>
      <c r="E362" s="137">
        <v>16746</v>
      </c>
      <c r="F362" s="42">
        <v>44554</v>
      </c>
      <c r="G362" t="str">
        <f t="shared" si="46"/>
        <v>Fri</v>
      </c>
      <c r="H362" t="str">
        <f t="shared" si="47"/>
        <v>Dec</v>
      </c>
      <c r="I362">
        <f t="shared" ca="1" si="48"/>
        <v>3</v>
      </c>
      <c r="J362" t="str">
        <f t="shared" ca="1" si="49"/>
        <v>3 years 10 months 28 days</v>
      </c>
      <c r="K362" s="149">
        <f t="shared" si="50"/>
        <v>44614</v>
      </c>
      <c r="L362" s="149">
        <f t="shared" si="45"/>
        <v>44638</v>
      </c>
      <c r="M362" s="150">
        <f t="shared" si="51"/>
        <v>52</v>
      </c>
      <c r="N362" t="str">
        <f t="shared" si="52"/>
        <v>Weekday</v>
      </c>
      <c r="O362" s="149">
        <f t="shared" si="53"/>
        <v>45734</v>
      </c>
    </row>
    <row r="363" spans="2:15" ht="14.25" customHeight="1">
      <c r="B363" s="115" t="s">
        <v>271</v>
      </c>
      <c r="C363" s="115" t="s">
        <v>905</v>
      </c>
      <c r="D363" s="115" t="s">
        <v>87</v>
      </c>
      <c r="E363" s="137">
        <v>33420</v>
      </c>
      <c r="F363" s="42">
        <v>45003</v>
      </c>
      <c r="G363" t="str">
        <f t="shared" si="46"/>
        <v>Sat</v>
      </c>
      <c r="H363" t="str">
        <f t="shared" si="47"/>
        <v>Mar</v>
      </c>
      <c r="I363">
        <f t="shared" ca="1" si="48"/>
        <v>2</v>
      </c>
      <c r="J363" t="str">
        <f t="shared" ca="1" si="49"/>
        <v>2 years 8 months 3 days</v>
      </c>
      <c r="K363" s="149">
        <f t="shared" si="50"/>
        <v>45063</v>
      </c>
      <c r="L363" s="149">
        <f t="shared" si="45"/>
        <v>45086</v>
      </c>
      <c r="M363" s="150">
        <f t="shared" si="51"/>
        <v>12</v>
      </c>
      <c r="N363" t="str">
        <f t="shared" si="52"/>
        <v>Weekend</v>
      </c>
      <c r="O363" s="149">
        <f t="shared" si="53"/>
        <v>46182</v>
      </c>
    </row>
    <row r="364" spans="2:15" ht="14.25" customHeight="1">
      <c r="B364" s="115" t="s">
        <v>271</v>
      </c>
      <c r="C364" s="115" t="s">
        <v>906</v>
      </c>
      <c r="D364" s="115" t="s">
        <v>84</v>
      </c>
      <c r="E364" s="137">
        <v>35348</v>
      </c>
      <c r="F364" s="42">
        <v>44847</v>
      </c>
      <c r="G364" t="str">
        <f t="shared" si="46"/>
        <v>Thu</v>
      </c>
      <c r="H364" t="str">
        <f t="shared" si="47"/>
        <v>Oct</v>
      </c>
      <c r="I364">
        <f t="shared" ca="1" si="48"/>
        <v>3</v>
      </c>
      <c r="J364" t="str">
        <f t="shared" ca="1" si="49"/>
        <v>3 years 1 months 8 days</v>
      </c>
      <c r="K364" s="149">
        <f t="shared" si="50"/>
        <v>44907</v>
      </c>
      <c r="L364" s="149">
        <f t="shared" si="45"/>
        <v>44931</v>
      </c>
      <c r="M364" s="150">
        <f t="shared" si="51"/>
        <v>42</v>
      </c>
      <c r="N364" t="str">
        <f t="shared" si="52"/>
        <v>Weekday</v>
      </c>
      <c r="O364" s="149">
        <f t="shared" si="53"/>
        <v>46027</v>
      </c>
    </row>
    <row r="365" spans="2:15" ht="14.25" customHeight="1">
      <c r="B365" s="115" t="s">
        <v>272</v>
      </c>
      <c r="C365" s="115" t="s">
        <v>907</v>
      </c>
      <c r="D365" s="115" t="s">
        <v>87</v>
      </c>
      <c r="E365" s="137">
        <v>30407</v>
      </c>
      <c r="F365" s="42">
        <v>41526</v>
      </c>
      <c r="G365" t="str">
        <f t="shared" si="46"/>
        <v>Mon</v>
      </c>
      <c r="H365" t="str">
        <f t="shared" si="47"/>
        <v>Sep</v>
      </c>
      <c r="I365">
        <f t="shared" ca="1" si="48"/>
        <v>12</v>
      </c>
      <c r="J365" t="str">
        <f t="shared" ca="1" si="49"/>
        <v>12 years 2 months 12 days</v>
      </c>
      <c r="K365" s="149">
        <f t="shared" si="50"/>
        <v>41586</v>
      </c>
      <c r="L365" s="149">
        <f t="shared" si="45"/>
        <v>41610</v>
      </c>
      <c r="M365" s="150">
        <f t="shared" si="51"/>
        <v>37</v>
      </c>
      <c r="N365" t="str">
        <f t="shared" si="52"/>
        <v>Weekday</v>
      </c>
      <c r="O365" s="149">
        <f t="shared" si="53"/>
        <v>42706</v>
      </c>
    </row>
    <row r="366" spans="2:15" ht="14.25" customHeight="1">
      <c r="B366" s="115" t="s">
        <v>268</v>
      </c>
      <c r="C366" s="115" t="s">
        <v>908</v>
      </c>
      <c r="D366" s="115" t="s">
        <v>87</v>
      </c>
      <c r="E366" s="137">
        <v>30323</v>
      </c>
      <c r="F366" s="42">
        <v>42264</v>
      </c>
      <c r="G366" t="str">
        <f t="shared" si="46"/>
        <v>Thu</v>
      </c>
      <c r="H366" t="str">
        <f t="shared" si="47"/>
        <v>Sep</v>
      </c>
      <c r="I366">
        <f t="shared" ca="1" si="48"/>
        <v>10</v>
      </c>
      <c r="J366" t="str">
        <f t="shared" ca="1" si="49"/>
        <v>10 years 2 months 4 days</v>
      </c>
      <c r="K366" s="149">
        <f t="shared" si="50"/>
        <v>42324</v>
      </c>
      <c r="L366" s="149">
        <f t="shared" si="45"/>
        <v>42348</v>
      </c>
      <c r="M366" s="150">
        <f t="shared" si="51"/>
        <v>38</v>
      </c>
      <c r="N366" t="str">
        <f t="shared" si="52"/>
        <v>Weekday</v>
      </c>
      <c r="O366" s="149">
        <f t="shared" si="53"/>
        <v>43444</v>
      </c>
    </row>
    <row r="367" spans="2:15" ht="14.25" customHeight="1">
      <c r="B367" s="115" t="s">
        <v>268</v>
      </c>
      <c r="C367" s="115" t="s">
        <v>909</v>
      </c>
      <c r="D367" s="115" t="s">
        <v>84</v>
      </c>
      <c r="E367" s="137">
        <v>28457</v>
      </c>
      <c r="F367" s="42">
        <v>43729</v>
      </c>
      <c r="G367" t="str">
        <f t="shared" si="46"/>
        <v>Sat</v>
      </c>
      <c r="H367" t="str">
        <f t="shared" si="47"/>
        <v>Sep</v>
      </c>
      <c r="I367">
        <f t="shared" ca="1" si="48"/>
        <v>6</v>
      </c>
      <c r="J367" t="str">
        <f t="shared" ca="1" si="49"/>
        <v>6 years 2 months 0 days</v>
      </c>
      <c r="K367" s="149">
        <f t="shared" si="50"/>
        <v>43789</v>
      </c>
      <c r="L367" s="149">
        <f t="shared" si="45"/>
        <v>43812</v>
      </c>
      <c r="M367" s="150">
        <f t="shared" si="51"/>
        <v>38</v>
      </c>
      <c r="N367" t="str">
        <f t="shared" si="52"/>
        <v>Weekend</v>
      </c>
      <c r="O367" s="149">
        <f t="shared" si="53"/>
        <v>44908</v>
      </c>
    </row>
    <row r="368" spans="2:15" ht="14.25" customHeight="1">
      <c r="B368" s="115" t="s">
        <v>271</v>
      </c>
      <c r="C368" s="115" t="s">
        <v>910</v>
      </c>
      <c r="D368" s="115" t="s">
        <v>84</v>
      </c>
      <c r="E368" s="137">
        <v>18480</v>
      </c>
      <c r="F368" s="42">
        <v>41825</v>
      </c>
      <c r="G368" t="str">
        <f t="shared" si="46"/>
        <v>Sat</v>
      </c>
      <c r="H368" t="str">
        <f t="shared" si="47"/>
        <v>Jul</v>
      </c>
      <c r="I368">
        <f t="shared" ca="1" si="48"/>
        <v>11</v>
      </c>
      <c r="J368" t="str">
        <f t="shared" ca="1" si="49"/>
        <v>11 years 4 months 16 days</v>
      </c>
      <c r="K368" s="149">
        <f t="shared" si="50"/>
        <v>41885</v>
      </c>
      <c r="L368" s="149">
        <f t="shared" si="45"/>
        <v>41908</v>
      </c>
      <c r="M368" s="150">
        <f t="shared" si="51"/>
        <v>27</v>
      </c>
      <c r="N368" t="str">
        <f t="shared" si="52"/>
        <v>Weekend</v>
      </c>
      <c r="O368" s="149">
        <f t="shared" si="53"/>
        <v>43004</v>
      </c>
    </row>
    <row r="369" spans="2:15" ht="14.25" customHeight="1">
      <c r="B369" s="115" t="s">
        <v>268</v>
      </c>
      <c r="C369" s="115" t="s">
        <v>911</v>
      </c>
      <c r="D369" s="115" t="s">
        <v>84</v>
      </c>
      <c r="E369" s="137">
        <v>25154</v>
      </c>
      <c r="F369" s="42">
        <v>41194</v>
      </c>
      <c r="G369" t="str">
        <f t="shared" si="46"/>
        <v>Fri</v>
      </c>
      <c r="H369" t="str">
        <f t="shared" si="47"/>
        <v>Oct</v>
      </c>
      <c r="I369">
        <f t="shared" ca="1" si="48"/>
        <v>13</v>
      </c>
      <c r="J369" t="str">
        <f t="shared" ca="1" si="49"/>
        <v>13 years 1 months 9 days</v>
      </c>
      <c r="K369" s="149">
        <f t="shared" si="50"/>
        <v>41254</v>
      </c>
      <c r="L369" s="149">
        <f t="shared" si="45"/>
        <v>41281</v>
      </c>
      <c r="M369" s="150">
        <f t="shared" si="51"/>
        <v>42</v>
      </c>
      <c r="N369" t="str">
        <f t="shared" si="52"/>
        <v>Weekday</v>
      </c>
      <c r="O369" s="149">
        <f t="shared" si="53"/>
        <v>42376</v>
      </c>
    </row>
    <row r="370" spans="2:15" ht="14.25" customHeight="1">
      <c r="B370" s="115" t="s">
        <v>272</v>
      </c>
      <c r="C370" s="115" t="s">
        <v>912</v>
      </c>
      <c r="D370" s="115" t="s">
        <v>84</v>
      </c>
      <c r="E370" s="137">
        <v>35332</v>
      </c>
      <c r="F370" s="42">
        <v>44986</v>
      </c>
      <c r="G370" t="str">
        <f t="shared" si="46"/>
        <v>Wed</v>
      </c>
      <c r="H370" t="str">
        <f t="shared" si="47"/>
        <v>Mar</v>
      </c>
      <c r="I370">
        <f t="shared" ca="1" si="48"/>
        <v>2</v>
      </c>
      <c r="J370" t="str">
        <f t="shared" ca="1" si="49"/>
        <v>2 years 8 months 20 days</v>
      </c>
      <c r="K370" s="149">
        <f t="shared" si="50"/>
        <v>45046</v>
      </c>
      <c r="L370" s="149">
        <f t="shared" si="45"/>
        <v>45070</v>
      </c>
      <c r="M370" s="150">
        <f t="shared" si="51"/>
        <v>10</v>
      </c>
      <c r="N370" t="str">
        <f t="shared" si="52"/>
        <v>Weekday</v>
      </c>
      <c r="O370" s="149">
        <f t="shared" si="53"/>
        <v>46166</v>
      </c>
    </row>
    <row r="371" spans="2:15" ht="14.25" customHeight="1">
      <c r="B371" s="115" t="s">
        <v>272</v>
      </c>
      <c r="C371" s="115" t="s">
        <v>913</v>
      </c>
      <c r="D371" s="115" t="s">
        <v>87</v>
      </c>
      <c r="E371" s="137">
        <v>29054</v>
      </c>
      <c r="F371" s="42">
        <v>43301</v>
      </c>
      <c r="G371" t="str">
        <f t="shared" si="46"/>
        <v>Fri</v>
      </c>
      <c r="H371" t="str">
        <f t="shared" si="47"/>
        <v>Jul</v>
      </c>
      <c r="I371">
        <f t="shared" ca="1" si="48"/>
        <v>7</v>
      </c>
      <c r="J371" t="str">
        <f t="shared" ca="1" si="49"/>
        <v>7 years 4 months 1 days</v>
      </c>
      <c r="K371" s="149">
        <f t="shared" si="50"/>
        <v>43361</v>
      </c>
      <c r="L371" s="149">
        <f t="shared" si="45"/>
        <v>43385</v>
      </c>
      <c r="M371" s="150">
        <f t="shared" si="51"/>
        <v>29</v>
      </c>
      <c r="N371" t="str">
        <f t="shared" si="52"/>
        <v>Weekday</v>
      </c>
      <c r="O371" s="149">
        <f t="shared" si="53"/>
        <v>44481</v>
      </c>
    </row>
    <row r="372" spans="2:15" ht="14.25" customHeight="1">
      <c r="B372" s="115" t="s">
        <v>268</v>
      </c>
      <c r="C372" s="115" t="s">
        <v>914</v>
      </c>
      <c r="D372" s="115" t="s">
        <v>87</v>
      </c>
      <c r="E372" s="137">
        <v>25341</v>
      </c>
      <c r="F372" s="42">
        <v>45237</v>
      </c>
      <c r="G372" t="str">
        <f t="shared" si="46"/>
        <v>Tue</v>
      </c>
      <c r="H372" t="str">
        <f t="shared" si="47"/>
        <v>Nov</v>
      </c>
      <c r="I372">
        <f t="shared" ca="1" si="48"/>
        <v>2</v>
      </c>
      <c r="J372" t="str">
        <f t="shared" ca="1" si="49"/>
        <v>2 years 0 months 14 days</v>
      </c>
      <c r="K372" s="149">
        <f t="shared" si="50"/>
        <v>45297</v>
      </c>
      <c r="L372" s="149">
        <f t="shared" si="45"/>
        <v>45321</v>
      </c>
      <c r="M372" s="150">
        <f t="shared" si="51"/>
        <v>46</v>
      </c>
      <c r="N372" t="str">
        <f t="shared" si="52"/>
        <v>Weekday</v>
      </c>
      <c r="O372" s="149">
        <f t="shared" si="53"/>
        <v>46417</v>
      </c>
    </row>
    <row r="373" spans="2:15" ht="14.25" customHeight="1">
      <c r="B373" s="115" t="s">
        <v>270</v>
      </c>
      <c r="C373" s="115" t="s">
        <v>915</v>
      </c>
      <c r="D373" s="115" t="s">
        <v>87</v>
      </c>
      <c r="E373" s="137">
        <v>18780</v>
      </c>
      <c r="F373" s="42">
        <v>40619</v>
      </c>
      <c r="G373" t="str">
        <f t="shared" si="46"/>
        <v>Thu</v>
      </c>
      <c r="H373" t="str">
        <f t="shared" si="47"/>
        <v>Mar</v>
      </c>
      <c r="I373">
        <f t="shared" ca="1" si="48"/>
        <v>14</v>
      </c>
      <c r="J373" t="str">
        <f t="shared" ca="1" si="49"/>
        <v>14 years 8 months 4 days</v>
      </c>
      <c r="K373" s="149">
        <f t="shared" si="50"/>
        <v>40679</v>
      </c>
      <c r="L373" s="149">
        <f t="shared" si="45"/>
        <v>40703</v>
      </c>
      <c r="M373" s="150">
        <f t="shared" si="51"/>
        <v>12</v>
      </c>
      <c r="N373" t="str">
        <f t="shared" si="52"/>
        <v>Weekday</v>
      </c>
      <c r="O373" s="149">
        <f t="shared" si="53"/>
        <v>41799</v>
      </c>
    </row>
    <row r="374" spans="2:15" ht="14.25" customHeight="1">
      <c r="B374" s="115" t="s">
        <v>268</v>
      </c>
      <c r="C374" s="115" t="s">
        <v>916</v>
      </c>
      <c r="D374" s="115" t="s">
        <v>84</v>
      </c>
      <c r="E374" s="137">
        <v>35502</v>
      </c>
      <c r="F374" s="42">
        <v>41271</v>
      </c>
      <c r="G374" t="str">
        <f t="shared" si="46"/>
        <v>Fri</v>
      </c>
      <c r="H374" t="str">
        <f t="shared" si="47"/>
        <v>Dec</v>
      </c>
      <c r="I374">
        <f t="shared" ca="1" si="48"/>
        <v>12</v>
      </c>
      <c r="J374" t="str">
        <f t="shared" ca="1" si="49"/>
        <v>12 years 10 months 24 days</v>
      </c>
      <c r="K374" s="149">
        <f t="shared" si="50"/>
        <v>41331</v>
      </c>
      <c r="L374" s="149">
        <f t="shared" si="45"/>
        <v>41358</v>
      </c>
      <c r="M374" s="150">
        <f t="shared" si="51"/>
        <v>53</v>
      </c>
      <c r="N374" t="str">
        <f t="shared" si="52"/>
        <v>Weekday</v>
      </c>
      <c r="O374" s="149">
        <f t="shared" si="53"/>
        <v>42454</v>
      </c>
    </row>
    <row r="375" spans="2:15" ht="14.25" customHeight="1">
      <c r="B375" s="115" t="s">
        <v>270</v>
      </c>
      <c r="C375" s="115" t="s">
        <v>917</v>
      </c>
      <c r="D375" s="115" t="s">
        <v>84</v>
      </c>
      <c r="E375" s="137">
        <v>23897</v>
      </c>
      <c r="F375" s="42">
        <v>41483</v>
      </c>
      <c r="G375" t="str">
        <f t="shared" si="46"/>
        <v>Sun</v>
      </c>
      <c r="H375" t="str">
        <f t="shared" si="47"/>
        <v>Jul</v>
      </c>
      <c r="I375">
        <f t="shared" ca="1" si="48"/>
        <v>12</v>
      </c>
      <c r="J375" t="str">
        <f t="shared" ca="1" si="49"/>
        <v>12 years 3 months 24 days</v>
      </c>
      <c r="K375" s="149">
        <f t="shared" si="50"/>
        <v>41543</v>
      </c>
      <c r="L375" s="149">
        <f t="shared" si="45"/>
        <v>41565</v>
      </c>
      <c r="M375" s="150">
        <f t="shared" si="51"/>
        <v>30</v>
      </c>
      <c r="N375" t="str">
        <f t="shared" si="52"/>
        <v>Weekend</v>
      </c>
      <c r="O375" s="149">
        <f t="shared" si="53"/>
        <v>42661</v>
      </c>
    </row>
    <row r="376" spans="2:15" ht="14.25" customHeight="1">
      <c r="B376" s="115" t="s">
        <v>268</v>
      </c>
      <c r="C376" s="115" t="s">
        <v>918</v>
      </c>
      <c r="D376" s="115" t="s">
        <v>87</v>
      </c>
      <c r="E376" s="137">
        <v>20623</v>
      </c>
      <c r="F376" s="42">
        <v>43918</v>
      </c>
      <c r="G376" t="str">
        <f t="shared" si="46"/>
        <v>Sat</v>
      </c>
      <c r="H376" t="str">
        <f t="shared" si="47"/>
        <v>Mar</v>
      </c>
      <c r="I376">
        <f t="shared" ca="1" si="48"/>
        <v>5</v>
      </c>
      <c r="J376" t="str">
        <f t="shared" ca="1" si="49"/>
        <v>5 years 7 months 24 days</v>
      </c>
      <c r="K376" s="149">
        <f t="shared" si="50"/>
        <v>43978</v>
      </c>
      <c r="L376" s="149">
        <f t="shared" si="45"/>
        <v>44001</v>
      </c>
      <c r="M376" s="150">
        <f t="shared" si="51"/>
        <v>13</v>
      </c>
      <c r="N376" t="str">
        <f t="shared" si="52"/>
        <v>Weekend</v>
      </c>
      <c r="O376" s="149">
        <f t="shared" si="53"/>
        <v>45096</v>
      </c>
    </row>
    <row r="377" spans="2:15" ht="14.25" customHeight="1">
      <c r="B377" s="115" t="s">
        <v>269</v>
      </c>
      <c r="C377" s="115" t="s">
        <v>919</v>
      </c>
      <c r="D377" s="115" t="s">
        <v>87</v>
      </c>
      <c r="E377" s="137">
        <v>17009</v>
      </c>
      <c r="F377" s="42">
        <v>41790</v>
      </c>
      <c r="G377" t="str">
        <f t="shared" si="46"/>
        <v>Sat</v>
      </c>
      <c r="H377" t="str">
        <f t="shared" si="47"/>
        <v>May</v>
      </c>
      <c r="I377">
        <f t="shared" ca="1" si="48"/>
        <v>11</v>
      </c>
      <c r="J377" t="str">
        <f t="shared" ca="1" si="49"/>
        <v>11 years 5 months 21 days</v>
      </c>
      <c r="K377" s="149">
        <f t="shared" si="50"/>
        <v>41850</v>
      </c>
      <c r="L377" s="149">
        <f t="shared" si="45"/>
        <v>41873</v>
      </c>
      <c r="M377" s="150">
        <f t="shared" si="51"/>
        <v>22</v>
      </c>
      <c r="N377" t="str">
        <f t="shared" si="52"/>
        <v>Weekend</v>
      </c>
      <c r="O377" s="149">
        <f t="shared" si="53"/>
        <v>42969</v>
      </c>
    </row>
    <row r="378" spans="2:15" ht="14.25" customHeight="1">
      <c r="B378" s="115" t="s">
        <v>270</v>
      </c>
      <c r="C378" s="115" t="s">
        <v>920</v>
      </c>
      <c r="D378" s="115" t="s">
        <v>84</v>
      </c>
      <c r="E378" s="137">
        <v>29631</v>
      </c>
      <c r="F378" s="42">
        <v>42124</v>
      </c>
      <c r="G378" t="str">
        <f t="shared" si="46"/>
        <v>Thu</v>
      </c>
      <c r="H378" t="str">
        <f t="shared" si="47"/>
        <v>Apr</v>
      </c>
      <c r="I378">
        <f t="shared" ca="1" si="48"/>
        <v>10</v>
      </c>
      <c r="J378" t="str">
        <f t="shared" ca="1" si="49"/>
        <v>10 years 6 months 22 days</v>
      </c>
      <c r="K378" s="149">
        <f t="shared" si="50"/>
        <v>42184</v>
      </c>
      <c r="L378" s="149">
        <f t="shared" si="45"/>
        <v>42208</v>
      </c>
      <c r="M378" s="150">
        <f t="shared" si="51"/>
        <v>18</v>
      </c>
      <c r="N378" t="str">
        <f t="shared" si="52"/>
        <v>Weekday</v>
      </c>
      <c r="O378" s="149">
        <f t="shared" si="53"/>
        <v>43304</v>
      </c>
    </row>
    <row r="379" spans="2:15" ht="14.25" customHeight="1">
      <c r="B379" s="115" t="s">
        <v>270</v>
      </c>
      <c r="C379" s="115" t="s">
        <v>921</v>
      </c>
      <c r="D379" s="115" t="s">
        <v>87</v>
      </c>
      <c r="E379" s="137">
        <v>20598</v>
      </c>
      <c r="F379" s="42">
        <v>42902</v>
      </c>
      <c r="G379" t="str">
        <f t="shared" si="46"/>
        <v>Fri</v>
      </c>
      <c r="H379" t="str">
        <f t="shared" si="47"/>
        <v>Jun</v>
      </c>
      <c r="I379">
        <f t="shared" ca="1" si="48"/>
        <v>8</v>
      </c>
      <c r="J379" t="str">
        <f t="shared" ca="1" si="49"/>
        <v>8 years 5 months 5 days</v>
      </c>
      <c r="K379" s="149">
        <f t="shared" si="50"/>
        <v>42962</v>
      </c>
      <c r="L379" s="149">
        <f t="shared" si="45"/>
        <v>42986</v>
      </c>
      <c r="M379" s="150">
        <f t="shared" si="51"/>
        <v>25</v>
      </c>
      <c r="N379" t="str">
        <f t="shared" si="52"/>
        <v>Weekday</v>
      </c>
      <c r="O379" s="149">
        <f t="shared" si="53"/>
        <v>44082</v>
      </c>
    </row>
    <row r="380" spans="2:15" ht="14.25" customHeight="1">
      <c r="B380" s="115" t="s">
        <v>270</v>
      </c>
      <c r="C380" s="115" t="s">
        <v>922</v>
      </c>
      <c r="D380" s="115" t="s">
        <v>84</v>
      </c>
      <c r="E380" s="137">
        <v>29907</v>
      </c>
      <c r="F380" s="42">
        <v>43302</v>
      </c>
      <c r="G380" t="str">
        <f t="shared" si="46"/>
        <v>Sat</v>
      </c>
      <c r="H380" t="str">
        <f t="shared" si="47"/>
        <v>Jul</v>
      </c>
      <c r="I380">
        <f t="shared" ca="1" si="48"/>
        <v>7</v>
      </c>
      <c r="J380" t="str">
        <f t="shared" ca="1" si="49"/>
        <v>7 years 4 months 0 days</v>
      </c>
      <c r="K380" s="149">
        <f t="shared" si="50"/>
        <v>43362</v>
      </c>
      <c r="L380" s="149">
        <f t="shared" si="45"/>
        <v>43385</v>
      </c>
      <c r="M380" s="150">
        <f t="shared" si="51"/>
        <v>29</v>
      </c>
      <c r="N380" t="str">
        <f t="shared" si="52"/>
        <v>Weekend</v>
      </c>
      <c r="O380" s="149">
        <f t="shared" si="53"/>
        <v>44481</v>
      </c>
    </row>
    <row r="381" spans="2:15" ht="14.25" customHeight="1">
      <c r="B381" s="115" t="s">
        <v>270</v>
      </c>
      <c r="C381" s="115" t="s">
        <v>923</v>
      </c>
      <c r="D381" s="115" t="s">
        <v>87</v>
      </c>
      <c r="E381" s="137">
        <v>21414</v>
      </c>
      <c r="F381" s="42">
        <v>43809</v>
      </c>
      <c r="G381" t="str">
        <f t="shared" si="46"/>
        <v>Tue</v>
      </c>
      <c r="H381" t="str">
        <f t="shared" si="47"/>
        <v>Dec</v>
      </c>
      <c r="I381">
        <f t="shared" ca="1" si="48"/>
        <v>5</v>
      </c>
      <c r="J381" t="str">
        <f t="shared" ca="1" si="49"/>
        <v>5 years 11 months 11 days</v>
      </c>
      <c r="K381" s="149">
        <f t="shared" si="50"/>
        <v>43869</v>
      </c>
      <c r="L381" s="149">
        <f t="shared" si="45"/>
        <v>43893</v>
      </c>
      <c r="M381" s="150">
        <f t="shared" si="51"/>
        <v>50</v>
      </c>
      <c r="N381" t="str">
        <f t="shared" si="52"/>
        <v>Weekday</v>
      </c>
      <c r="O381" s="149">
        <f t="shared" si="53"/>
        <v>44988</v>
      </c>
    </row>
    <row r="382" spans="2:15" ht="14.25" customHeight="1">
      <c r="B382" s="115" t="s">
        <v>272</v>
      </c>
      <c r="C382" s="115" t="s">
        <v>924</v>
      </c>
      <c r="D382" s="115" t="s">
        <v>84</v>
      </c>
      <c r="E382" s="137">
        <v>30254</v>
      </c>
      <c r="F382" s="42">
        <v>44222</v>
      </c>
      <c r="G382" t="str">
        <f t="shared" si="46"/>
        <v>Tue</v>
      </c>
      <c r="H382" t="str">
        <f t="shared" si="47"/>
        <v>Jan</v>
      </c>
      <c r="I382">
        <f t="shared" ca="1" si="48"/>
        <v>4</v>
      </c>
      <c r="J382" t="str">
        <f t="shared" ca="1" si="49"/>
        <v>4 years 9 months 26 days</v>
      </c>
      <c r="K382" s="149">
        <f t="shared" si="50"/>
        <v>44282</v>
      </c>
      <c r="L382" s="149">
        <f t="shared" si="45"/>
        <v>44306</v>
      </c>
      <c r="M382" s="150">
        <f t="shared" si="51"/>
        <v>5</v>
      </c>
      <c r="N382" t="str">
        <f t="shared" si="52"/>
        <v>Weekday</v>
      </c>
      <c r="O382" s="149">
        <f t="shared" si="53"/>
        <v>45402</v>
      </c>
    </row>
    <row r="383" spans="2:15" ht="14.25" customHeight="1">
      <c r="B383" s="115" t="s">
        <v>270</v>
      </c>
      <c r="C383" s="115" t="s">
        <v>925</v>
      </c>
      <c r="D383" s="115" t="s">
        <v>84</v>
      </c>
      <c r="E383" s="137">
        <v>35380</v>
      </c>
      <c r="F383" s="42">
        <v>42825</v>
      </c>
      <c r="G383" t="str">
        <f t="shared" si="46"/>
        <v>Fri</v>
      </c>
      <c r="H383" t="str">
        <f t="shared" si="47"/>
        <v>Mar</v>
      </c>
      <c r="I383">
        <f t="shared" ca="1" si="48"/>
        <v>8</v>
      </c>
      <c r="J383" t="str">
        <f t="shared" ca="1" si="49"/>
        <v>8 years 7 months 21 days</v>
      </c>
      <c r="K383" s="149">
        <f t="shared" si="50"/>
        <v>42885</v>
      </c>
      <c r="L383" s="149">
        <f t="shared" si="45"/>
        <v>42909</v>
      </c>
      <c r="M383" s="150">
        <f t="shared" si="51"/>
        <v>14</v>
      </c>
      <c r="N383" t="str">
        <f t="shared" si="52"/>
        <v>Weekday</v>
      </c>
      <c r="O383" s="149">
        <f t="shared" si="53"/>
        <v>44005</v>
      </c>
    </row>
    <row r="384" spans="2:15" ht="14.25" customHeight="1">
      <c r="B384" s="115" t="s">
        <v>269</v>
      </c>
      <c r="C384" s="115" t="s">
        <v>926</v>
      </c>
      <c r="D384" s="115" t="s">
        <v>84</v>
      </c>
      <c r="E384" s="137">
        <v>19702</v>
      </c>
      <c r="F384" s="42">
        <v>42560</v>
      </c>
      <c r="G384" t="str">
        <f t="shared" si="46"/>
        <v>Sat</v>
      </c>
      <c r="H384" t="str">
        <f t="shared" si="47"/>
        <v>Jul</v>
      </c>
      <c r="I384">
        <f t="shared" ca="1" si="48"/>
        <v>9</v>
      </c>
      <c r="J384" t="str">
        <f t="shared" ca="1" si="49"/>
        <v>9 years 4 months 12 days</v>
      </c>
      <c r="K384" s="149">
        <f t="shared" si="50"/>
        <v>42620</v>
      </c>
      <c r="L384" s="149">
        <f t="shared" si="45"/>
        <v>42643</v>
      </c>
      <c r="M384" s="150">
        <f t="shared" si="51"/>
        <v>28</v>
      </c>
      <c r="N384" t="str">
        <f t="shared" si="52"/>
        <v>Weekend</v>
      </c>
      <c r="O384" s="149">
        <f t="shared" si="53"/>
        <v>43738</v>
      </c>
    </row>
    <row r="385" spans="2:15" ht="14.25" customHeight="1">
      <c r="B385" s="115" t="s">
        <v>271</v>
      </c>
      <c r="C385" s="115" t="s">
        <v>927</v>
      </c>
      <c r="D385" s="115" t="s">
        <v>84</v>
      </c>
      <c r="E385" s="137">
        <v>25475</v>
      </c>
      <c r="F385" s="42">
        <v>41322</v>
      </c>
      <c r="G385" t="str">
        <f t="shared" si="46"/>
        <v>Sun</v>
      </c>
      <c r="H385" t="str">
        <f t="shared" si="47"/>
        <v>Feb</v>
      </c>
      <c r="I385">
        <f t="shared" ca="1" si="48"/>
        <v>12</v>
      </c>
      <c r="J385" t="str">
        <f t="shared" ca="1" si="49"/>
        <v>12 years 9 months 4 days</v>
      </c>
      <c r="K385" s="149">
        <f t="shared" si="50"/>
        <v>41382</v>
      </c>
      <c r="L385" s="149">
        <f t="shared" si="45"/>
        <v>41404</v>
      </c>
      <c r="M385" s="150">
        <f t="shared" si="51"/>
        <v>7</v>
      </c>
      <c r="N385" t="str">
        <f t="shared" si="52"/>
        <v>Weekend</v>
      </c>
      <c r="O385" s="149">
        <f t="shared" si="53"/>
        <v>42500</v>
      </c>
    </row>
    <row r="386" spans="2:15" ht="14.25" customHeight="1">
      <c r="B386" s="115" t="s">
        <v>269</v>
      </c>
      <c r="C386" s="115" t="s">
        <v>928</v>
      </c>
      <c r="D386" s="115" t="s">
        <v>87</v>
      </c>
      <c r="E386" s="137">
        <v>29328</v>
      </c>
      <c r="F386" s="42">
        <v>43330</v>
      </c>
      <c r="G386" t="str">
        <f t="shared" si="46"/>
        <v>Sat</v>
      </c>
      <c r="H386" t="str">
        <f t="shared" si="47"/>
        <v>Aug</v>
      </c>
      <c r="I386">
        <f t="shared" ca="1" si="48"/>
        <v>7</v>
      </c>
      <c r="J386" t="str">
        <f t="shared" ca="1" si="49"/>
        <v>7 years 3 months 3 days</v>
      </c>
      <c r="K386" s="149">
        <f t="shared" si="50"/>
        <v>43390</v>
      </c>
      <c r="L386" s="149">
        <f t="shared" si="45"/>
        <v>43413</v>
      </c>
      <c r="M386" s="150">
        <f t="shared" si="51"/>
        <v>33</v>
      </c>
      <c r="N386" t="str">
        <f t="shared" si="52"/>
        <v>Weekend</v>
      </c>
      <c r="O386" s="149">
        <f t="shared" si="53"/>
        <v>44509</v>
      </c>
    </row>
    <row r="387" spans="2:15" ht="14.25" customHeight="1">
      <c r="B387" s="115" t="s">
        <v>271</v>
      </c>
      <c r="C387" s="115" t="s">
        <v>929</v>
      </c>
      <c r="D387" s="115" t="s">
        <v>84</v>
      </c>
      <c r="E387" s="137">
        <v>19452</v>
      </c>
      <c r="F387" s="42">
        <v>41135</v>
      </c>
      <c r="G387" t="str">
        <f t="shared" si="46"/>
        <v>Tue</v>
      </c>
      <c r="H387" t="str">
        <f t="shared" si="47"/>
        <v>Aug</v>
      </c>
      <c r="I387">
        <f t="shared" ca="1" si="48"/>
        <v>13</v>
      </c>
      <c r="J387" t="str">
        <f t="shared" ca="1" si="49"/>
        <v>13 years 3 months 7 days</v>
      </c>
      <c r="K387" s="149">
        <f t="shared" si="50"/>
        <v>41195</v>
      </c>
      <c r="L387" s="149">
        <f t="shared" si="45"/>
        <v>41219</v>
      </c>
      <c r="M387" s="150">
        <f t="shared" si="51"/>
        <v>34</v>
      </c>
      <c r="N387" t="str">
        <f t="shared" si="52"/>
        <v>Weekday</v>
      </c>
      <c r="O387" s="149">
        <f t="shared" si="53"/>
        <v>42314</v>
      </c>
    </row>
    <row r="388" spans="2:15" ht="14.25" customHeight="1">
      <c r="B388" s="115" t="s">
        <v>269</v>
      </c>
      <c r="C388" s="115" t="s">
        <v>930</v>
      </c>
      <c r="D388" s="115" t="s">
        <v>87</v>
      </c>
      <c r="E388" s="137">
        <v>15189</v>
      </c>
      <c r="F388" s="42">
        <v>43800</v>
      </c>
      <c r="G388" t="str">
        <f t="shared" si="46"/>
        <v>Sun</v>
      </c>
      <c r="H388" t="str">
        <f t="shared" si="47"/>
        <v>Dec</v>
      </c>
      <c r="I388">
        <f t="shared" ca="1" si="48"/>
        <v>5</v>
      </c>
      <c r="J388" t="str">
        <f t="shared" ca="1" si="49"/>
        <v>5 years 11 months 20 days</v>
      </c>
      <c r="K388" s="149">
        <f t="shared" si="50"/>
        <v>43860</v>
      </c>
      <c r="L388" s="149">
        <f t="shared" si="45"/>
        <v>43882</v>
      </c>
      <c r="M388" s="150">
        <f t="shared" si="51"/>
        <v>48</v>
      </c>
      <c r="N388" t="str">
        <f t="shared" si="52"/>
        <v>Weekend</v>
      </c>
      <c r="O388" s="149">
        <f t="shared" si="53"/>
        <v>44978</v>
      </c>
    </row>
    <row r="389" spans="2:15" ht="14.25" customHeight="1">
      <c r="B389" s="115" t="s">
        <v>269</v>
      </c>
      <c r="C389" s="115" t="s">
        <v>931</v>
      </c>
      <c r="D389" s="115" t="s">
        <v>84</v>
      </c>
      <c r="E389" s="137">
        <v>28071</v>
      </c>
      <c r="F389" s="42">
        <v>40727</v>
      </c>
      <c r="G389" t="str">
        <f t="shared" si="46"/>
        <v>Sun</v>
      </c>
      <c r="H389" t="str">
        <f t="shared" si="47"/>
        <v>Jul</v>
      </c>
      <c r="I389">
        <f t="shared" ca="1" si="48"/>
        <v>14</v>
      </c>
      <c r="J389" t="str">
        <f t="shared" ca="1" si="49"/>
        <v>14 years 4 months 18 days</v>
      </c>
      <c r="K389" s="149">
        <f t="shared" si="50"/>
        <v>40787</v>
      </c>
      <c r="L389" s="149">
        <f t="shared" si="45"/>
        <v>40809</v>
      </c>
      <c r="M389" s="150">
        <f t="shared" si="51"/>
        <v>27</v>
      </c>
      <c r="N389" t="str">
        <f t="shared" si="52"/>
        <v>Weekend</v>
      </c>
      <c r="O389" s="149">
        <f t="shared" si="53"/>
        <v>41905</v>
      </c>
    </row>
    <row r="390" spans="2:15" ht="14.25" customHeight="1">
      <c r="B390" s="115" t="s">
        <v>268</v>
      </c>
      <c r="C390" s="115" t="s">
        <v>932</v>
      </c>
      <c r="D390" s="115" t="s">
        <v>87</v>
      </c>
      <c r="E390" s="137">
        <v>29807</v>
      </c>
      <c r="F390" s="42">
        <v>43388</v>
      </c>
      <c r="G390" t="str">
        <f t="shared" si="46"/>
        <v>Mon</v>
      </c>
      <c r="H390" t="str">
        <f t="shared" si="47"/>
        <v>Oct</v>
      </c>
      <c r="I390">
        <f t="shared" ca="1" si="48"/>
        <v>7</v>
      </c>
      <c r="J390" t="str">
        <f t="shared" ca="1" si="49"/>
        <v>7 years 1 months 6 days</v>
      </c>
      <c r="K390" s="149">
        <f t="shared" si="50"/>
        <v>43448</v>
      </c>
      <c r="L390" s="149">
        <f t="shared" ref="L390:L453" si="54">WORKDAY(F390,60,$R$6:$R$7)</f>
        <v>43472</v>
      </c>
      <c r="M390" s="150">
        <f t="shared" si="51"/>
        <v>42</v>
      </c>
      <c r="N390" t="str">
        <f t="shared" si="52"/>
        <v>Weekday</v>
      </c>
      <c r="O390" s="149">
        <f t="shared" si="53"/>
        <v>44568</v>
      </c>
    </row>
    <row r="391" spans="2:15" ht="14.25" customHeight="1">
      <c r="B391" s="115" t="s">
        <v>270</v>
      </c>
      <c r="C391" s="115" t="s">
        <v>933</v>
      </c>
      <c r="D391" s="115" t="s">
        <v>87</v>
      </c>
      <c r="E391" s="137">
        <v>33274</v>
      </c>
      <c r="F391" s="42">
        <v>41895</v>
      </c>
      <c r="G391" t="str">
        <f t="shared" ref="G391:G454" si="55">TEXT(F391,"DDD")</f>
        <v>Sat</v>
      </c>
      <c r="H391" t="str">
        <f t="shared" ref="H391:H454" si="56">TEXT(F391,"MMM")</f>
        <v>Sep</v>
      </c>
      <c r="I391">
        <f t="shared" ref="I391:I454" ca="1" si="57">DATEDIF(F391,TODAY(),"Y")</f>
        <v>11</v>
      </c>
      <c r="J391" t="str">
        <f t="shared" ref="J391:J454" ca="1" si="58">DATEDIF(F391,TODAY(),"Y")&amp;" years "&amp;DATEDIF(F391,TODAY(),"YM")&amp;" months "&amp;DATEDIF(F391,TODAY(),"MD")&amp;" days"</f>
        <v>11 years 2 months 8 days</v>
      </c>
      <c r="K391" s="149">
        <f t="shared" ref="K391:K454" si="59">F391+60</f>
        <v>41955</v>
      </c>
      <c r="L391" s="149">
        <f t="shared" si="54"/>
        <v>41978</v>
      </c>
      <c r="M391" s="150">
        <f t="shared" ref="M391:M454" si="60">WEEKNUM(F391,2)</f>
        <v>37</v>
      </c>
      <c r="N391" t="str">
        <f t="shared" ref="N391:N454" si="61">IF(WEEKDAY(F391,2)&gt;5,"Weekend","Weekday")</f>
        <v>Weekend</v>
      </c>
      <c r="O391" s="149">
        <f t="shared" ref="O391:O454" si="62">EDATE(L391,36)</f>
        <v>43074</v>
      </c>
    </row>
    <row r="392" spans="2:15" ht="14.25" customHeight="1">
      <c r="B392" s="115" t="s">
        <v>271</v>
      </c>
      <c r="C392" s="115" t="s">
        <v>934</v>
      </c>
      <c r="D392" s="115" t="s">
        <v>87</v>
      </c>
      <c r="E392" s="137">
        <v>20897</v>
      </c>
      <c r="F392" s="42">
        <v>41853</v>
      </c>
      <c r="G392" t="str">
        <f t="shared" si="55"/>
        <v>Sat</v>
      </c>
      <c r="H392" t="str">
        <f t="shared" si="56"/>
        <v>Aug</v>
      </c>
      <c r="I392">
        <f t="shared" ca="1" si="57"/>
        <v>11</v>
      </c>
      <c r="J392" t="str">
        <f t="shared" ca="1" si="58"/>
        <v>11 years 3 months 19 days</v>
      </c>
      <c r="K392" s="149">
        <f t="shared" si="59"/>
        <v>41913</v>
      </c>
      <c r="L392" s="149">
        <f t="shared" si="54"/>
        <v>41936</v>
      </c>
      <c r="M392" s="150">
        <f t="shared" si="60"/>
        <v>31</v>
      </c>
      <c r="N392" t="str">
        <f t="shared" si="61"/>
        <v>Weekend</v>
      </c>
      <c r="O392" s="149">
        <f t="shared" si="62"/>
        <v>43032</v>
      </c>
    </row>
    <row r="393" spans="2:15" ht="14.25" customHeight="1">
      <c r="B393" s="115" t="s">
        <v>272</v>
      </c>
      <c r="C393" s="115" t="s">
        <v>935</v>
      </c>
      <c r="D393" s="115" t="s">
        <v>87</v>
      </c>
      <c r="E393" s="137">
        <v>35458</v>
      </c>
      <c r="F393" s="42">
        <v>42620</v>
      </c>
      <c r="G393" t="str">
        <f t="shared" si="55"/>
        <v>Wed</v>
      </c>
      <c r="H393" t="str">
        <f t="shared" si="56"/>
        <v>Sep</v>
      </c>
      <c r="I393">
        <f t="shared" ca="1" si="57"/>
        <v>9</v>
      </c>
      <c r="J393" t="str">
        <f t="shared" ca="1" si="58"/>
        <v>9 years 2 months 14 days</v>
      </c>
      <c r="K393" s="149">
        <f t="shared" si="59"/>
        <v>42680</v>
      </c>
      <c r="L393" s="149">
        <f t="shared" si="54"/>
        <v>42704</v>
      </c>
      <c r="M393" s="150">
        <f t="shared" si="60"/>
        <v>37</v>
      </c>
      <c r="N393" t="str">
        <f t="shared" si="61"/>
        <v>Weekday</v>
      </c>
      <c r="O393" s="149">
        <f t="shared" si="62"/>
        <v>43799</v>
      </c>
    </row>
    <row r="394" spans="2:15" ht="14.25" customHeight="1">
      <c r="B394" s="115" t="s">
        <v>270</v>
      </c>
      <c r="C394" s="115" t="s">
        <v>936</v>
      </c>
      <c r="D394" s="115" t="s">
        <v>87</v>
      </c>
      <c r="E394" s="137">
        <v>21436</v>
      </c>
      <c r="F394" s="42">
        <v>42615</v>
      </c>
      <c r="G394" t="str">
        <f t="shared" si="55"/>
        <v>Fri</v>
      </c>
      <c r="H394" t="str">
        <f t="shared" si="56"/>
        <v>Sep</v>
      </c>
      <c r="I394">
        <f t="shared" ca="1" si="57"/>
        <v>9</v>
      </c>
      <c r="J394" t="str">
        <f t="shared" ca="1" si="58"/>
        <v>9 years 2 months 19 days</v>
      </c>
      <c r="K394" s="149">
        <f t="shared" si="59"/>
        <v>42675</v>
      </c>
      <c r="L394" s="149">
        <f t="shared" si="54"/>
        <v>42699</v>
      </c>
      <c r="M394" s="150">
        <f t="shared" si="60"/>
        <v>36</v>
      </c>
      <c r="N394" t="str">
        <f t="shared" si="61"/>
        <v>Weekday</v>
      </c>
      <c r="O394" s="149">
        <f t="shared" si="62"/>
        <v>43794</v>
      </c>
    </row>
    <row r="395" spans="2:15" ht="14.25" customHeight="1">
      <c r="B395" s="115" t="s">
        <v>272</v>
      </c>
      <c r="C395" s="115" t="s">
        <v>937</v>
      </c>
      <c r="D395" s="115" t="s">
        <v>87</v>
      </c>
      <c r="E395" s="137">
        <v>15658</v>
      </c>
      <c r="F395" s="42">
        <v>42984</v>
      </c>
      <c r="G395" t="str">
        <f t="shared" si="55"/>
        <v>Wed</v>
      </c>
      <c r="H395" t="str">
        <f t="shared" si="56"/>
        <v>Sep</v>
      </c>
      <c r="I395">
        <f t="shared" ca="1" si="57"/>
        <v>8</v>
      </c>
      <c r="J395" t="str">
        <f t="shared" ca="1" si="58"/>
        <v>8 years 2 months 15 days</v>
      </c>
      <c r="K395" s="149">
        <f t="shared" si="59"/>
        <v>43044</v>
      </c>
      <c r="L395" s="149">
        <f t="shared" si="54"/>
        <v>43068</v>
      </c>
      <c r="M395" s="150">
        <f t="shared" si="60"/>
        <v>37</v>
      </c>
      <c r="N395" t="str">
        <f t="shared" si="61"/>
        <v>Weekday</v>
      </c>
      <c r="O395" s="149">
        <f t="shared" si="62"/>
        <v>44164</v>
      </c>
    </row>
    <row r="396" spans="2:15" ht="14.25" customHeight="1">
      <c r="B396" s="115" t="s">
        <v>269</v>
      </c>
      <c r="C396" s="115" t="s">
        <v>938</v>
      </c>
      <c r="D396" s="115" t="s">
        <v>87</v>
      </c>
      <c r="E396" s="137">
        <v>16560</v>
      </c>
      <c r="F396" s="42">
        <v>41877</v>
      </c>
      <c r="G396" t="str">
        <f t="shared" si="55"/>
        <v>Tue</v>
      </c>
      <c r="H396" t="str">
        <f t="shared" si="56"/>
        <v>Aug</v>
      </c>
      <c r="I396">
        <f t="shared" ca="1" si="57"/>
        <v>11</v>
      </c>
      <c r="J396" t="str">
        <f t="shared" ca="1" si="58"/>
        <v>11 years 2 months 26 days</v>
      </c>
      <c r="K396" s="149">
        <f t="shared" si="59"/>
        <v>41937</v>
      </c>
      <c r="L396" s="149">
        <f t="shared" si="54"/>
        <v>41961</v>
      </c>
      <c r="M396" s="150">
        <f t="shared" si="60"/>
        <v>35</v>
      </c>
      <c r="N396" t="str">
        <f t="shared" si="61"/>
        <v>Weekday</v>
      </c>
      <c r="O396" s="149">
        <f t="shared" si="62"/>
        <v>43057</v>
      </c>
    </row>
    <row r="397" spans="2:15" ht="14.25" customHeight="1">
      <c r="B397" s="115" t="s">
        <v>270</v>
      </c>
      <c r="C397" s="115" t="s">
        <v>939</v>
      </c>
      <c r="D397" s="115" t="s">
        <v>84</v>
      </c>
      <c r="E397" s="137">
        <v>30752</v>
      </c>
      <c r="F397" s="42">
        <v>44614</v>
      </c>
      <c r="G397" t="str">
        <f t="shared" si="55"/>
        <v>Tue</v>
      </c>
      <c r="H397" t="str">
        <f t="shared" si="56"/>
        <v>Feb</v>
      </c>
      <c r="I397">
        <f t="shared" ca="1" si="57"/>
        <v>3</v>
      </c>
      <c r="J397" t="str">
        <f t="shared" ca="1" si="58"/>
        <v>3 years 8 months 30 days</v>
      </c>
      <c r="K397" s="149">
        <f t="shared" si="59"/>
        <v>44674</v>
      </c>
      <c r="L397" s="149">
        <f t="shared" si="54"/>
        <v>44698</v>
      </c>
      <c r="M397" s="150">
        <f t="shared" si="60"/>
        <v>9</v>
      </c>
      <c r="N397" t="str">
        <f t="shared" si="61"/>
        <v>Weekday</v>
      </c>
      <c r="O397" s="149">
        <f t="shared" si="62"/>
        <v>45794</v>
      </c>
    </row>
    <row r="398" spans="2:15" ht="14.25" customHeight="1">
      <c r="B398" s="115" t="s">
        <v>269</v>
      </c>
      <c r="C398" s="115" t="s">
        <v>940</v>
      </c>
      <c r="D398" s="115" t="s">
        <v>87</v>
      </c>
      <c r="E398" s="137">
        <v>32136</v>
      </c>
      <c r="F398" s="42">
        <v>41274</v>
      </c>
      <c r="G398" t="str">
        <f t="shared" si="55"/>
        <v>Mon</v>
      </c>
      <c r="H398" t="str">
        <f t="shared" si="56"/>
        <v>Dec</v>
      </c>
      <c r="I398">
        <f t="shared" ca="1" si="57"/>
        <v>12</v>
      </c>
      <c r="J398" t="str">
        <f t="shared" ca="1" si="58"/>
        <v>12 years 10 months 21 days</v>
      </c>
      <c r="K398" s="149">
        <f t="shared" si="59"/>
        <v>41334</v>
      </c>
      <c r="L398" s="149">
        <f t="shared" si="54"/>
        <v>41359</v>
      </c>
      <c r="M398" s="150">
        <f t="shared" si="60"/>
        <v>54</v>
      </c>
      <c r="N398" t="str">
        <f t="shared" si="61"/>
        <v>Weekday</v>
      </c>
      <c r="O398" s="149">
        <f t="shared" si="62"/>
        <v>42455</v>
      </c>
    </row>
    <row r="399" spans="2:15" ht="14.25" customHeight="1">
      <c r="B399" s="115" t="s">
        <v>268</v>
      </c>
      <c r="C399" s="115" t="s">
        <v>941</v>
      </c>
      <c r="D399" s="115" t="s">
        <v>87</v>
      </c>
      <c r="E399" s="137">
        <v>32979</v>
      </c>
      <c r="F399" s="42">
        <v>41030</v>
      </c>
      <c r="G399" t="str">
        <f t="shared" si="55"/>
        <v>Tue</v>
      </c>
      <c r="H399" t="str">
        <f t="shared" si="56"/>
        <v>May</v>
      </c>
      <c r="I399">
        <f t="shared" ca="1" si="57"/>
        <v>13</v>
      </c>
      <c r="J399" t="str">
        <f t="shared" ca="1" si="58"/>
        <v>13 years 6 months 20 days</v>
      </c>
      <c r="K399" s="149">
        <f t="shared" si="59"/>
        <v>41090</v>
      </c>
      <c r="L399" s="149">
        <f t="shared" si="54"/>
        <v>41114</v>
      </c>
      <c r="M399" s="150">
        <f t="shared" si="60"/>
        <v>19</v>
      </c>
      <c r="N399" t="str">
        <f t="shared" si="61"/>
        <v>Weekday</v>
      </c>
      <c r="O399" s="149">
        <f t="shared" si="62"/>
        <v>42209</v>
      </c>
    </row>
    <row r="400" spans="2:15" ht="14.25" customHeight="1">
      <c r="B400" s="115" t="s">
        <v>271</v>
      </c>
      <c r="C400" s="115" t="s">
        <v>942</v>
      </c>
      <c r="D400" s="115" t="s">
        <v>87</v>
      </c>
      <c r="E400" s="137">
        <v>35501</v>
      </c>
      <c r="F400" s="42">
        <v>44761</v>
      </c>
      <c r="G400" t="str">
        <f t="shared" si="55"/>
        <v>Tue</v>
      </c>
      <c r="H400" t="str">
        <f t="shared" si="56"/>
        <v>Jul</v>
      </c>
      <c r="I400">
        <f t="shared" ca="1" si="57"/>
        <v>3</v>
      </c>
      <c r="J400" t="str">
        <f t="shared" ca="1" si="58"/>
        <v>3 years 4 months 2 days</v>
      </c>
      <c r="K400" s="149">
        <f t="shared" si="59"/>
        <v>44821</v>
      </c>
      <c r="L400" s="149">
        <f t="shared" si="54"/>
        <v>44845</v>
      </c>
      <c r="M400" s="150">
        <f t="shared" si="60"/>
        <v>30</v>
      </c>
      <c r="N400" t="str">
        <f t="shared" si="61"/>
        <v>Weekday</v>
      </c>
      <c r="O400" s="149">
        <f t="shared" si="62"/>
        <v>45941</v>
      </c>
    </row>
    <row r="401" spans="2:15" ht="14.25" customHeight="1">
      <c r="B401" s="115" t="s">
        <v>268</v>
      </c>
      <c r="C401" s="115" t="s">
        <v>943</v>
      </c>
      <c r="D401" s="115" t="s">
        <v>87</v>
      </c>
      <c r="E401" s="137">
        <v>25564</v>
      </c>
      <c r="F401" s="42">
        <v>42641</v>
      </c>
      <c r="G401" t="str">
        <f t="shared" si="55"/>
        <v>Wed</v>
      </c>
      <c r="H401" t="str">
        <f t="shared" si="56"/>
        <v>Sep</v>
      </c>
      <c r="I401">
        <f t="shared" ca="1" si="57"/>
        <v>9</v>
      </c>
      <c r="J401" t="str">
        <f t="shared" ca="1" si="58"/>
        <v>9 years 1 months 24 days</v>
      </c>
      <c r="K401" s="149">
        <f t="shared" si="59"/>
        <v>42701</v>
      </c>
      <c r="L401" s="149">
        <f t="shared" si="54"/>
        <v>42725</v>
      </c>
      <c r="M401" s="150">
        <f t="shared" si="60"/>
        <v>40</v>
      </c>
      <c r="N401" t="str">
        <f t="shared" si="61"/>
        <v>Weekday</v>
      </c>
      <c r="O401" s="149">
        <f t="shared" si="62"/>
        <v>43820</v>
      </c>
    </row>
    <row r="402" spans="2:15" ht="14.25" customHeight="1">
      <c r="B402" s="115" t="s">
        <v>268</v>
      </c>
      <c r="C402" s="115" t="s">
        <v>944</v>
      </c>
      <c r="D402" s="115" t="s">
        <v>87</v>
      </c>
      <c r="E402" s="137">
        <v>25475</v>
      </c>
      <c r="F402" s="42">
        <v>45041</v>
      </c>
      <c r="G402" t="str">
        <f t="shared" si="55"/>
        <v>Tue</v>
      </c>
      <c r="H402" t="str">
        <f t="shared" si="56"/>
        <v>Apr</v>
      </c>
      <c r="I402">
        <f t="shared" ca="1" si="57"/>
        <v>2</v>
      </c>
      <c r="J402" t="str">
        <f t="shared" ca="1" si="58"/>
        <v>2 years 6 months 27 days</v>
      </c>
      <c r="K402" s="149">
        <f t="shared" si="59"/>
        <v>45101</v>
      </c>
      <c r="L402" s="149">
        <f t="shared" si="54"/>
        <v>45125</v>
      </c>
      <c r="M402" s="150">
        <f t="shared" si="60"/>
        <v>18</v>
      </c>
      <c r="N402" t="str">
        <f t="shared" si="61"/>
        <v>Weekday</v>
      </c>
      <c r="O402" s="149">
        <f t="shared" si="62"/>
        <v>46221</v>
      </c>
    </row>
    <row r="403" spans="2:15" ht="14.25" customHeight="1">
      <c r="B403" s="115" t="s">
        <v>270</v>
      </c>
      <c r="C403" s="115" t="s">
        <v>945</v>
      </c>
      <c r="D403" s="115" t="s">
        <v>84</v>
      </c>
      <c r="E403" s="137">
        <v>16352</v>
      </c>
      <c r="F403" s="42">
        <v>44649</v>
      </c>
      <c r="G403" t="str">
        <f t="shared" si="55"/>
        <v>Tue</v>
      </c>
      <c r="H403" t="str">
        <f t="shared" si="56"/>
        <v>Mar</v>
      </c>
      <c r="I403">
        <f t="shared" ca="1" si="57"/>
        <v>3</v>
      </c>
      <c r="J403" t="str">
        <f t="shared" ca="1" si="58"/>
        <v>3 years 7 months 23 days</v>
      </c>
      <c r="K403" s="149">
        <f t="shared" si="59"/>
        <v>44709</v>
      </c>
      <c r="L403" s="149">
        <f t="shared" si="54"/>
        <v>44733</v>
      </c>
      <c r="M403" s="150">
        <f t="shared" si="60"/>
        <v>14</v>
      </c>
      <c r="N403" t="str">
        <f t="shared" si="61"/>
        <v>Weekday</v>
      </c>
      <c r="O403" s="149">
        <f t="shared" si="62"/>
        <v>45829</v>
      </c>
    </row>
    <row r="404" spans="2:15" ht="14.25" customHeight="1">
      <c r="B404" s="115" t="s">
        <v>270</v>
      </c>
      <c r="C404" s="115" t="s">
        <v>946</v>
      </c>
      <c r="D404" s="115" t="s">
        <v>87</v>
      </c>
      <c r="E404" s="137">
        <v>28817</v>
      </c>
      <c r="F404" s="42">
        <v>41190</v>
      </c>
      <c r="G404" t="str">
        <f t="shared" si="55"/>
        <v>Mon</v>
      </c>
      <c r="H404" t="str">
        <f t="shared" si="56"/>
        <v>Oct</v>
      </c>
      <c r="I404">
        <f t="shared" ca="1" si="57"/>
        <v>13</v>
      </c>
      <c r="J404" t="str">
        <f t="shared" ca="1" si="58"/>
        <v>13 years 1 months 13 days</v>
      </c>
      <c r="K404" s="149">
        <f t="shared" si="59"/>
        <v>41250</v>
      </c>
      <c r="L404" s="149">
        <f t="shared" si="54"/>
        <v>41274</v>
      </c>
      <c r="M404" s="150">
        <f t="shared" si="60"/>
        <v>42</v>
      </c>
      <c r="N404" t="str">
        <f t="shared" si="61"/>
        <v>Weekday</v>
      </c>
      <c r="O404" s="149">
        <f t="shared" si="62"/>
        <v>42369</v>
      </c>
    </row>
    <row r="405" spans="2:15" ht="14.25" customHeight="1">
      <c r="B405" s="115" t="s">
        <v>270</v>
      </c>
      <c r="C405" s="115" t="s">
        <v>947</v>
      </c>
      <c r="D405" s="115" t="s">
        <v>84</v>
      </c>
      <c r="E405" s="137">
        <v>20249</v>
      </c>
      <c r="F405" s="42">
        <v>43000</v>
      </c>
      <c r="G405" t="str">
        <f t="shared" si="55"/>
        <v>Fri</v>
      </c>
      <c r="H405" t="str">
        <f t="shared" si="56"/>
        <v>Sep</v>
      </c>
      <c r="I405">
        <f t="shared" ca="1" si="57"/>
        <v>8</v>
      </c>
      <c r="J405" t="str">
        <f t="shared" ca="1" si="58"/>
        <v>8 years 1 months 30 days</v>
      </c>
      <c r="K405" s="149">
        <f t="shared" si="59"/>
        <v>43060</v>
      </c>
      <c r="L405" s="149">
        <f t="shared" si="54"/>
        <v>43084</v>
      </c>
      <c r="M405" s="150">
        <f t="shared" si="60"/>
        <v>39</v>
      </c>
      <c r="N405" t="str">
        <f t="shared" si="61"/>
        <v>Weekday</v>
      </c>
      <c r="O405" s="149">
        <f t="shared" si="62"/>
        <v>44180</v>
      </c>
    </row>
    <row r="406" spans="2:15" ht="14.25" customHeight="1">
      <c r="B406" s="115" t="s">
        <v>269</v>
      </c>
      <c r="C406" s="115" t="s">
        <v>948</v>
      </c>
      <c r="D406" s="115" t="s">
        <v>87</v>
      </c>
      <c r="E406" s="137">
        <v>27011</v>
      </c>
      <c r="F406" s="42">
        <v>41207</v>
      </c>
      <c r="G406" t="str">
        <f t="shared" si="55"/>
        <v>Thu</v>
      </c>
      <c r="H406" t="str">
        <f t="shared" si="56"/>
        <v>Oct</v>
      </c>
      <c r="I406">
        <f t="shared" ca="1" si="57"/>
        <v>13</v>
      </c>
      <c r="J406" t="str">
        <f t="shared" ca="1" si="58"/>
        <v>13 years 0 months 27 days</v>
      </c>
      <c r="K406" s="149">
        <f t="shared" si="59"/>
        <v>41267</v>
      </c>
      <c r="L406" s="149">
        <f t="shared" si="54"/>
        <v>41292</v>
      </c>
      <c r="M406" s="150">
        <f t="shared" si="60"/>
        <v>44</v>
      </c>
      <c r="N406" t="str">
        <f t="shared" si="61"/>
        <v>Weekday</v>
      </c>
      <c r="O406" s="149">
        <f t="shared" si="62"/>
        <v>42387</v>
      </c>
    </row>
    <row r="407" spans="2:15" ht="14.25" customHeight="1">
      <c r="B407" s="115" t="s">
        <v>270</v>
      </c>
      <c r="C407" s="115" t="s">
        <v>949</v>
      </c>
      <c r="D407" s="115" t="s">
        <v>84</v>
      </c>
      <c r="E407" s="137">
        <v>22351</v>
      </c>
      <c r="F407" s="42">
        <v>43908</v>
      </c>
      <c r="G407" t="str">
        <f t="shared" si="55"/>
        <v>Wed</v>
      </c>
      <c r="H407" t="str">
        <f t="shared" si="56"/>
        <v>Mar</v>
      </c>
      <c r="I407">
        <f t="shared" ca="1" si="57"/>
        <v>5</v>
      </c>
      <c r="J407" t="str">
        <f t="shared" ca="1" si="58"/>
        <v>5 years 8 months 3 days</v>
      </c>
      <c r="K407" s="149">
        <f t="shared" si="59"/>
        <v>43968</v>
      </c>
      <c r="L407" s="149">
        <f t="shared" si="54"/>
        <v>43992</v>
      </c>
      <c r="M407" s="150">
        <f t="shared" si="60"/>
        <v>12</v>
      </c>
      <c r="N407" t="str">
        <f t="shared" si="61"/>
        <v>Weekday</v>
      </c>
      <c r="O407" s="149">
        <f t="shared" si="62"/>
        <v>45087</v>
      </c>
    </row>
    <row r="408" spans="2:15" ht="14.25" customHeight="1">
      <c r="B408" s="115" t="s">
        <v>268</v>
      </c>
      <c r="C408" s="115" t="s">
        <v>950</v>
      </c>
      <c r="D408" s="115" t="s">
        <v>87</v>
      </c>
      <c r="E408" s="137">
        <v>33371</v>
      </c>
      <c r="F408" s="42">
        <v>41416</v>
      </c>
      <c r="G408" t="str">
        <f t="shared" si="55"/>
        <v>Wed</v>
      </c>
      <c r="H408" t="str">
        <f t="shared" si="56"/>
        <v>May</v>
      </c>
      <c r="I408">
        <f t="shared" ca="1" si="57"/>
        <v>12</v>
      </c>
      <c r="J408" t="str">
        <f t="shared" ca="1" si="58"/>
        <v>12 years 5 months 30 days</v>
      </c>
      <c r="K408" s="149">
        <f t="shared" si="59"/>
        <v>41476</v>
      </c>
      <c r="L408" s="149">
        <f t="shared" si="54"/>
        <v>41500</v>
      </c>
      <c r="M408" s="150">
        <f t="shared" si="60"/>
        <v>21</v>
      </c>
      <c r="N408" t="str">
        <f t="shared" si="61"/>
        <v>Weekday</v>
      </c>
      <c r="O408" s="149">
        <f t="shared" si="62"/>
        <v>42596</v>
      </c>
    </row>
    <row r="409" spans="2:15" ht="14.25" customHeight="1">
      <c r="B409" s="115" t="s">
        <v>272</v>
      </c>
      <c r="C409" s="115" t="s">
        <v>951</v>
      </c>
      <c r="D409" s="115" t="s">
        <v>84</v>
      </c>
      <c r="E409" s="137">
        <v>32306</v>
      </c>
      <c r="F409" s="42">
        <v>43962</v>
      </c>
      <c r="G409" t="str">
        <f t="shared" si="55"/>
        <v>Mon</v>
      </c>
      <c r="H409" t="str">
        <f t="shared" si="56"/>
        <v>May</v>
      </c>
      <c r="I409">
        <f t="shared" ca="1" si="57"/>
        <v>5</v>
      </c>
      <c r="J409" t="str">
        <f t="shared" ca="1" si="58"/>
        <v>5 years 6 months 10 days</v>
      </c>
      <c r="K409" s="149">
        <f t="shared" si="59"/>
        <v>44022</v>
      </c>
      <c r="L409" s="149">
        <f t="shared" si="54"/>
        <v>44046</v>
      </c>
      <c r="M409" s="150">
        <f t="shared" si="60"/>
        <v>20</v>
      </c>
      <c r="N409" t="str">
        <f t="shared" si="61"/>
        <v>Weekday</v>
      </c>
      <c r="O409" s="149">
        <f t="shared" si="62"/>
        <v>45141</v>
      </c>
    </row>
    <row r="410" spans="2:15" ht="14.25" customHeight="1">
      <c r="B410" s="115" t="s">
        <v>269</v>
      </c>
      <c r="C410" s="115" t="s">
        <v>952</v>
      </c>
      <c r="D410" s="115" t="s">
        <v>87</v>
      </c>
      <c r="E410" s="137">
        <v>28297</v>
      </c>
      <c r="F410" s="42">
        <v>43576</v>
      </c>
      <c r="G410" t="str">
        <f t="shared" si="55"/>
        <v>Sun</v>
      </c>
      <c r="H410" t="str">
        <f t="shared" si="56"/>
        <v>Apr</v>
      </c>
      <c r="I410">
        <f t="shared" ca="1" si="57"/>
        <v>6</v>
      </c>
      <c r="J410" t="str">
        <f t="shared" ca="1" si="58"/>
        <v>6 years 7 months 0 days</v>
      </c>
      <c r="K410" s="149">
        <f t="shared" si="59"/>
        <v>43636</v>
      </c>
      <c r="L410" s="149">
        <f t="shared" si="54"/>
        <v>43658</v>
      </c>
      <c r="M410" s="150">
        <f t="shared" si="60"/>
        <v>16</v>
      </c>
      <c r="N410" t="str">
        <f t="shared" si="61"/>
        <v>Weekend</v>
      </c>
      <c r="O410" s="149">
        <f t="shared" si="62"/>
        <v>44754</v>
      </c>
    </row>
    <row r="411" spans="2:15" ht="14.25" customHeight="1">
      <c r="B411" s="115" t="s">
        <v>270</v>
      </c>
      <c r="C411" s="115" t="s">
        <v>953</v>
      </c>
      <c r="D411" s="115" t="s">
        <v>84</v>
      </c>
      <c r="E411" s="137">
        <v>30948</v>
      </c>
      <c r="F411" s="42">
        <v>41416</v>
      </c>
      <c r="G411" t="str">
        <f t="shared" si="55"/>
        <v>Wed</v>
      </c>
      <c r="H411" t="str">
        <f t="shared" si="56"/>
        <v>May</v>
      </c>
      <c r="I411">
        <f t="shared" ca="1" si="57"/>
        <v>12</v>
      </c>
      <c r="J411" t="str">
        <f t="shared" ca="1" si="58"/>
        <v>12 years 5 months 30 days</v>
      </c>
      <c r="K411" s="149">
        <f t="shared" si="59"/>
        <v>41476</v>
      </c>
      <c r="L411" s="149">
        <f t="shared" si="54"/>
        <v>41500</v>
      </c>
      <c r="M411" s="150">
        <f t="shared" si="60"/>
        <v>21</v>
      </c>
      <c r="N411" t="str">
        <f t="shared" si="61"/>
        <v>Weekday</v>
      </c>
      <c r="O411" s="149">
        <f t="shared" si="62"/>
        <v>42596</v>
      </c>
    </row>
    <row r="412" spans="2:15" ht="14.25" customHeight="1">
      <c r="B412" s="115" t="s">
        <v>272</v>
      </c>
      <c r="C412" s="115" t="s">
        <v>954</v>
      </c>
      <c r="D412" s="115" t="s">
        <v>87</v>
      </c>
      <c r="E412" s="137">
        <v>26848</v>
      </c>
      <c r="F412" s="42">
        <v>41438</v>
      </c>
      <c r="G412" t="str">
        <f t="shared" si="55"/>
        <v>Thu</v>
      </c>
      <c r="H412" t="str">
        <f t="shared" si="56"/>
        <v>Jun</v>
      </c>
      <c r="I412">
        <f t="shared" ca="1" si="57"/>
        <v>12</v>
      </c>
      <c r="J412" t="str">
        <f t="shared" ca="1" si="58"/>
        <v>12 years 5 months 8 days</v>
      </c>
      <c r="K412" s="149">
        <f t="shared" si="59"/>
        <v>41498</v>
      </c>
      <c r="L412" s="149">
        <f t="shared" si="54"/>
        <v>41522</v>
      </c>
      <c r="M412" s="150">
        <f t="shared" si="60"/>
        <v>24</v>
      </c>
      <c r="N412" t="str">
        <f t="shared" si="61"/>
        <v>Weekday</v>
      </c>
      <c r="O412" s="149">
        <f t="shared" si="62"/>
        <v>42618</v>
      </c>
    </row>
    <row r="413" spans="2:15" ht="14.25" customHeight="1">
      <c r="B413" s="115" t="s">
        <v>269</v>
      </c>
      <c r="C413" s="115" t="s">
        <v>955</v>
      </c>
      <c r="D413" s="115" t="s">
        <v>84</v>
      </c>
      <c r="E413" s="137">
        <v>34443</v>
      </c>
      <c r="F413" s="42">
        <v>42456</v>
      </c>
      <c r="G413" t="str">
        <f t="shared" si="55"/>
        <v>Sun</v>
      </c>
      <c r="H413" t="str">
        <f t="shared" si="56"/>
        <v>Mar</v>
      </c>
      <c r="I413">
        <f t="shared" ca="1" si="57"/>
        <v>9</v>
      </c>
      <c r="J413" t="str">
        <f t="shared" ca="1" si="58"/>
        <v>9 years 7 months 25 days</v>
      </c>
      <c r="K413" s="149">
        <f t="shared" si="59"/>
        <v>42516</v>
      </c>
      <c r="L413" s="149">
        <f t="shared" si="54"/>
        <v>42538</v>
      </c>
      <c r="M413" s="150">
        <f t="shared" si="60"/>
        <v>13</v>
      </c>
      <c r="N413" t="str">
        <f t="shared" si="61"/>
        <v>Weekend</v>
      </c>
      <c r="O413" s="149">
        <f t="shared" si="62"/>
        <v>43633</v>
      </c>
    </row>
    <row r="414" spans="2:15" ht="14.25" customHeight="1">
      <c r="B414" s="115" t="s">
        <v>272</v>
      </c>
      <c r="C414" s="115" t="s">
        <v>956</v>
      </c>
      <c r="D414" s="115" t="s">
        <v>87</v>
      </c>
      <c r="E414" s="137">
        <v>17136</v>
      </c>
      <c r="F414" s="42">
        <v>44430</v>
      </c>
      <c r="G414" t="str">
        <f t="shared" si="55"/>
        <v>Sun</v>
      </c>
      <c r="H414" t="str">
        <f t="shared" si="56"/>
        <v>Aug</v>
      </c>
      <c r="I414">
        <f t="shared" ca="1" si="57"/>
        <v>4</v>
      </c>
      <c r="J414" t="str">
        <f t="shared" ca="1" si="58"/>
        <v>4 years 2 months 30 days</v>
      </c>
      <c r="K414" s="149">
        <f t="shared" si="59"/>
        <v>44490</v>
      </c>
      <c r="L414" s="149">
        <f t="shared" si="54"/>
        <v>44512</v>
      </c>
      <c r="M414" s="150">
        <f t="shared" si="60"/>
        <v>34</v>
      </c>
      <c r="N414" t="str">
        <f t="shared" si="61"/>
        <v>Weekend</v>
      </c>
      <c r="O414" s="149">
        <f t="shared" si="62"/>
        <v>45608</v>
      </c>
    </row>
    <row r="415" spans="2:15" ht="14.25" customHeight="1">
      <c r="B415" s="115" t="s">
        <v>268</v>
      </c>
      <c r="C415" s="115" t="s">
        <v>957</v>
      </c>
      <c r="D415" s="115" t="s">
        <v>87</v>
      </c>
      <c r="E415" s="137">
        <v>23413</v>
      </c>
      <c r="F415" s="42">
        <v>44248</v>
      </c>
      <c r="G415" t="str">
        <f t="shared" si="55"/>
        <v>Sun</v>
      </c>
      <c r="H415" t="str">
        <f t="shared" si="56"/>
        <v>Feb</v>
      </c>
      <c r="I415">
        <f t="shared" ca="1" si="57"/>
        <v>4</v>
      </c>
      <c r="J415" t="str">
        <f t="shared" ca="1" si="58"/>
        <v>4 years 9 months 0 days</v>
      </c>
      <c r="K415" s="149">
        <f t="shared" si="59"/>
        <v>44308</v>
      </c>
      <c r="L415" s="149">
        <f t="shared" si="54"/>
        <v>44330</v>
      </c>
      <c r="M415" s="150">
        <f t="shared" si="60"/>
        <v>8</v>
      </c>
      <c r="N415" t="str">
        <f t="shared" si="61"/>
        <v>Weekend</v>
      </c>
      <c r="O415" s="149">
        <f t="shared" si="62"/>
        <v>45426</v>
      </c>
    </row>
    <row r="416" spans="2:15" ht="14.25" customHeight="1">
      <c r="B416" s="115" t="s">
        <v>268</v>
      </c>
      <c r="C416" s="115" t="s">
        <v>958</v>
      </c>
      <c r="D416" s="115" t="s">
        <v>84</v>
      </c>
      <c r="E416" s="137">
        <v>19393</v>
      </c>
      <c r="F416" s="42">
        <v>44273</v>
      </c>
      <c r="G416" t="str">
        <f t="shared" si="55"/>
        <v>Thu</v>
      </c>
      <c r="H416" t="str">
        <f t="shared" si="56"/>
        <v>Mar</v>
      </c>
      <c r="I416">
        <f t="shared" ca="1" si="57"/>
        <v>4</v>
      </c>
      <c r="J416" t="str">
        <f t="shared" ca="1" si="58"/>
        <v>4 years 8 months 3 days</v>
      </c>
      <c r="K416" s="149">
        <f t="shared" si="59"/>
        <v>44333</v>
      </c>
      <c r="L416" s="149">
        <f t="shared" si="54"/>
        <v>44357</v>
      </c>
      <c r="M416" s="150">
        <f t="shared" si="60"/>
        <v>12</v>
      </c>
      <c r="N416" t="str">
        <f t="shared" si="61"/>
        <v>Weekday</v>
      </c>
      <c r="O416" s="149">
        <f t="shared" si="62"/>
        <v>45453</v>
      </c>
    </row>
    <row r="417" spans="2:15" ht="14.25" customHeight="1">
      <c r="B417" s="115" t="s">
        <v>272</v>
      </c>
      <c r="C417" s="115" t="s">
        <v>959</v>
      </c>
      <c r="D417" s="115" t="s">
        <v>87</v>
      </c>
      <c r="E417" s="137">
        <v>15686</v>
      </c>
      <c r="F417" s="42">
        <v>45214</v>
      </c>
      <c r="G417" t="str">
        <f t="shared" si="55"/>
        <v>Sun</v>
      </c>
      <c r="H417" t="str">
        <f t="shared" si="56"/>
        <v>Oct</v>
      </c>
      <c r="I417">
        <f t="shared" ca="1" si="57"/>
        <v>2</v>
      </c>
      <c r="J417" t="str">
        <f t="shared" ca="1" si="58"/>
        <v>2 years 1 months 6 days</v>
      </c>
      <c r="K417" s="149">
        <f t="shared" si="59"/>
        <v>45274</v>
      </c>
      <c r="L417" s="149">
        <f t="shared" si="54"/>
        <v>45296</v>
      </c>
      <c r="M417" s="150">
        <f t="shared" si="60"/>
        <v>42</v>
      </c>
      <c r="N417" t="str">
        <f t="shared" si="61"/>
        <v>Weekend</v>
      </c>
      <c r="O417" s="149">
        <f t="shared" si="62"/>
        <v>46392</v>
      </c>
    </row>
    <row r="418" spans="2:15" ht="14.25" customHeight="1">
      <c r="B418" s="115" t="s">
        <v>272</v>
      </c>
      <c r="C418" s="115" t="s">
        <v>960</v>
      </c>
      <c r="D418" s="115" t="s">
        <v>87</v>
      </c>
      <c r="E418" s="137">
        <v>32707</v>
      </c>
      <c r="F418" s="42">
        <v>44231</v>
      </c>
      <c r="G418" t="str">
        <f t="shared" si="55"/>
        <v>Thu</v>
      </c>
      <c r="H418" t="str">
        <f t="shared" si="56"/>
        <v>Feb</v>
      </c>
      <c r="I418">
        <f t="shared" ca="1" si="57"/>
        <v>4</v>
      </c>
      <c r="J418" t="str">
        <f t="shared" ca="1" si="58"/>
        <v>4 years 9 months 17 days</v>
      </c>
      <c r="K418" s="149">
        <f t="shared" si="59"/>
        <v>44291</v>
      </c>
      <c r="L418" s="149">
        <f t="shared" si="54"/>
        <v>44315</v>
      </c>
      <c r="M418" s="150">
        <f t="shared" si="60"/>
        <v>6</v>
      </c>
      <c r="N418" t="str">
        <f t="shared" si="61"/>
        <v>Weekday</v>
      </c>
      <c r="O418" s="149">
        <f t="shared" si="62"/>
        <v>45411</v>
      </c>
    </row>
    <row r="419" spans="2:15" ht="14.25" customHeight="1">
      <c r="B419" s="115" t="s">
        <v>268</v>
      </c>
      <c r="C419" s="115" t="s">
        <v>961</v>
      </c>
      <c r="D419" s="115" t="s">
        <v>87</v>
      </c>
      <c r="E419" s="137">
        <v>29457</v>
      </c>
      <c r="F419" s="42">
        <v>43392</v>
      </c>
      <c r="G419" t="str">
        <f t="shared" si="55"/>
        <v>Fri</v>
      </c>
      <c r="H419" t="str">
        <f t="shared" si="56"/>
        <v>Oct</v>
      </c>
      <c r="I419">
        <f t="shared" ca="1" si="57"/>
        <v>7</v>
      </c>
      <c r="J419" t="str">
        <f t="shared" ca="1" si="58"/>
        <v>7 years 1 months 2 days</v>
      </c>
      <c r="K419" s="149">
        <f t="shared" si="59"/>
        <v>43452</v>
      </c>
      <c r="L419" s="149">
        <f t="shared" si="54"/>
        <v>43476</v>
      </c>
      <c r="M419" s="150">
        <f t="shared" si="60"/>
        <v>42</v>
      </c>
      <c r="N419" t="str">
        <f t="shared" si="61"/>
        <v>Weekday</v>
      </c>
      <c r="O419" s="149">
        <f t="shared" si="62"/>
        <v>44572</v>
      </c>
    </row>
    <row r="420" spans="2:15" ht="14.25" customHeight="1">
      <c r="B420" s="115" t="s">
        <v>268</v>
      </c>
      <c r="C420" s="115" t="s">
        <v>962</v>
      </c>
      <c r="D420" s="115" t="s">
        <v>87</v>
      </c>
      <c r="E420" s="137">
        <v>18958</v>
      </c>
      <c r="F420" s="42">
        <v>41918</v>
      </c>
      <c r="G420" t="str">
        <f t="shared" si="55"/>
        <v>Mon</v>
      </c>
      <c r="H420" t="str">
        <f t="shared" si="56"/>
        <v>Oct</v>
      </c>
      <c r="I420">
        <f t="shared" ca="1" si="57"/>
        <v>11</v>
      </c>
      <c r="J420" t="str">
        <f t="shared" ca="1" si="58"/>
        <v>11 years 1 months 15 days</v>
      </c>
      <c r="K420" s="149">
        <f t="shared" si="59"/>
        <v>41978</v>
      </c>
      <c r="L420" s="149">
        <f t="shared" si="54"/>
        <v>42002</v>
      </c>
      <c r="M420" s="150">
        <f t="shared" si="60"/>
        <v>41</v>
      </c>
      <c r="N420" t="str">
        <f t="shared" si="61"/>
        <v>Weekday</v>
      </c>
      <c r="O420" s="149">
        <f t="shared" si="62"/>
        <v>43098</v>
      </c>
    </row>
    <row r="421" spans="2:15" ht="14.25" customHeight="1">
      <c r="B421" s="115" t="s">
        <v>271</v>
      </c>
      <c r="C421" s="115" t="s">
        <v>963</v>
      </c>
      <c r="D421" s="115" t="s">
        <v>84</v>
      </c>
      <c r="E421" s="137">
        <v>33254</v>
      </c>
      <c r="F421" s="42">
        <v>44634</v>
      </c>
      <c r="G421" t="str">
        <f t="shared" si="55"/>
        <v>Mon</v>
      </c>
      <c r="H421" t="str">
        <f t="shared" si="56"/>
        <v>Mar</v>
      </c>
      <c r="I421">
        <f t="shared" ca="1" si="57"/>
        <v>3</v>
      </c>
      <c r="J421" t="str">
        <f t="shared" ca="1" si="58"/>
        <v>3 years 8 months 7 days</v>
      </c>
      <c r="K421" s="149">
        <f t="shared" si="59"/>
        <v>44694</v>
      </c>
      <c r="L421" s="149">
        <f t="shared" si="54"/>
        <v>44718</v>
      </c>
      <c r="M421" s="150">
        <f t="shared" si="60"/>
        <v>12</v>
      </c>
      <c r="N421" t="str">
        <f t="shared" si="61"/>
        <v>Weekday</v>
      </c>
      <c r="O421" s="149">
        <f t="shared" si="62"/>
        <v>45814</v>
      </c>
    </row>
    <row r="422" spans="2:15" ht="14.25" customHeight="1">
      <c r="B422" s="115" t="s">
        <v>270</v>
      </c>
      <c r="C422" s="115" t="s">
        <v>964</v>
      </c>
      <c r="D422" s="115" t="s">
        <v>84</v>
      </c>
      <c r="E422" s="137">
        <v>31013</v>
      </c>
      <c r="F422" s="42">
        <v>43872</v>
      </c>
      <c r="G422" t="str">
        <f t="shared" si="55"/>
        <v>Tue</v>
      </c>
      <c r="H422" t="str">
        <f t="shared" si="56"/>
        <v>Feb</v>
      </c>
      <c r="I422">
        <f t="shared" ca="1" si="57"/>
        <v>5</v>
      </c>
      <c r="J422" t="str">
        <f t="shared" ca="1" si="58"/>
        <v>5 years 9 months 10 days</v>
      </c>
      <c r="K422" s="149">
        <f t="shared" si="59"/>
        <v>43932</v>
      </c>
      <c r="L422" s="149">
        <f t="shared" si="54"/>
        <v>43956</v>
      </c>
      <c r="M422" s="150">
        <f t="shared" si="60"/>
        <v>7</v>
      </c>
      <c r="N422" t="str">
        <f t="shared" si="61"/>
        <v>Weekday</v>
      </c>
      <c r="O422" s="149">
        <f t="shared" si="62"/>
        <v>45051</v>
      </c>
    </row>
    <row r="423" spans="2:15" ht="14.25" customHeight="1">
      <c r="B423" s="115" t="s">
        <v>271</v>
      </c>
      <c r="C423" s="115" t="s">
        <v>965</v>
      </c>
      <c r="D423" s="115" t="s">
        <v>84</v>
      </c>
      <c r="E423" s="137">
        <v>24218</v>
      </c>
      <c r="F423" s="42">
        <v>42100</v>
      </c>
      <c r="G423" t="str">
        <f t="shared" si="55"/>
        <v>Mon</v>
      </c>
      <c r="H423" t="str">
        <f t="shared" si="56"/>
        <v>Apr</v>
      </c>
      <c r="I423">
        <f t="shared" ca="1" si="57"/>
        <v>10</v>
      </c>
      <c r="J423" t="str">
        <f t="shared" ca="1" si="58"/>
        <v>10 years 7 months 15 days</v>
      </c>
      <c r="K423" s="149">
        <f t="shared" si="59"/>
        <v>42160</v>
      </c>
      <c r="L423" s="149">
        <f t="shared" si="54"/>
        <v>42184</v>
      </c>
      <c r="M423" s="150">
        <f t="shared" si="60"/>
        <v>15</v>
      </c>
      <c r="N423" t="str">
        <f t="shared" si="61"/>
        <v>Weekday</v>
      </c>
      <c r="O423" s="149">
        <f t="shared" si="62"/>
        <v>43280</v>
      </c>
    </row>
    <row r="424" spans="2:15" ht="14.25" customHeight="1">
      <c r="B424" s="115" t="s">
        <v>269</v>
      </c>
      <c r="C424" s="115" t="s">
        <v>966</v>
      </c>
      <c r="D424" s="115" t="s">
        <v>87</v>
      </c>
      <c r="E424" s="137">
        <v>20556</v>
      </c>
      <c r="F424" s="42">
        <v>41601</v>
      </c>
      <c r="G424" t="str">
        <f t="shared" si="55"/>
        <v>Sat</v>
      </c>
      <c r="H424" t="str">
        <f t="shared" si="56"/>
        <v>Nov</v>
      </c>
      <c r="I424">
        <f t="shared" ca="1" si="57"/>
        <v>11</v>
      </c>
      <c r="J424" t="str">
        <f t="shared" ca="1" si="58"/>
        <v>11 years 11 months 29 days</v>
      </c>
      <c r="K424" s="149">
        <f t="shared" si="59"/>
        <v>41661</v>
      </c>
      <c r="L424" s="149">
        <f t="shared" si="54"/>
        <v>41684</v>
      </c>
      <c r="M424" s="150">
        <f t="shared" si="60"/>
        <v>47</v>
      </c>
      <c r="N424" t="str">
        <f t="shared" si="61"/>
        <v>Weekend</v>
      </c>
      <c r="O424" s="149">
        <f t="shared" si="62"/>
        <v>42780</v>
      </c>
    </row>
    <row r="425" spans="2:15" ht="14.25" customHeight="1">
      <c r="B425" s="115" t="s">
        <v>270</v>
      </c>
      <c r="C425" s="115" t="s">
        <v>967</v>
      </c>
      <c r="D425" s="115" t="s">
        <v>87</v>
      </c>
      <c r="E425" s="137">
        <v>34181</v>
      </c>
      <c r="F425" s="42">
        <v>41942</v>
      </c>
      <c r="G425" t="str">
        <f t="shared" si="55"/>
        <v>Thu</v>
      </c>
      <c r="H425" t="str">
        <f t="shared" si="56"/>
        <v>Oct</v>
      </c>
      <c r="I425">
        <f t="shared" ca="1" si="57"/>
        <v>11</v>
      </c>
      <c r="J425" t="str">
        <f t="shared" ca="1" si="58"/>
        <v>11 years 0 months 22 days</v>
      </c>
      <c r="K425" s="149">
        <f t="shared" si="59"/>
        <v>42002</v>
      </c>
      <c r="L425" s="149">
        <f t="shared" si="54"/>
        <v>42026</v>
      </c>
      <c r="M425" s="150">
        <f t="shared" si="60"/>
        <v>44</v>
      </c>
      <c r="N425" t="str">
        <f t="shared" si="61"/>
        <v>Weekday</v>
      </c>
      <c r="O425" s="149">
        <f t="shared" si="62"/>
        <v>43122</v>
      </c>
    </row>
    <row r="426" spans="2:15" ht="14.25" customHeight="1">
      <c r="B426" s="115" t="s">
        <v>270</v>
      </c>
      <c r="C426" s="115" t="s">
        <v>968</v>
      </c>
      <c r="D426" s="115" t="s">
        <v>87</v>
      </c>
      <c r="E426" s="137">
        <v>29248</v>
      </c>
      <c r="F426" s="42">
        <v>40578</v>
      </c>
      <c r="G426" t="str">
        <f t="shared" si="55"/>
        <v>Fri</v>
      </c>
      <c r="H426" t="str">
        <f t="shared" si="56"/>
        <v>Feb</v>
      </c>
      <c r="I426">
        <f t="shared" ca="1" si="57"/>
        <v>14</v>
      </c>
      <c r="J426" t="str">
        <f t="shared" ca="1" si="58"/>
        <v>14 years 9 months 17 days</v>
      </c>
      <c r="K426" s="149">
        <f t="shared" si="59"/>
        <v>40638</v>
      </c>
      <c r="L426" s="149">
        <f t="shared" si="54"/>
        <v>40662</v>
      </c>
      <c r="M426" s="150">
        <f t="shared" si="60"/>
        <v>6</v>
      </c>
      <c r="N426" t="str">
        <f t="shared" si="61"/>
        <v>Weekday</v>
      </c>
      <c r="O426" s="149">
        <f t="shared" si="62"/>
        <v>41758</v>
      </c>
    </row>
    <row r="427" spans="2:15" ht="14.25" customHeight="1">
      <c r="B427" s="115" t="s">
        <v>269</v>
      </c>
      <c r="C427" s="115" t="s">
        <v>969</v>
      </c>
      <c r="D427" s="115" t="s">
        <v>84</v>
      </c>
      <c r="E427" s="137">
        <v>23800</v>
      </c>
      <c r="F427" s="42">
        <v>43104</v>
      </c>
      <c r="G427" t="str">
        <f t="shared" si="55"/>
        <v>Thu</v>
      </c>
      <c r="H427" t="str">
        <f t="shared" si="56"/>
        <v>Jan</v>
      </c>
      <c r="I427">
        <f t="shared" ca="1" si="57"/>
        <v>7</v>
      </c>
      <c r="J427" t="str">
        <f t="shared" ca="1" si="58"/>
        <v>7 years 10 months 17 days</v>
      </c>
      <c r="K427" s="149">
        <f t="shared" si="59"/>
        <v>43164</v>
      </c>
      <c r="L427" s="149">
        <f t="shared" si="54"/>
        <v>43188</v>
      </c>
      <c r="M427" s="150">
        <f t="shared" si="60"/>
        <v>1</v>
      </c>
      <c r="N427" t="str">
        <f t="shared" si="61"/>
        <v>Weekday</v>
      </c>
      <c r="O427" s="149">
        <f t="shared" si="62"/>
        <v>44284</v>
      </c>
    </row>
    <row r="428" spans="2:15" ht="14.25" customHeight="1">
      <c r="B428" s="115" t="s">
        <v>268</v>
      </c>
      <c r="C428" s="115" t="s">
        <v>970</v>
      </c>
      <c r="D428" s="115" t="s">
        <v>84</v>
      </c>
      <c r="E428" s="137">
        <v>17371</v>
      </c>
      <c r="F428" s="42">
        <v>41354</v>
      </c>
      <c r="G428" t="str">
        <f t="shared" si="55"/>
        <v>Thu</v>
      </c>
      <c r="H428" t="str">
        <f t="shared" si="56"/>
        <v>Mar</v>
      </c>
      <c r="I428">
        <f t="shared" ca="1" si="57"/>
        <v>12</v>
      </c>
      <c r="J428" t="str">
        <f t="shared" ca="1" si="58"/>
        <v>12 years 8 months 0 days</v>
      </c>
      <c r="K428" s="149">
        <f t="shared" si="59"/>
        <v>41414</v>
      </c>
      <c r="L428" s="149">
        <f t="shared" si="54"/>
        <v>41438</v>
      </c>
      <c r="M428" s="150">
        <f t="shared" si="60"/>
        <v>12</v>
      </c>
      <c r="N428" t="str">
        <f t="shared" si="61"/>
        <v>Weekday</v>
      </c>
      <c r="O428" s="149">
        <f t="shared" si="62"/>
        <v>42534</v>
      </c>
    </row>
    <row r="429" spans="2:15" ht="14.25" customHeight="1">
      <c r="B429" s="115" t="s">
        <v>269</v>
      </c>
      <c r="C429" s="115" t="s">
        <v>971</v>
      </c>
      <c r="D429" s="115" t="s">
        <v>87</v>
      </c>
      <c r="E429" s="137">
        <v>20041</v>
      </c>
      <c r="F429" s="42">
        <v>42334</v>
      </c>
      <c r="G429" t="str">
        <f t="shared" si="55"/>
        <v>Thu</v>
      </c>
      <c r="H429" t="str">
        <f t="shared" si="56"/>
        <v>Nov</v>
      </c>
      <c r="I429">
        <f t="shared" ca="1" si="57"/>
        <v>9</v>
      </c>
      <c r="J429" t="str">
        <f t="shared" ca="1" si="58"/>
        <v>9 years 11 months 26 days</v>
      </c>
      <c r="K429" s="149">
        <f t="shared" si="59"/>
        <v>42394</v>
      </c>
      <c r="L429" s="149">
        <f t="shared" si="54"/>
        <v>42418</v>
      </c>
      <c r="M429" s="150">
        <f t="shared" si="60"/>
        <v>48</v>
      </c>
      <c r="N429" t="str">
        <f t="shared" si="61"/>
        <v>Weekday</v>
      </c>
      <c r="O429" s="149">
        <f t="shared" si="62"/>
        <v>43514</v>
      </c>
    </row>
    <row r="430" spans="2:15" ht="14.25" customHeight="1">
      <c r="B430" s="115" t="s">
        <v>271</v>
      </c>
      <c r="C430" s="115" t="s">
        <v>972</v>
      </c>
      <c r="D430" s="115" t="s">
        <v>84</v>
      </c>
      <c r="E430" s="137">
        <v>28491</v>
      </c>
      <c r="F430" s="42">
        <v>44800</v>
      </c>
      <c r="G430" t="str">
        <f t="shared" si="55"/>
        <v>Sat</v>
      </c>
      <c r="H430" t="str">
        <f t="shared" si="56"/>
        <v>Aug</v>
      </c>
      <c r="I430">
        <f t="shared" ca="1" si="57"/>
        <v>3</v>
      </c>
      <c r="J430" t="str">
        <f t="shared" ca="1" si="58"/>
        <v>3 years 2 months 25 days</v>
      </c>
      <c r="K430" s="149">
        <f t="shared" si="59"/>
        <v>44860</v>
      </c>
      <c r="L430" s="149">
        <f t="shared" si="54"/>
        <v>44883</v>
      </c>
      <c r="M430" s="150">
        <f t="shared" si="60"/>
        <v>35</v>
      </c>
      <c r="N430" t="str">
        <f t="shared" si="61"/>
        <v>Weekend</v>
      </c>
      <c r="O430" s="149">
        <f t="shared" si="62"/>
        <v>45979</v>
      </c>
    </row>
    <row r="431" spans="2:15" ht="14.25" customHeight="1">
      <c r="B431" s="115" t="s">
        <v>271</v>
      </c>
      <c r="C431" s="115" t="s">
        <v>973</v>
      </c>
      <c r="D431" s="115" t="s">
        <v>87</v>
      </c>
      <c r="E431" s="137">
        <v>35211</v>
      </c>
      <c r="F431" s="42">
        <v>44746</v>
      </c>
      <c r="G431" t="str">
        <f t="shared" si="55"/>
        <v>Mon</v>
      </c>
      <c r="H431" t="str">
        <f t="shared" si="56"/>
        <v>Jul</v>
      </c>
      <c r="I431">
        <f t="shared" ca="1" si="57"/>
        <v>3</v>
      </c>
      <c r="J431" t="str">
        <f t="shared" ca="1" si="58"/>
        <v>3 years 4 months 17 days</v>
      </c>
      <c r="K431" s="149">
        <f t="shared" si="59"/>
        <v>44806</v>
      </c>
      <c r="L431" s="149">
        <f t="shared" si="54"/>
        <v>44830</v>
      </c>
      <c r="M431" s="150">
        <f t="shared" si="60"/>
        <v>28</v>
      </c>
      <c r="N431" t="str">
        <f t="shared" si="61"/>
        <v>Weekday</v>
      </c>
      <c r="O431" s="149">
        <f t="shared" si="62"/>
        <v>45926</v>
      </c>
    </row>
    <row r="432" spans="2:15" ht="14.25" customHeight="1">
      <c r="B432" s="115" t="s">
        <v>270</v>
      </c>
      <c r="C432" s="115" t="s">
        <v>974</v>
      </c>
      <c r="D432" s="115" t="s">
        <v>87</v>
      </c>
      <c r="E432" s="137">
        <v>28646</v>
      </c>
      <c r="F432" s="42">
        <v>42114</v>
      </c>
      <c r="G432" t="str">
        <f t="shared" si="55"/>
        <v>Mon</v>
      </c>
      <c r="H432" t="str">
        <f t="shared" si="56"/>
        <v>Apr</v>
      </c>
      <c r="I432">
        <f t="shared" ca="1" si="57"/>
        <v>10</v>
      </c>
      <c r="J432" t="str">
        <f t="shared" ca="1" si="58"/>
        <v>10 years 7 months 1 days</v>
      </c>
      <c r="K432" s="149">
        <f t="shared" si="59"/>
        <v>42174</v>
      </c>
      <c r="L432" s="149">
        <f t="shared" si="54"/>
        <v>42198</v>
      </c>
      <c r="M432" s="150">
        <f t="shared" si="60"/>
        <v>17</v>
      </c>
      <c r="N432" t="str">
        <f t="shared" si="61"/>
        <v>Weekday</v>
      </c>
      <c r="O432" s="149">
        <f t="shared" si="62"/>
        <v>43294</v>
      </c>
    </row>
    <row r="433" spans="2:15" ht="14.25" customHeight="1">
      <c r="B433" s="115" t="s">
        <v>271</v>
      </c>
      <c r="C433" s="115" t="s">
        <v>975</v>
      </c>
      <c r="D433" s="115" t="s">
        <v>87</v>
      </c>
      <c r="E433" s="137">
        <v>15119</v>
      </c>
      <c r="F433" s="42">
        <v>43588</v>
      </c>
      <c r="G433" t="str">
        <f t="shared" si="55"/>
        <v>Fri</v>
      </c>
      <c r="H433" t="str">
        <f t="shared" si="56"/>
        <v>May</v>
      </c>
      <c r="I433">
        <f t="shared" ca="1" si="57"/>
        <v>6</v>
      </c>
      <c r="J433" t="str">
        <f t="shared" ca="1" si="58"/>
        <v>6 years 6 months 18 days</v>
      </c>
      <c r="K433" s="149">
        <f t="shared" si="59"/>
        <v>43648</v>
      </c>
      <c r="L433" s="149">
        <f t="shared" si="54"/>
        <v>43672</v>
      </c>
      <c r="M433" s="150">
        <f t="shared" si="60"/>
        <v>18</v>
      </c>
      <c r="N433" t="str">
        <f t="shared" si="61"/>
        <v>Weekday</v>
      </c>
      <c r="O433" s="149">
        <f t="shared" si="62"/>
        <v>44768</v>
      </c>
    </row>
    <row r="434" spans="2:15" ht="14.25" customHeight="1">
      <c r="B434" s="115" t="s">
        <v>269</v>
      </c>
      <c r="C434" s="115" t="s">
        <v>976</v>
      </c>
      <c r="D434" s="115" t="s">
        <v>87</v>
      </c>
      <c r="E434" s="137">
        <v>16606</v>
      </c>
      <c r="F434" s="42">
        <v>45118</v>
      </c>
      <c r="G434" t="str">
        <f t="shared" si="55"/>
        <v>Tue</v>
      </c>
      <c r="H434" t="str">
        <f t="shared" si="56"/>
        <v>Jul</v>
      </c>
      <c r="I434">
        <f t="shared" ca="1" si="57"/>
        <v>2</v>
      </c>
      <c r="J434" t="str">
        <f t="shared" ca="1" si="58"/>
        <v>2 years 4 months 10 days</v>
      </c>
      <c r="K434" s="149">
        <f t="shared" si="59"/>
        <v>45178</v>
      </c>
      <c r="L434" s="149">
        <f t="shared" si="54"/>
        <v>45202</v>
      </c>
      <c r="M434" s="150">
        <f t="shared" si="60"/>
        <v>29</v>
      </c>
      <c r="N434" t="str">
        <f t="shared" si="61"/>
        <v>Weekday</v>
      </c>
      <c r="O434" s="149">
        <f t="shared" si="62"/>
        <v>46298</v>
      </c>
    </row>
    <row r="435" spans="2:15" ht="14.25" customHeight="1">
      <c r="B435" s="115" t="s">
        <v>269</v>
      </c>
      <c r="C435" s="115" t="s">
        <v>977</v>
      </c>
      <c r="D435" s="115" t="s">
        <v>87</v>
      </c>
      <c r="E435" s="137">
        <v>33524</v>
      </c>
      <c r="F435" s="42">
        <v>43349</v>
      </c>
      <c r="G435" t="str">
        <f t="shared" si="55"/>
        <v>Thu</v>
      </c>
      <c r="H435" t="str">
        <f t="shared" si="56"/>
        <v>Sep</v>
      </c>
      <c r="I435">
        <f t="shared" ca="1" si="57"/>
        <v>7</v>
      </c>
      <c r="J435" t="str">
        <f t="shared" ca="1" si="58"/>
        <v>7 years 2 months 15 days</v>
      </c>
      <c r="K435" s="149">
        <f t="shared" si="59"/>
        <v>43409</v>
      </c>
      <c r="L435" s="149">
        <f t="shared" si="54"/>
        <v>43433</v>
      </c>
      <c r="M435" s="150">
        <f t="shared" si="60"/>
        <v>36</v>
      </c>
      <c r="N435" t="str">
        <f t="shared" si="61"/>
        <v>Weekday</v>
      </c>
      <c r="O435" s="149">
        <f t="shared" si="62"/>
        <v>44529</v>
      </c>
    </row>
    <row r="436" spans="2:15" ht="14.25" customHeight="1">
      <c r="B436" s="115" t="s">
        <v>269</v>
      </c>
      <c r="C436" s="115" t="s">
        <v>978</v>
      </c>
      <c r="D436" s="115" t="s">
        <v>84</v>
      </c>
      <c r="E436" s="137">
        <v>16916</v>
      </c>
      <c r="F436" s="42">
        <v>43706</v>
      </c>
      <c r="G436" t="str">
        <f t="shared" si="55"/>
        <v>Thu</v>
      </c>
      <c r="H436" t="str">
        <f t="shared" si="56"/>
        <v>Aug</v>
      </c>
      <c r="I436">
        <f t="shared" ca="1" si="57"/>
        <v>6</v>
      </c>
      <c r="J436" t="str">
        <f t="shared" ca="1" si="58"/>
        <v>6 years 2 months 23 days</v>
      </c>
      <c r="K436" s="149">
        <f t="shared" si="59"/>
        <v>43766</v>
      </c>
      <c r="L436" s="149">
        <f t="shared" si="54"/>
        <v>43790</v>
      </c>
      <c r="M436" s="150">
        <f t="shared" si="60"/>
        <v>35</v>
      </c>
      <c r="N436" t="str">
        <f t="shared" si="61"/>
        <v>Weekday</v>
      </c>
      <c r="O436" s="149">
        <f t="shared" si="62"/>
        <v>44886</v>
      </c>
    </row>
    <row r="437" spans="2:15" ht="14.25" customHeight="1">
      <c r="B437" s="115" t="s">
        <v>271</v>
      </c>
      <c r="C437" s="115" t="s">
        <v>979</v>
      </c>
      <c r="D437" s="115" t="s">
        <v>84</v>
      </c>
      <c r="E437" s="137">
        <v>22237</v>
      </c>
      <c r="F437" s="42">
        <v>44456</v>
      </c>
      <c r="G437" t="str">
        <f t="shared" si="55"/>
        <v>Fri</v>
      </c>
      <c r="H437" t="str">
        <f t="shared" si="56"/>
        <v>Sep</v>
      </c>
      <c r="I437">
        <f t="shared" ca="1" si="57"/>
        <v>4</v>
      </c>
      <c r="J437" t="str">
        <f t="shared" ca="1" si="58"/>
        <v>4 years 2 months 4 days</v>
      </c>
      <c r="K437" s="149">
        <f t="shared" si="59"/>
        <v>44516</v>
      </c>
      <c r="L437" s="149">
        <f t="shared" si="54"/>
        <v>44540</v>
      </c>
      <c r="M437" s="150">
        <f t="shared" si="60"/>
        <v>38</v>
      </c>
      <c r="N437" t="str">
        <f t="shared" si="61"/>
        <v>Weekday</v>
      </c>
      <c r="O437" s="149">
        <f t="shared" si="62"/>
        <v>45636</v>
      </c>
    </row>
    <row r="438" spans="2:15" ht="14.25" customHeight="1">
      <c r="B438" s="115" t="s">
        <v>271</v>
      </c>
      <c r="C438" s="115" t="s">
        <v>980</v>
      </c>
      <c r="D438" s="115" t="s">
        <v>84</v>
      </c>
      <c r="E438" s="137">
        <v>22412</v>
      </c>
      <c r="F438" s="42">
        <v>40559</v>
      </c>
      <c r="G438" t="str">
        <f t="shared" si="55"/>
        <v>Sun</v>
      </c>
      <c r="H438" t="str">
        <f t="shared" si="56"/>
        <v>Jan</v>
      </c>
      <c r="I438">
        <f t="shared" ca="1" si="57"/>
        <v>14</v>
      </c>
      <c r="J438" t="str">
        <f t="shared" ca="1" si="58"/>
        <v>14 years 10 months 5 days</v>
      </c>
      <c r="K438" s="149">
        <f t="shared" si="59"/>
        <v>40619</v>
      </c>
      <c r="L438" s="149">
        <f t="shared" si="54"/>
        <v>40641</v>
      </c>
      <c r="M438" s="150">
        <f t="shared" si="60"/>
        <v>3</v>
      </c>
      <c r="N438" t="str">
        <f t="shared" si="61"/>
        <v>Weekend</v>
      </c>
      <c r="O438" s="149">
        <f t="shared" si="62"/>
        <v>41737</v>
      </c>
    </row>
    <row r="439" spans="2:15" ht="14.25" customHeight="1">
      <c r="B439" s="115" t="s">
        <v>268</v>
      </c>
      <c r="C439" s="115" t="s">
        <v>981</v>
      </c>
      <c r="D439" s="115" t="s">
        <v>87</v>
      </c>
      <c r="E439" s="137">
        <v>35529</v>
      </c>
      <c r="F439" s="42">
        <v>45277</v>
      </c>
      <c r="G439" t="str">
        <f t="shared" si="55"/>
        <v>Sun</v>
      </c>
      <c r="H439" t="str">
        <f t="shared" si="56"/>
        <v>Dec</v>
      </c>
      <c r="I439">
        <f t="shared" ca="1" si="57"/>
        <v>1</v>
      </c>
      <c r="J439" t="str">
        <f t="shared" ca="1" si="58"/>
        <v>1 years 11 months 4 days</v>
      </c>
      <c r="K439" s="149">
        <f t="shared" si="59"/>
        <v>45337</v>
      </c>
      <c r="L439" s="149">
        <f t="shared" si="54"/>
        <v>45359</v>
      </c>
      <c r="M439" s="150">
        <f t="shared" si="60"/>
        <v>51</v>
      </c>
      <c r="N439" t="str">
        <f t="shared" si="61"/>
        <v>Weekend</v>
      </c>
      <c r="O439" s="149">
        <f t="shared" si="62"/>
        <v>46454</v>
      </c>
    </row>
    <row r="440" spans="2:15" ht="14.25" customHeight="1">
      <c r="B440" s="115" t="s">
        <v>270</v>
      </c>
      <c r="C440" s="115" t="s">
        <v>982</v>
      </c>
      <c r="D440" s="115" t="s">
        <v>84</v>
      </c>
      <c r="E440" s="137">
        <v>28475</v>
      </c>
      <c r="F440" s="42">
        <v>40633</v>
      </c>
      <c r="G440" t="str">
        <f t="shared" si="55"/>
        <v>Thu</v>
      </c>
      <c r="H440" t="str">
        <f t="shared" si="56"/>
        <v>Mar</v>
      </c>
      <c r="I440">
        <f t="shared" ca="1" si="57"/>
        <v>14</v>
      </c>
      <c r="J440" t="str">
        <f t="shared" ca="1" si="58"/>
        <v>14 years 7 months 21 days</v>
      </c>
      <c r="K440" s="149">
        <f t="shared" si="59"/>
        <v>40693</v>
      </c>
      <c r="L440" s="149">
        <f t="shared" si="54"/>
        <v>40717</v>
      </c>
      <c r="M440" s="150">
        <f t="shared" si="60"/>
        <v>14</v>
      </c>
      <c r="N440" t="str">
        <f t="shared" si="61"/>
        <v>Weekday</v>
      </c>
      <c r="O440" s="149">
        <f t="shared" si="62"/>
        <v>41813</v>
      </c>
    </row>
    <row r="441" spans="2:15" ht="14.25" customHeight="1">
      <c r="B441" s="115" t="s">
        <v>269</v>
      </c>
      <c r="C441" s="115" t="s">
        <v>983</v>
      </c>
      <c r="D441" s="115" t="s">
        <v>84</v>
      </c>
      <c r="E441" s="137">
        <v>28227</v>
      </c>
      <c r="F441" s="42">
        <v>43978</v>
      </c>
      <c r="G441" t="str">
        <f t="shared" si="55"/>
        <v>Wed</v>
      </c>
      <c r="H441" t="str">
        <f t="shared" si="56"/>
        <v>May</v>
      </c>
      <c r="I441">
        <f t="shared" ca="1" si="57"/>
        <v>5</v>
      </c>
      <c r="J441" t="str">
        <f t="shared" ca="1" si="58"/>
        <v>5 years 5 months 25 days</v>
      </c>
      <c r="K441" s="149">
        <f t="shared" si="59"/>
        <v>44038</v>
      </c>
      <c r="L441" s="149">
        <f t="shared" si="54"/>
        <v>44062</v>
      </c>
      <c r="M441" s="150">
        <f t="shared" si="60"/>
        <v>22</v>
      </c>
      <c r="N441" t="str">
        <f t="shared" si="61"/>
        <v>Weekday</v>
      </c>
      <c r="O441" s="149">
        <f t="shared" si="62"/>
        <v>45157</v>
      </c>
    </row>
    <row r="442" spans="2:15" ht="14.25" customHeight="1">
      <c r="B442" s="115" t="s">
        <v>268</v>
      </c>
      <c r="C442" s="115" t="s">
        <v>984</v>
      </c>
      <c r="D442" s="115" t="s">
        <v>87</v>
      </c>
      <c r="E442" s="137">
        <v>17205</v>
      </c>
      <c r="F442" s="42">
        <v>43122</v>
      </c>
      <c r="G442" t="str">
        <f t="shared" si="55"/>
        <v>Mon</v>
      </c>
      <c r="H442" t="str">
        <f t="shared" si="56"/>
        <v>Jan</v>
      </c>
      <c r="I442">
        <f t="shared" ca="1" si="57"/>
        <v>7</v>
      </c>
      <c r="J442" t="str">
        <f t="shared" ca="1" si="58"/>
        <v>7 years 9 months 30 days</v>
      </c>
      <c r="K442" s="149">
        <f t="shared" si="59"/>
        <v>43182</v>
      </c>
      <c r="L442" s="149">
        <f t="shared" si="54"/>
        <v>43206</v>
      </c>
      <c r="M442" s="150">
        <f t="shared" si="60"/>
        <v>4</v>
      </c>
      <c r="N442" t="str">
        <f t="shared" si="61"/>
        <v>Weekday</v>
      </c>
      <c r="O442" s="149">
        <f t="shared" si="62"/>
        <v>44302</v>
      </c>
    </row>
    <row r="443" spans="2:15" ht="14.25" customHeight="1">
      <c r="B443" s="115" t="s">
        <v>270</v>
      </c>
      <c r="C443" s="115" t="s">
        <v>985</v>
      </c>
      <c r="D443" s="115" t="s">
        <v>84</v>
      </c>
      <c r="E443" s="137">
        <v>17635</v>
      </c>
      <c r="F443" s="42">
        <v>41897</v>
      </c>
      <c r="G443" t="str">
        <f t="shared" si="55"/>
        <v>Mon</v>
      </c>
      <c r="H443" t="str">
        <f t="shared" si="56"/>
        <v>Sep</v>
      </c>
      <c r="I443">
        <f t="shared" ca="1" si="57"/>
        <v>11</v>
      </c>
      <c r="J443" t="str">
        <f t="shared" ca="1" si="58"/>
        <v>11 years 2 months 6 days</v>
      </c>
      <c r="K443" s="149">
        <f t="shared" si="59"/>
        <v>41957</v>
      </c>
      <c r="L443" s="149">
        <f t="shared" si="54"/>
        <v>41981</v>
      </c>
      <c r="M443" s="150">
        <f t="shared" si="60"/>
        <v>38</v>
      </c>
      <c r="N443" t="str">
        <f t="shared" si="61"/>
        <v>Weekday</v>
      </c>
      <c r="O443" s="149">
        <f t="shared" si="62"/>
        <v>43077</v>
      </c>
    </row>
    <row r="444" spans="2:15" ht="14.25" customHeight="1">
      <c r="B444" s="115" t="s">
        <v>269</v>
      </c>
      <c r="C444" s="115" t="s">
        <v>986</v>
      </c>
      <c r="D444" s="115" t="s">
        <v>87</v>
      </c>
      <c r="E444" s="137">
        <v>27057</v>
      </c>
      <c r="F444" s="42">
        <v>42759</v>
      </c>
      <c r="G444" t="str">
        <f t="shared" si="55"/>
        <v>Tue</v>
      </c>
      <c r="H444" t="str">
        <f t="shared" si="56"/>
        <v>Jan</v>
      </c>
      <c r="I444">
        <f t="shared" ca="1" si="57"/>
        <v>8</v>
      </c>
      <c r="J444" t="str">
        <f t="shared" ca="1" si="58"/>
        <v>8 years 9 months 28 days</v>
      </c>
      <c r="K444" s="149">
        <f t="shared" si="59"/>
        <v>42819</v>
      </c>
      <c r="L444" s="149">
        <f t="shared" si="54"/>
        <v>42843</v>
      </c>
      <c r="M444" s="150">
        <f t="shared" si="60"/>
        <v>5</v>
      </c>
      <c r="N444" t="str">
        <f t="shared" si="61"/>
        <v>Weekday</v>
      </c>
      <c r="O444" s="149">
        <f t="shared" si="62"/>
        <v>43939</v>
      </c>
    </row>
    <row r="445" spans="2:15" ht="14.25" customHeight="1">
      <c r="B445" s="115" t="s">
        <v>269</v>
      </c>
      <c r="C445" s="115" t="s">
        <v>987</v>
      </c>
      <c r="D445" s="115" t="s">
        <v>87</v>
      </c>
      <c r="E445" s="137">
        <v>32257</v>
      </c>
      <c r="F445" s="42">
        <v>43327</v>
      </c>
      <c r="G445" t="str">
        <f t="shared" si="55"/>
        <v>Wed</v>
      </c>
      <c r="H445" t="str">
        <f t="shared" si="56"/>
        <v>Aug</v>
      </c>
      <c r="I445">
        <f t="shared" ca="1" si="57"/>
        <v>7</v>
      </c>
      <c r="J445" t="str">
        <f t="shared" ca="1" si="58"/>
        <v>7 years 3 months 6 days</v>
      </c>
      <c r="K445" s="149">
        <f t="shared" si="59"/>
        <v>43387</v>
      </c>
      <c r="L445" s="149">
        <f t="shared" si="54"/>
        <v>43411</v>
      </c>
      <c r="M445" s="150">
        <f t="shared" si="60"/>
        <v>33</v>
      </c>
      <c r="N445" t="str">
        <f t="shared" si="61"/>
        <v>Weekday</v>
      </c>
      <c r="O445" s="149">
        <f t="shared" si="62"/>
        <v>44507</v>
      </c>
    </row>
    <row r="446" spans="2:15" ht="14.25" customHeight="1">
      <c r="B446" s="115" t="s">
        <v>268</v>
      </c>
      <c r="C446" s="115" t="s">
        <v>988</v>
      </c>
      <c r="D446" s="115" t="s">
        <v>87</v>
      </c>
      <c r="E446" s="137">
        <v>24820</v>
      </c>
      <c r="F446" s="42">
        <v>44331</v>
      </c>
      <c r="G446" t="str">
        <f t="shared" si="55"/>
        <v>Sat</v>
      </c>
      <c r="H446" t="str">
        <f t="shared" si="56"/>
        <v>May</v>
      </c>
      <c r="I446">
        <f t="shared" ca="1" si="57"/>
        <v>4</v>
      </c>
      <c r="J446" t="str">
        <f t="shared" ca="1" si="58"/>
        <v>4 years 6 months 6 days</v>
      </c>
      <c r="K446" s="149">
        <f t="shared" si="59"/>
        <v>44391</v>
      </c>
      <c r="L446" s="149">
        <f t="shared" si="54"/>
        <v>44414</v>
      </c>
      <c r="M446" s="150">
        <f t="shared" si="60"/>
        <v>20</v>
      </c>
      <c r="N446" t="str">
        <f t="shared" si="61"/>
        <v>Weekend</v>
      </c>
      <c r="O446" s="149">
        <f t="shared" si="62"/>
        <v>45510</v>
      </c>
    </row>
    <row r="447" spans="2:15" ht="14.25" customHeight="1">
      <c r="B447" s="115" t="s">
        <v>268</v>
      </c>
      <c r="C447" s="115" t="s">
        <v>989</v>
      </c>
      <c r="D447" s="115" t="s">
        <v>84</v>
      </c>
      <c r="E447" s="137">
        <v>27958</v>
      </c>
      <c r="F447" s="42">
        <v>43670</v>
      </c>
      <c r="G447" t="str">
        <f t="shared" si="55"/>
        <v>Wed</v>
      </c>
      <c r="H447" t="str">
        <f t="shared" si="56"/>
        <v>Jul</v>
      </c>
      <c r="I447">
        <f t="shared" ca="1" si="57"/>
        <v>6</v>
      </c>
      <c r="J447" t="str">
        <f t="shared" ca="1" si="58"/>
        <v>6 years 3 months 28 days</v>
      </c>
      <c r="K447" s="149">
        <f t="shared" si="59"/>
        <v>43730</v>
      </c>
      <c r="L447" s="149">
        <f t="shared" si="54"/>
        <v>43754</v>
      </c>
      <c r="M447" s="150">
        <f t="shared" si="60"/>
        <v>30</v>
      </c>
      <c r="N447" t="str">
        <f t="shared" si="61"/>
        <v>Weekday</v>
      </c>
      <c r="O447" s="149">
        <f t="shared" si="62"/>
        <v>44850</v>
      </c>
    </row>
    <row r="448" spans="2:15" ht="14.25" customHeight="1">
      <c r="B448" s="115" t="s">
        <v>269</v>
      </c>
      <c r="C448" s="115" t="s">
        <v>990</v>
      </c>
      <c r="D448" s="115" t="s">
        <v>84</v>
      </c>
      <c r="E448" s="137">
        <v>16588</v>
      </c>
      <c r="F448" s="42">
        <v>41477</v>
      </c>
      <c r="G448" t="str">
        <f t="shared" si="55"/>
        <v>Mon</v>
      </c>
      <c r="H448" t="str">
        <f t="shared" si="56"/>
        <v>Jul</v>
      </c>
      <c r="I448">
        <f t="shared" ca="1" si="57"/>
        <v>12</v>
      </c>
      <c r="J448" t="str">
        <f t="shared" ca="1" si="58"/>
        <v>12 years 3 months 30 days</v>
      </c>
      <c r="K448" s="149">
        <f t="shared" si="59"/>
        <v>41537</v>
      </c>
      <c r="L448" s="149">
        <f t="shared" si="54"/>
        <v>41561</v>
      </c>
      <c r="M448" s="150">
        <f t="shared" si="60"/>
        <v>30</v>
      </c>
      <c r="N448" t="str">
        <f t="shared" si="61"/>
        <v>Weekday</v>
      </c>
      <c r="O448" s="149">
        <f t="shared" si="62"/>
        <v>42657</v>
      </c>
    </row>
    <row r="449" spans="2:15" ht="14.25" customHeight="1">
      <c r="B449" s="115" t="s">
        <v>269</v>
      </c>
      <c r="C449" s="115" t="s">
        <v>991</v>
      </c>
      <c r="D449" s="115" t="s">
        <v>84</v>
      </c>
      <c r="E449" s="137">
        <v>32082</v>
      </c>
      <c r="F449" s="42">
        <v>42675</v>
      </c>
      <c r="G449" t="str">
        <f t="shared" si="55"/>
        <v>Tue</v>
      </c>
      <c r="H449" t="str">
        <f t="shared" si="56"/>
        <v>Nov</v>
      </c>
      <c r="I449">
        <f t="shared" ca="1" si="57"/>
        <v>9</v>
      </c>
      <c r="J449" t="str">
        <f t="shared" ca="1" si="58"/>
        <v>9 years 0 months 20 days</v>
      </c>
      <c r="K449" s="149">
        <f t="shared" si="59"/>
        <v>42735</v>
      </c>
      <c r="L449" s="149">
        <f t="shared" si="54"/>
        <v>42759</v>
      </c>
      <c r="M449" s="150">
        <f t="shared" si="60"/>
        <v>45</v>
      </c>
      <c r="N449" t="str">
        <f t="shared" si="61"/>
        <v>Weekday</v>
      </c>
      <c r="O449" s="149">
        <f t="shared" si="62"/>
        <v>43854</v>
      </c>
    </row>
    <row r="450" spans="2:15" ht="14.25" customHeight="1">
      <c r="B450" s="115" t="s">
        <v>270</v>
      </c>
      <c r="C450" s="115" t="s">
        <v>992</v>
      </c>
      <c r="D450" s="115" t="s">
        <v>87</v>
      </c>
      <c r="E450" s="137">
        <v>22503</v>
      </c>
      <c r="F450" s="42">
        <v>42162</v>
      </c>
      <c r="G450" t="str">
        <f t="shared" si="55"/>
        <v>Sun</v>
      </c>
      <c r="H450" t="str">
        <f t="shared" si="56"/>
        <v>Jun</v>
      </c>
      <c r="I450">
        <f t="shared" ca="1" si="57"/>
        <v>10</v>
      </c>
      <c r="J450" t="str">
        <f t="shared" ca="1" si="58"/>
        <v>10 years 5 months 14 days</v>
      </c>
      <c r="K450" s="149">
        <f t="shared" si="59"/>
        <v>42222</v>
      </c>
      <c r="L450" s="149">
        <f t="shared" si="54"/>
        <v>42244</v>
      </c>
      <c r="M450" s="150">
        <f t="shared" si="60"/>
        <v>23</v>
      </c>
      <c r="N450" t="str">
        <f t="shared" si="61"/>
        <v>Weekend</v>
      </c>
      <c r="O450" s="149">
        <f t="shared" si="62"/>
        <v>43340</v>
      </c>
    </row>
    <row r="451" spans="2:15" ht="14.25" customHeight="1">
      <c r="B451" s="115" t="s">
        <v>268</v>
      </c>
      <c r="C451" s="115" t="s">
        <v>993</v>
      </c>
      <c r="D451" s="115" t="s">
        <v>87</v>
      </c>
      <c r="E451" s="137">
        <v>28431</v>
      </c>
      <c r="F451" s="42">
        <v>42635</v>
      </c>
      <c r="G451" t="str">
        <f t="shared" si="55"/>
        <v>Thu</v>
      </c>
      <c r="H451" t="str">
        <f t="shared" si="56"/>
        <v>Sep</v>
      </c>
      <c r="I451">
        <f t="shared" ca="1" si="57"/>
        <v>9</v>
      </c>
      <c r="J451" t="str">
        <f t="shared" ca="1" si="58"/>
        <v>9 years 1 months 30 days</v>
      </c>
      <c r="K451" s="149">
        <f t="shared" si="59"/>
        <v>42695</v>
      </c>
      <c r="L451" s="149">
        <f t="shared" si="54"/>
        <v>42719</v>
      </c>
      <c r="M451" s="150">
        <f t="shared" si="60"/>
        <v>39</v>
      </c>
      <c r="N451" t="str">
        <f t="shared" si="61"/>
        <v>Weekday</v>
      </c>
      <c r="O451" s="149">
        <f t="shared" si="62"/>
        <v>43814</v>
      </c>
    </row>
    <row r="452" spans="2:15" ht="14.25" customHeight="1">
      <c r="B452" s="115" t="s">
        <v>270</v>
      </c>
      <c r="C452" s="115" t="s">
        <v>994</v>
      </c>
      <c r="D452" s="115" t="s">
        <v>87</v>
      </c>
      <c r="E452" s="137">
        <v>25301</v>
      </c>
      <c r="F452" s="42">
        <v>41944</v>
      </c>
      <c r="G452" t="str">
        <f t="shared" si="55"/>
        <v>Sat</v>
      </c>
      <c r="H452" t="str">
        <f t="shared" si="56"/>
        <v>Nov</v>
      </c>
      <c r="I452">
        <f t="shared" ca="1" si="57"/>
        <v>11</v>
      </c>
      <c r="J452" t="str">
        <f t="shared" ca="1" si="58"/>
        <v>11 years 0 months 20 days</v>
      </c>
      <c r="K452" s="149">
        <f t="shared" si="59"/>
        <v>42004</v>
      </c>
      <c r="L452" s="149">
        <f t="shared" si="54"/>
        <v>42027</v>
      </c>
      <c r="M452" s="150">
        <f t="shared" si="60"/>
        <v>44</v>
      </c>
      <c r="N452" t="str">
        <f t="shared" si="61"/>
        <v>Weekend</v>
      </c>
      <c r="O452" s="149">
        <f t="shared" si="62"/>
        <v>43123</v>
      </c>
    </row>
    <row r="453" spans="2:15" ht="14.25" customHeight="1">
      <c r="B453" s="115" t="s">
        <v>269</v>
      </c>
      <c r="C453" s="115" t="s">
        <v>995</v>
      </c>
      <c r="D453" s="115" t="s">
        <v>87</v>
      </c>
      <c r="E453" s="137">
        <v>23731</v>
      </c>
      <c r="F453" s="42">
        <v>44880</v>
      </c>
      <c r="G453" t="str">
        <f t="shared" si="55"/>
        <v>Tue</v>
      </c>
      <c r="H453" t="str">
        <f t="shared" si="56"/>
        <v>Nov</v>
      </c>
      <c r="I453">
        <f t="shared" ca="1" si="57"/>
        <v>3</v>
      </c>
      <c r="J453" t="str">
        <f t="shared" ca="1" si="58"/>
        <v>3 years 0 months 6 days</v>
      </c>
      <c r="K453" s="149">
        <f t="shared" si="59"/>
        <v>44940</v>
      </c>
      <c r="L453" s="149">
        <f t="shared" si="54"/>
        <v>44964</v>
      </c>
      <c r="M453" s="150">
        <f t="shared" si="60"/>
        <v>47</v>
      </c>
      <c r="N453" t="str">
        <f t="shared" si="61"/>
        <v>Weekday</v>
      </c>
      <c r="O453" s="149">
        <f t="shared" si="62"/>
        <v>46060</v>
      </c>
    </row>
    <row r="454" spans="2:15" ht="14.25" customHeight="1">
      <c r="B454" s="115" t="s">
        <v>268</v>
      </c>
      <c r="C454" s="115" t="s">
        <v>996</v>
      </c>
      <c r="D454" s="115" t="s">
        <v>84</v>
      </c>
      <c r="E454" s="137">
        <v>21771</v>
      </c>
      <c r="F454" s="42">
        <v>41432</v>
      </c>
      <c r="G454" t="str">
        <f t="shared" si="55"/>
        <v>Fri</v>
      </c>
      <c r="H454" t="str">
        <f t="shared" si="56"/>
        <v>Jun</v>
      </c>
      <c r="I454">
        <f t="shared" ca="1" si="57"/>
        <v>12</v>
      </c>
      <c r="J454" t="str">
        <f t="shared" ca="1" si="58"/>
        <v>12 years 5 months 14 days</v>
      </c>
      <c r="K454" s="149">
        <f t="shared" si="59"/>
        <v>41492</v>
      </c>
      <c r="L454" s="149">
        <f t="shared" ref="L454:L517" si="63">WORKDAY(F454,60,$R$6:$R$7)</f>
        <v>41516</v>
      </c>
      <c r="M454" s="150">
        <f t="shared" si="60"/>
        <v>23</v>
      </c>
      <c r="N454" t="str">
        <f t="shared" si="61"/>
        <v>Weekday</v>
      </c>
      <c r="O454" s="149">
        <f t="shared" si="62"/>
        <v>42612</v>
      </c>
    </row>
    <row r="455" spans="2:15" ht="14.25" customHeight="1">
      <c r="B455" s="115" t="s">
        <v>272</v>
      </c>
      <c r="C455" s="115" t="s">
        <v>997</v>
      </c>
      <c r="D455" s="115" t="s">
        <v>87</v>
      </c>
      <c r="E455" s="137">
        <v>32544</v>
      </c>
      <c r="F455" s="42">
        <v>42776</v>
      </c>
      <c r="G455" t="str">
        <f t="shared" ref="G455:G518" si="64">TEXT(F455,"DDD")</f>
        <v>Fri</v>
      </c>
      <c r="H455" t="str">
        <f t="shared" ref="H455:H518" si="65">TEXT(F455,"MMM")</f>
        <v>Feb</v>
      </c>
      <c r="I455">
        <f t="shared" ref="I455:I518" ca="1" si="66">DATEDIF(F455,TODAY(),"Y")</f>
        <v>8</v>
      </c>
      <c r="J455" t="str">
        <f t="shared" ref="J455:J518" ca="1" si="67">DATEDIF(F455,TODAY(),"Y")&amp;" years "&amp;DATEDIF(F455,TODAY(),"YM")&amp;" months "&amp;DATEDIF(F455,TODAY(),"MD")&amp;" days"</f>
        <v>8 years 9 months 11 days</v>
      </c>
      <c r="K455" s="149">
        <f t="shared" ref="K455:K518" si="68">F455+60</f>
        <v>42836</v>
      </c>
      <c r="L455" s="149">
        <f t="shared" si="63"/>
        <v>42860</v>
      </c>
      <c r="M455" s="150">
        <f t="shared" ref="M455:M518" si="69">WEEKNUM(F455,2)</f>
        <v>7</v>
      </c>
      <c r="N455" t="str">
        <f t="shared" ref="N455:N518" si="70">IF(WEEKDAY(F455,2)&gt;5,"Weekend","Weekday")</f>
        <v>Weekday</v>
      </c>
      <c r="O455" s="149">
        <f t="shared" ref="O455:O518" si="71">EDATE(L455,36)</f>
        <v>43956</v>
      </c>
    </row>
    <row r="456" spans="2:15" ht="14.25" customHeight="1">
      <c r="B456" s="115" t="s">
        <v>268</v>
      </c>
      <c r="C456" s="115" t="s">
        <v>998</v>
      </c>
      <c r="D456" s="115" t="s">
        <v>84</v>
      </c>
      <c r="E456" s="137">
        <v>32121</v>
      </c>
      <c r="F456" s="42">
        <v>41918</v>
      </c>
      <c r="G456" t="str">
        <f t="shared" si="64"/>
        <v>Mon</v>
      </c>
      <c r="H456" t="str">
        <f t="shared" si="65"/>
        <v>Oct</v>
      </c>
      <c r="I456">
        <f t="shared" ca="1" si="66"/>
        <v>11</v>
      </c>
      <c r="J456" t="str">
        <f t="shared" ca="1" si="67"/>
        <v>11 years 1 months 15 days</v>
      </c>
      <c r="K456" s="149">
        <f t="shared" si="68"/>
        <v>41978</v>
      </c>
      <c r="L456" s="149">
        <f t="shared" si="63"/>
        <v>42002</v>
      </c>
      <c r="M456" s="150">
        <f t="shared" si="69"/>
        <v>41</v>
      </c>
      <c r="N456" t="str">
        <f t="shared" si="70"/>
        <v>Weekday</v>
      </c>
      <c r="O456" s="149">
        <f t="shared" si="71"/>
        <v>43098</v>
      </c>
    </row>
    <row r="457" spans="2:15" ht="14.25" customHeight="1">
      <c r="B457" s="115" t="s">
        <v>269</v>
      </c>
      <c r="C457" s="115" t="s">
        <v>999</v>
      </c>
      <c r="D457" s="115" t="s">
        <v>87</v>
      </c>
      <c r="E457" s="137">
        <v>21119</v>
      </c>
      <c r="F457" s="42">
        <v>41302</v>
      </c>
      <c r="G457" t="str">
        <f t="shared" si="64"/>
        <v>Mon</v>
      </c>
      <c r="H457" t="str">
        <f t="shared" si="65"/>
        <v>Jan</v>
      </c>
      <c r="I457">
        <f t="shared" ca="1" si="66"/>
        <v>12</v>
      </c>
      <c r="J457" t="str">
        <f t="shared" ca="1" si="67"/>
        <v>12 years 9 months 24 days</v>
      </c>
      <c r="K457" s="149">
        <f t="shared" si="68"/>
        <v>41362</v>
      </c>
      <c r="L457" s="149">
        <f t="shared" si="63"/>
        <v>41386</v>
      </c>
      <c r="M457" s="150">
        <f t="shared" si="69"/>
        <v>5</v>
      </c>
      <c r="N457" t="str">
        <f t="shared" si="70"/>
        <v>Weekday</v>
      </c>
      <c r="O457" s="149">
        <f t="shared" si="71"/>
        <v>42482</v>
      </c>
    </row>
    <row r="458" spans="2:15" ht="14.25" customHeight="1">
      <c r="B458" s="115" t="s">
        <v>270</v>
      </c>
      <c r="C458" s="115" t="s">
        <v>1000</v>
      </c>
      <c r="D458" s="115" t="s">
        <v>87</v>
      </c>
      <c r="E458" s="137">
        <v>31499</v>
      </c>
      <c r="F458" s="42">
        <v>44512</v>
      </c>
      <c r="G458" t="str">
        <f t="shared" si="64"/>
        <v>Fri</v>
      </c>
      <c r="H458" t="str">
        <f t="shared" si="65"/>
        <v>Nov</v>
      </c>
      <c r="I458">
        <f t="shared" ca="1" si="66"/>
        <v>4</v>
      </c>
      <c r="J458" t="str">
        <f t="shared" ca="1" si="67"/>
        <v>4 years 0 months 9 days</v>
      </c>
      <c r="K458" s="149">
        <f t="shared" si="68"/>
        <v>44572</v>
      </c>
      <c r="L458" s="149">
        <f t="shared" si="63"/>
        <v>44596</v>
      </c>
      <c r="M458" s="150">
        <f t="shared" si="69"/>
        <v>46</v>
      </c>
      <c r="N458" t="str">
        <f t="shared" si="70"/>
        <v>Weekday</v>
      </c>
      <c r="O458" s="149">
        <f t="shared" si="71"/>
        <v>45692</v>
      </c>
    </row>
    <row r="459" spans="2:15" ht="14.25" customHeight="1">
      <c r="B459" s="115" t="s">
        <v>268</v>
      </c>
      <c r="C459" s="115" t="s">
        <v>1001</v>
      </c>
      <c r="D459" s="115" t="s">
        <v>87</v>
      </c>
      <c r="E459" s="137">
        <v>30711</v>
      </c>
      <c r="F459" s="42">
        <v>41840</v>
      </c>
      <c r="G459" t="str">
        <f t="shared" si="64"/>
        <v>Sun</v>
      </c>
      <c r="H459" t="str">
        <f t="shared" si="65"/>
        <v>Jul</v>
      </c>
      <c r="I459">
        <f t="shared" ca="1" si="66"/>
        <v>11</v>
      </c>
      <c r="J459" t="str">
        <f t="shared" ca="1" si="67"/>
        <v>11 years 4 months 1 days</v>
      </c>
      <c r="K459" s="149">
        <f t="shared" si="68"/>
        <v>41900</v>
      </c>
      <c r="L459" s="149">
        <f t="shared" si="63"/>
        <v>41922</v>
      </c>
      <c r="M459" s="150">
        <f t="shared" si="69"/>
        <v>29</v>
      </c>
      <c r="N459" t="str">
        <f t="shared" si="70"/>
        <v>Weekend</v>
      </c>
      <c r="O459" s="149">
        <f t="shared" si="71"/>
        <v>43018</v>
      </c>
    </row>
    <row r="460" spans="2:15" ht="14.25" customHeight="1">
      <c r="B460" s="115" t="s">
        <v>270</v>
      </c>
      <c r="C460" s="115" t="s">
        <v>1002</v>
      </c>
      <c r="D460" s="115" t="s">
        <v>87</v>
      </c>
      <c r="E460" s="137">
        <v>19314</v>
      </c>
      <c r="F460" s="42">
        <v>44880</v>
      </c>
      <c r="G460" t="str">
        <f t="shared" si="64"/>
        <v>Tue</v>
      </c>
      <c r="H460" t="str">
        <f t="shared" si="65"/>
        <v>Nov</v>
      </c>
      <c r="I460">
        <f t="shared" ca="1" si="66"/>
        <v>3</v>
      </c>
      <c r="J460" t="str">
        <f t="shared" ca="1" si="67"/>
        <v>3 years 0 months 6 days</v>
      </c>
      <c r="K460" s="149">
        <f t="shared" si="68"/>
        <v>44940</v>
      </c>
      <c r="L460" s="149">
        <f t="shared" si="63"/>
        <v>44964</v>
      </c>
      <c r="M460" s="150">
        <f t="shared" si="69"/>
        <v>47</v>
      </c>
      <c r="N460" t="str">
        <f t="shared" si="70"/>
        <v>Weekday</v>
      </c>
      <c r="O460" s="149">
        <f t="shared" si="71"/>
        <v>46060</v>
      </c>
    </row>
    <row r="461" spans="2:15" ht="14.25" customHeight="1">
      <c r="B461" s="115" t="s">
        <v>271</v>
      </c>
      <c r="C461" s="115" t="s">
        <v>1003</v>
      </c>
      <c r="D461" s="115" t="s">
        <v>87</v>
      </c>
      <c r="E461" s="137">
        <v>27709</v>
      </c>
      <c r="F461" s="42">
        <v>43578</v>
      </c>
      <c r="G461" t="str">
        <f t="shared" si="64"/>
        <v>Tue</v>
      </c>
      <c r="H461" t="str">
        <f t="shared" si="65"/>
        <v>Apr</v>
      </c>
      <c r="I461">
        <f t="shared" ca="1" si="66"/>
        <v>6</v>
      </c>
      <c r="J461" t="str">
        <f t="shared" ca="1" si="67"/>
        <v>6 years 6 months 29 days</v>
      </c>
      <c r="K461" s="149">
        <f t="shared" si="68"/>
        <v>43638</v>
      </c>
      <c r="L461" s="149">
        <f t="shared" si="63"/>
        <v>43662</v>
      </c>
      <c r="M461" s="150">
        <f t="shared" si="69"/>
        <v>17</v>
      </c>
      <c r="N461" t="str">
        <f t="shared" si="70"/>
        <v>Weekday</v>
      </c>
      <c r="O461" s="149">
        <f t="shared" si="71"/>
        <v>44758</v>
      </c>
    </row>
    <row r="462" spans="2:15" ht="14.25" customHeight="1">
      <c r="B462" s="115" t="s">
        <v>269</v>
      </c>
      <c r="C462" s="115" t="s">
        <v>1004</v>
      </c>
      <c r="D462" s="115" t="s">
        <v>84</v>
      </c>
      <c r="E462" s="137">
        <v>18044</v>
      </c>
      <c r="F462" s="42">
        <v>41106</v>
      </c>
      <c r="G462" t="str">
        <f t="shared" si="64"/>
        <v>Mon</v>
      </c>
      <c r="H462" t="str">
        <f t="shared" si="65"/>
        <v>Jul</v>
      </c>
      <c r="I462">
        <f t="shared" ca="1" si="66"/>
        <v>13</v>
      </c>
      <c r="J462" t="str">
        <f t="shared" ca="1" si="67"/>
        <v>13 years 4 months 5 days</v>
      </c>
      <c r="K462" s="149">
        <f t="shared" si="68"/>
        <v>41166</v>
      </c>
      <c r="L462" s="149">
        <f t="shared" si="63"/>
        <v>41190</v>
      </c>
      <c r="M462" s="150">
        <f t="shared" si="69"/>
        <v>30</v>
      </c>
      <c r="N462" t="str">
        <f t="shared" si="70"/>
        <v>Weekday</v>
      </c>
      <c r="O462" s="149">
        <f t="shared" si="71"/>
        <v>42285</v>
      </c>
    </row>
    <row r="463" spans="2:15" ht="14.25" customHeight="1">
      <c r="B463" s="115" t="s">
        <v>268</v>
      </c>
      <c r="C463" s="115" t="s">
        <v>1005</v>
      </c>
      <c r="D463" s="115" t="s">
        <v>84</v>
      </c>
      <c r="E463" s="137">
        <v>25961</v>
      </c>
      <c r="F463" s="42">
        <v>43791</v>
      </c>
      <c r="G463" t="str">
        <f t="shared" si="64"/>
        <v>Fri</v>
      </c>
      <c r="H463" t="str">
        <f t="shared" si="65"/>
        <v>Nov</v>
      </c>
      <c r="I463">
        <f t="shared" ca="1" si="66"/>
        <v>5</v>
      </c>
      <c r="J463" t="str">
        <f t="shared" ca="1" si="67"/>
        <v>5 years 11 months 30 days</v>
      </c>
      <c r="K463" s="149">
        <f t="shared" si="68"/>
        <v>43851</v>
      </c>
      <c r="L463" s="149">
        <f t="shared" si="63"/>
        <v>43875</v>
      </c>
      <c r="M463" s="150">
        <f t="shared" si="69"/>
        <v>47</v>
      </c>
      <c r="N463" t="str">
        <f t="shared" si="70"/>
        <v>Weekday</v>
      </c>
      <c r="O463" s="149">
        <f t="shared" si="71"/>
        <v>44971</v>
      </c>
    </row>
    <row r="464" spans="2:15" ht="14.25" customHeight="1">
      <c r="B464" s="115" t="s">
        <v>271</v>
      </c>
      <c r="C464" s="115" t="s">
        <v>1006</v>
      </c>
      <c r="D464" s="115" t="s">
        <v>84</v>
      </c>
      <c r="E464" s="137">
        <v>19759</v>
      </c>
      <c r="F464" s="42">
        <v>44536</v>
      </c>
      <c r="G464" t="str">
        <f t="shared" si="64"/>
        <v>Mon</v>
      </c>
      <c r="H464" t="str">
        <f t="shared" si="65"/>
        <v>Dec</v>
      </c>
      <c r="I464">
        <f t="shared" ca="1" si="66"/>
        <v>3</v>
      </c>
      <c r="J464" t="str">
        <f t="shared" ca="1" si="67"/>
        <v>3 years 11 months 15 days</v>
      </c>
      <c r="K464" s="149">
        <f t="shared" si="68"/>
        <v>44596</v>
      </c>
      <c r="L464" s="149">
        <f t="shared" si="63"/>
        <v>44620</v>
      </c>
      <c r="M464" s="150">
        <f t="shared" si="69"/>
        <v>50</v>
      </c>
      <c r="N464" t="str">
        <f t="shared" si="70"/>
        <v>Weekday</v>
      </c>
      <c r="O464" s="149">
        <f t="shared" si="71"/>
        <v>45716</v>
      </c>
    </row>
    <row r="465" spans="2:15" ht="14.25" customHeight="1">
      <c r="B465" s="115" t="s">
        <v>271</v>
      </c>
      <c r="C465" s="115" t="s">
        <v>1007</v>
      </c>
      <c r="D465" s="115" t="s">
        <v>84</v>
      </c>
      <c r="E465" s="137">
        <v>19585</v>
      </c>
      <c r="F465" s="42">
        <v>45198</v>
      </c>
      <c r="G465" t="str">
        <f t="shared" si="64"/>
        <v>Fri</v>
      </c>
      <c r="H465" t="str">
        <f t="shared" si="65"/>
        <v>Sep</v>
      </c>
      <c r="I465">
        <f t="shared" ca="1" si="66"/>
        <v>2</v>
      </c>
      <c r="J465" t="str">
        <f t="shared" ca="1" si="67"/>
        <v>2 years 1 months 23 days</v>
      </c>
      <c r="K465" s="149">
        <f t="shared" si="68"/>
        <v>45258</v>
      </c>
      <c r="L465" s="149">
        <f t="shared" si="63"/>
        <v>45282</v>
      </c>
      <c r="M465" s="150">
        <f t="shared" si="69"/>
        <v>40</v>
      </c>
      <c r="N465" t="str">
        <f t="shared" si="70"/>
        <v>Weekday</v>
      </c>
      <c r="O465" s="149">
        <f t="shared" si="71"/>
        <v>46378</v>
      </c>
    </row>
    <row r="466" spans="2:15" ht="14.25" customHeight="1">
      <c r="B466" s="115" t="s">
        <v>270</v>
      </c>
      <c r="C466" s="115" t="s">
        <v>1008</v>
      </c>
      <c r="D466" s="115" t="s">
        <v>84</v>
      </c>
      <c r="E466" s="137">
        <v>21154</v>
      </c>
      <c r="F466" s="42">
        <v>44301</v>
      </c>
      <c r="G466" t="str">
        <f t="shared" si="64"/>
        <v>Thu</v>
      </c>
      <c r="H466" t="str">
        <f t="shared" si="65"/>
        <v>Apr</v>
      </c>
      <c r="I466">
        <f t="shared" ca="1" si="66"/>
        <v>4</v>
      </c>
      <c r="J466" t="str">
        <f t="shared" ca="1" si="67"/>
        <v>4 years 7 months 6 days</v>
      </c>
      <c r="K466" s="149">
        <f t="shared" si="68"/>
        <v>44361</v>
      </c>
      <c r="L466" s="149">
        <f t="shared" si="63"/>
        <v>44385</v>
      </c>
      <c r="M466" s="150">
        <f t="shared" si="69"/>
        <v>16</v>
      </c>
      <c r="N466" t="str">
        <f t="shared" si="70"/>
        <v>Weekday</v>
      </c>
      <c r="O466" s="149">
        <f t="shared" si="71"/>
        <v>45481</v>
      </c>
    </row>
    <row r="467" spans="2:15" ht="14.25" customHeight="1">
      <c r="B467" s="115" t="s">
        <v>269</v>
      </c>
      <c r="C467" s="115" t="s">
        <v>1009</v>
      </c>
      <c r="D467" s="115" t="s">
        <v>84</v>
      </c>
      <c r="E467" s="137">
        <v>28015</v>
      </c>
      <c r="F467" s="42">
        <v>42254</v>
      </c>
      <c r="G467" t="str">
        <f t="shared" si="64"/>
        <v>Mon</v>
      </c>
      <c r="H467" t="str">
        <f t="shared" si="65"/>
        <v>Sep</v>
      </c>
      <c r="I467">
        <f t="shared" ca="1" si="66"/>
        <v>10</v>
      </c>
      <c r="J467" t="str">
        <f t="shared" ca="1" si="67"/>
        <v>10 years 2 months 14 days</v>
      </c>
      <c r="K467" s="149">
        <f t="shared" si="68"/>
        <v>42314</v>
      </c>
      <c r="L467" s="149">
        <f t="shared" si="63"/>
        <v>42338</v>
      </c>
      <c r="M467" s="150">
        <f t="shared" si="69"/>
        <v>37</v>
      </c>
      <c r="N467" t="str">
        <f t="shared" si="70"/>
        <v>Weekday</v>
      </c>
      <c r="O467" s="149">
        <f t="shared" si="71"/>
        <v>43434</v>
      </c>
    </row>
    <row r="468" spans="2:15" ht="14.25" customHeight="1">
      <c r="B468" s="115" t="s">
        <v>269</v>
      </c>
      <c r="C468" s="115" t="s">
        <v>1010</v>
      </c>
      <c r="D468" s="115" t="s">
        <v>84</v>
      </c>
      <c r="E468" s="137">
        <v>23861</v>
      </c>
      <c r="F468" s="42">
        <v>40855</v>
      </c>
      <c r="G468" t="str">
        <f t="shared" si="64"/>
        <v>Tue</v>
      </c>
      <c r="H468" t="str">
        <f t="shared" si="65"/>
        <v>Nov</v>
      </c>
      <c r="I468">
        <f t="shared" ca="1" si="66"/>
        <v>14</v>
      </c>
      <c r="J468" t="str">
        <f t="shared" ca="1" si="67"/>
        <v>14 years 0 months 13 days</v>
      </c>
      <c r="K468" s="149">
        <f t="shared" si="68"/>
        <v>40915</v>
      </c>
      <c r="L468" s="149">
        <f t="shared" si="63"/>
        <v>40939</v>
      </c>
      <c r="M468" s="150">
        <f t="shared" si="69"/>
        <v>46</v>
      </c>
      <c r="N468" t="str">
        <f t="shared" si="70"/>
        <v>Weekday</v>
      </c>
      <c r="O468" s="149">
        <f t="shared" si="71"/>
        <v>42035</v>
      </c>
    </row>
    <row r="469" spans="2:15" ht="14.25" customHeight="1">
      <c r="B469" s="115" t="s">
        <v>270</v>
      </c>
      <c r="C469" s="115" t="s">
        <v>1011</v>
      </c>
      <c r="D469" s="115" t="s">
        <v>84</v>
      </c>
      <c r="E469" s="137">
        <v>19316</v>
      </c>
      <c r="F469" s="42">
        <v>40555</v>
      </c>
      <c r="G469" t="str">
        <f t="shared" si="64"/>
        <v>Wed</v>
      </c>
      <c r="H469" t="str">
        <f t="shared" si="65"/>
        <v>Jan</v>
      </c>
      <c r="I469">
        <f t="shared" ca="1" si="66"/>
        <v>14</v>
      </c>
      <c r="J469" t="str">
        <f t="shared" ca="1" si="67"/>
        <v>14 years 10 months 9 days</v>
      </c>
      <c r="K469" s="149">
        <f t="shared" si="68"/>
        <v>40615</v>
      </c>
      <c r="L469" s="149">
        <f t="shared" si="63"/>
        <v>40639</v>
      </c>
      <c r="M469" s="150">
        <f t="shared" si="69"/>
        <v>3</v>
      </c>
      <c r="N469" t="str">
        <f t="shared" si="70"/>
        <v>Weekday</v>
      </c>
      <c r="O469" s="149">
        <f t="shared" si="71"/>
        <v>41735</v>
      </c>
    </row>
    <row r="470" spans="2:15" ht="14.25" customHeight="1">
      <c r="B470" s="115" t="s">
        <v>272</v>
      </c>
      <c r="C470" s="115" t="s">
        <v>1012</v>
      </c>
      <c r="D470" s="115" t="s">
        <v>84</v>
      </c>
      <c r="E470" s="137">
        <v>35179</v>
      </c>
      <c r="F470" s="42">
        <v>41278</v>
      </c>
      <c r="G470" t="str">
        <f t="shared" si="64"/>
        <v>Fri</v>
      </c>
      <c r="H470" t="str">
        <f t="shared" si="65"/>
        <v>Jan</v>
      </c>
      <c r="I470">
        <f t="shared" ca="1" si="66"/>
        <v>12</v>
      </c>
      <c r="J470" t="str">
        <f t="shared" ca="1" si="67"/>
        <v>12 years 10 months 17 days</v>
      </c>
      <c r="K470" s="149">
        <f t="shared" si="68"/>
        <v>41338</v>
      </c>
      <c r="L470" s="149">
        <f t="shared" si="63"/>
        <v>41362</v>
      </c>
      <c r="M470" s="150">
        <f t="shared" si="69"/>
        <v>1</v>
      </c>
      <c r="N470" t="str">
        <f t="shared" si="70"/>
        <v>Weekday</v>
      </c>
      <c r="O470" s="149">
        <f t="shared" si="71"/>
        <v>42458</v>
      </c>
    </row>
    <row r="471" spans="2:15" ht="14.25" customHeight="1">
      <c r="B471" s="115" t="s">
        <v>269</v>
      </c>
      <c r="C471" s="115" t="s">
        <v>1013</v>
      </c>
      <c r="D471" s="115" t="s">
        <v>84</v>
      </c>
      <c r="E471" s="137">
        <v>33053</v>
      </c>
      <c r="F471" s="42">
        <v>41597</v>
      </c>
      <c r="G471" t="str">
        <f t="shared" si="64"/>
        <v>Tue</v>
      </c>
      <c r="H471" t="str">
        <f t="shared" si="65"/>
        <v>Nov</v>
      </c>
      <c r="I471">
        <f t="shared" ca="1" si="66"/>
        <v>12</v>
      </c>
      <c r="J471" t="str">
        <f t="shared" ca="1" si="67"/>
        <v>12 years 0 months 2 days</v>
      </c>
      <c r="K471" s="149">
        <f t="shared" si="68"/>
        <v>41657</v>
      </c>
      <c r="L471" s="149">
        <f t="shared" si="63"/>
        <v>41681</v>
      </c>
      <c r="M471" s="150">
        <f t="shared" si="69"/>
        <v>47</v>
      </c>
      <c r="N471" t="str">
        <f t="shared" si="70"/>
        <v>Weekday</v>
      </c>
      <c r="O471" s="149">
        <f t="shared" si="71"/>
        <v>42777</v>
      </c>
    </row>
    <row r="472" spans="2:15" ht="14.25" customHeight="1">
      <c r="B472" s="115" t="s">
        <v>269</v>
      </c>
      <c r="C472" s="115" t="s">
        <v>1014</v>
      </c>
      <c r="D472" s="115" t="s">
        <v>84</v>
      </c>
      <c r="E472" s="137">
        <v>17339</v>
      </c>
      <c r="F472" s="42">
        <v>41108</v>
      </c>
      <c r="G472" t="str">
        <f t="shared" si="64"/>
        <v>Wed</v>
      </c>
      <c r="H472" t="str">
        <f t="shared" si="65"/>
        <v>Jul</v>
      </c>
      <c r="I472">
        <f t="shared" ca="1" si="66"/>
        <v>13</v>
      </c>
      <c r="J472" t="str">
        <f t="shared" ca="1" si="67"/>
        <v>13 years 4 months 3 days</v>
      </c>
      <c r="K472" s="149">
        <f t="shared" si="68"/>
        <v>41168</v>
      </c>
      <c r="L472" s="149">
        <f t="shared" si="63"/>
        <v>41192</v>
      </c>
      <c r="M472" s="150">
        <f t="shared" si="69"/>
        <v>30</v>
      </c>
      <c r="N472" t="str">
        <f t="shared" si="70"/>
        <v>Weekday</v>
      </c>
      <c r="O472" s="149">
        <f t="shared" si="71"/>
        <v>42287</v>
      </c>
    </row>
    <row r="473" spans="2:15" ht="14.25" customHeight="1">
      <c r="B473" s="115" t="s">
        <v>269</v>
      </c>
      <c r="C473" s="115" t="s">
        <v>1015</v>
      </c>
      <c r="D473" s="115" t="s">
        <v>84</v>
      </c>
      <c r="E473" s="137">
        <v>32821</v>
      </c>
      <c r="F473" s="42">
        <v>41847</v>
      </c>
      <c r="G473" t="str">
        <f t="shared" si="64"/>
        <v>Sun</v>
      </c>
      <c r="H473" t="str">
        <f t="shared" si="65"/>
        <v>Jul</v>
      </c>
      <c r="I473">
        <f t="shared" ca="1" si="66"/>
        <v>11</v>
      </c>
      <c r="J473" t="str">
        <f t="shared" ca="1" si="67"/>
        <v>11 years 3 months 25 days</v>
      </c>
      <c r="K473" s="149">
        <f t="shared" si="68"/>
        <v>41907</v>
      </c>
      <c r="L473" s="149">
        <f t="shared" si="63"/>
        <v>41929</v>
      </c>
      <c r="M473" s="150">
        <f t="shared" si="69"/>
        <v>30</v>
      </c>
      <c r="N473" t="str">
        <f t="shared" si="70"/>
        <v>Weekend</v>
      </c>
      <c r="O473" s="149">
        <f t="shared" si="71"/>
        <v>43025</v>
      </c>
    </row>
    <row r="474" spans="2:15" ht="14.25" customHeight="1">
      <c r="B474" s="115" t="s">
        <v>268</v>
      </c>
      <c r="C474" s="115" t="s">
        <v>1016</v>
      </c>
      <c r="D474" s="115" t="s">
        <v>84</v>
      </c>
      <c r="E474" s="137">
        <v>15006</v>
      </c>
      <c r="F474" s="42">
        <v>45288</v>
      </c>
      <c r="G474" t="str">
        <f t="shared" si="64"/>
        <v>Thu</v>
      </c>
      <c r="H474" t="str">
        <f t="shared" si="65"/>
        <v>Dec</v>
      </c>
      <c r="I474">
        <f t="shared" ca="1" si="66"/>
        <v>1</v>
      </c>
      <c r="J474" t="str">
        <f t="shared" ca="1" si="67"/>
        <v>1 years 10 months 24 days</v>
      </c>
      <c r="K474" s="149">
        <f t="shared" si="68"/>
        <v>45348</v>
      </c>
      <c r="L474" s="149">
        <f t="shared" si="63"/>
        <v>45372</v>
      </c>
      <c r="M474" s="150">
        <f t="shared" si="69"/>
        <v>53</v>
      </c>
      <c r="N474" t="str">
        <f t="shared" si="70"/>
        <v>Weekday</v>
      </c>
      <c r="O474" s="149">
        <f t="shared" si="71"/>
        <v>46467</v>
      </c>
    </row>
    <row r="475" spans="2:15" ht="14.25" customHeight="1">
      <c r="B475" s="115" t="s">
        <v>268</v>
      </c>
      <c r="C475" s="115" t="s">
        <v>1017</v>
      </c>
      <c r="D475" s="115" t="s">
        <v>87</v>
      </c>
      <c r="E475" s="137">
        <v>18743</v>
      </c>
      <c r="F475" s="42">
        <v>44292</v>
      </c>
      <c r="G475" t="str">
        <f t="shared" si="64"/>
        <v>Tue</v>
      </c>
      <c r="H475" t="str">
        <f t="shared" si="65"/>
        <v>Apr</v>
      </c>
      <c r="I475">
        <f t="shared" ca="1" si="66"/>
        <v>4</v>
      </c>
      <c r="J475" t="str">
        <f t="shared" ca="1" si="67"/>
        <v>4 years 7 months 15 days</v>
      </c>
      <c r="K475" s="149">
        <f t="shared" si="68"/>
        <v>44352</v>
      </c>
      <c r="L475" s="149">
        <f t="shared" si="63"/>
        <v>44376</v>
      </c>
      <c r="M475" s="150">
        <f t="shared" si="69"/>
        <v>15</v>
      </c>
      <c r="N475" t="str">
        <f t="shared" si="70"/>
        <v>Weekday</v>
      </c>
      <c r="O475" s="149">
        <f t="shared" si="71"/>
        <v>45472</v>
      </c>
    </row>
    <row r="476" spans="2:15" ht="14.25" customHeight="1">
      <c r="B476" s="115" t="s">
        <v>271</v>
      </c>
      <c r="C476" s="115" t="s">
        <v>1018</v>
      </c>
      <c r="D476" s="115" t="s">
        <v>87</v>
      </c>
      <c r="E476" s="137">
        <v>25151</v>
      </c>
      <c r="F476" s="42">
        <v>43405</v>
      </c>
      <c r="G476" t="str">
        <f t="shared" si="64"/>
        <v>Thu</v>
      </c>
      <c r="H476" t="str">
        <f t="shared" si="65"/>
        <v>Nov</v>
      </c>
      <c r="I476">
        <f t="shared" ca="1" si="66"/>
        <v>7</v>
      </c>
      <c r="J476" t="str">
        <f t="shared" ca="1" si="67"/>
        <v>7 years 0 months 20 days</v>
      </c>
      <c r="K476" s="149">
        <f t="shared" si="68"/>
        <v>43465</v>
      </c>
      <c r="L476" s="149">
        <f t="shared" si="63"/>
        <v>43489</v>
      </c>
      <c r="M476" s="150">
        <f t="shared" si="69"/>
        <v>44</v>
      </c>
      <c r="N476" t="str">
        <f t="shared" si="70"/>
        <v>Weekday</v>
      </c>
      <c r="O476" s="149">
        <f t="shared" si="71"/>
        <v>44585</v>
      </c>
    </row>
    <row r="477" spans="2:15" ht="14.25" customHeight="1">
      <c r="B477" s="115" t="s">
        <v>272</v>
      </c>
      <c r="C477" s="115" t="s">
        <v>1019</v>
      </c>
      <c r="D477" s="115" t="s">
        <v>87</v>
      </c>
      <c r="E477" s="137">
        <v>31725</v>
      </c>
      <c r="F477" s="42">
        <v>41562</v>
      </c>
      <c r="G477" t="str">
        <f t="shared" si="64"/>
        <v>Tue</v>
      </c>
      <c r="H477" t="str">
        <f t="shared" si="65"/>
        <v>Oct</v>
      </c>
      <c r="I477">
        <f t="shared" ca="1" si="66"/>
        <v>12</v>
      </c>
      <c r="J477" t="str">
        <f t="shared" ca="1" si="67"/>
        <v>12 years 1 months 6 days</v>
      </c>
      <c r="K477" s="149">
        <f t="shared" si="68"/>
        <v>41622</v>
      </c>
      <c r="L477" s="149">
        <f t="shared" si="63"/>
        <v>41646</v>
      </c>
      <c r="M477" s="150">
        <f t="shared" si="69"/>
        <v>42</v>
      </c>
      <c r="N477" t="str">
        <f t="shared" si="70"/>
        <v>Weekday</v>
      </c>
      <c r="O477" s="149">
        <f t="shared" si="71"/>
        <v>42742</v>
      </c>
    </row>
    <row r="478" spans="2:15" ht="14.25" customHeight="1">
      <c r="B478" s="115" t="s">
        <v>270</v>
      </c>
      <c r="C478" s="115" t="s">
        <v>1020</v>
      </c>
      <c r="D478" s="115" t="s">
        <v>87</v>
      </c>
      <c r="E478" s="137">
        <v>17770</v>
      </c>
      <c r="F478" s="42">
        <v>41312</v>
      </c>
      <c r="G478" t="str">
        <f t="shared" si="64"/>
        <v>Thu</v>
      </c>
      <c r="H478" t="str">
        <f t="shared" si="65"/>
        <v>Feb</v>
      </c>
      <c r="I478">
        <f t="shared" ca="1" si="66"/>
        <v>12</v>
      </c>
      <c r="J478" t="str">
        <f t="shared" ca="1" si="67"/>
        <v>12 years 9 months 14 days</v>
      </c>
      <c r="K478" s="149">
        <f t="shared" si="68"/>
        <v>41372</v>
      </c>
      <c r="L478" s="149">
        <f t="shared" si="63"/>
        <v>41396</v>
      </c>
      <c r="M478" s="150">
        <f t="shared" si="69"/>
        <v>6</v>
      </c>
      <c r="N478" t="str">
        <f t="shared" si="70"/>
        <v>Weekday</v>
      </c>
      <c r="O478" s="149">
        <f t="shared" si="71"/>
        <v>42492</v>
      </c>
    </row>
    <row r="479" spans="2:15" ht="14.25" customHeight="1">
      <c r="B479" s="115" t="s">
        <v>268</v>
      </c>
      <c r="C479" s="115" t="s">
        <v>1021</v>
      </c>
      <c r="D479" s="115" t="s">
        <v>84</v>
      </c>
      <c r="E479" s="137">
        <v>18821</v>
      </c>
      <c r="F479" s="42">
        <v>43256</v>
      </c>
      <c r="G479" t="str">
        <f t="shared" si="64"/>
        <v>Tue</v>
      </c>
      <c r="H479" t="str">
        <f t="shared" si="65"/>
        <v>Jun</v>
      </c>
      <c r="I479">
        <f t="shared" ca="1" si="66"/>
        <v>7</v>
      </c>
      <c r="J479" t="str">
        <f t="shared" ca="1" si="67"/>
        <v>7 years 5 months 16 days</v>
      </c>
      <c r="K479" s="149">
        <f t="shared" si="68"/>
        <v>43316</v>
      </c>
      <c r="L479" s="149">
        <f t="shared" si="63"/>
        <v>43340</v>
      </c>
      <c r="M479" s="150">
        <f t="shared" si="69"/>
        <v>23</v>
      </c>
      <c r="N479" t="str">
        <f t="shared" si="70"/>
        <v>Weekday</v>
      </c>
      <c r="O479" s="149">
        <f t="shared" si="71"/>
        <v>44436</v>
      </c>
    </row>
    <row r="480" spans="2:15" ht="14.25" customHeight="1">
      <c r="B480" s="115" t="s">
        <v>272</v>
      </c>
      <c r="C480" s="115" t="s">
        <v>1022</v>
      </c>
      <c r="D480" s="115" t="s">
        <v>87</v>
      </c>
      <c r="E480" s="137">
        <v>34790</v>
      </c>
      <c r="F480" s="42">
        <v>44456</v>
      </c>
      <c r="G480" t="str">
        <f t="shared" si="64"/>
        <v>Fri</v>
      </c>
      <c r="H480" t="str">
        <f t="shared" si="65"/>
        <v>Sep</v>
      </c>
      <c r="I480">
        <f t="shared" ca="1" si="66"/>
        <v>4</v>
      </c>
      <c r="J480" t="str">
        <f t="shared" ca="1" si="67"/>
        <v>4 years 2 months 4 days</v>
      </c>
      <c r="K480" s="149">
        <f t="shared" si="68"/>
        <v>44516</v>
      </c>
      <c r="L480" s="149">
        <f t="shared" si="63"/>
        <v>44540</v>
      </c>
      <c r="M480" s="150">
        <f t="shared" si="69"/>
        <v>38</v>
      </c>
      <c r="N480" t="str">
        <f t="shared" si="70"/>
        <v>Weekday</v>
      </c>
      <c r="O480" s="149">
        <f t="shared" si="71"/>
        <v>45636</v>
      </c>
    </row>
    <row r="481" spans="2:15" ht="14.25" customHeight="1">
      <c r="B481" s="115" t="s">
        <v>270</v>
      </c>
      <c r="C481" s="115" t="s">
        <v>1023</v>
      </c>
      <c r="D481" s="115" t="s">
        <v>84</v>
      </c>
      <c r="E481" s="137">
        <v>18583</v>
      </c>
      <c r="F481" s="42">
        <v>40595</v>
      </c>
      <c r="G481" t="str">
        <f t="shared" si="64"/>
        <v>Mon</v>
      </c>
      <c r="H481" t="str">
        <f t="shared" si="65"/>
        <v>Feb</v>
      </c>
      <c r="I481">
        <f t="shared" ca="1" si="66"/>
        <v>14</v>
      </c>
      <c r="J481" t="str">
        <f t="shared" ca="1" si="67"/>
        <v>14 years 9 months 0 days</v>
      </c>
      <c r="K481" s="149">
        <f t="shared" si="68"/>
        <v>40655</v>
      </c>
      <c r="L481" s="149">
        <f t="shared" si="63"/>
        <v>40679</v>
      </c>
      <c r="M481" s="150">
        <f t="shared" si="69"/>
        <v>9</v>
      </c>
      <c r="N481" t="str">
        <f t="shared" si="70"/>
        <v>Weekday</v>
      </c>
      <c r="O481" s="149">
        <f t="shared" si="71"/>
        <v>41775</v>
      </c>
    </row>
    <row r="482" spans="2:15" ht="14.25" customHeight="1">
      <c r="B482" s="115" t="s">
        <v>270</v>
      </c>
      <c r="C482" s="115" t="s">
        <v>1024</v>
      </c>
      <c r="D482" s="115" t="s">
        <v>84</v>
      </c>
      <c r="E482" s="137">
        <v>17930</v>
      </c>
      <c r="F482" s="42">
        <v>42143</v>
      </c>
      <c r="G482" t="str">
        <f t="shared" si="64"/>
        <v>Tue</v>
      </c>
      <c r="H482" t="str">
        <f t="shared" si="65"/>
        <v>May</v>
      </c>
      <c r="I482">
        <f t="shared" ca="1" si="66"/>
        <v>10</v>
      </c>
      <c r="J482" t="str">
        <f t="shared" ca="1" si="67"/>
        <v>10 years 6 months 2 days</v>
      </c>
      <c r="K482" s="149">
        <f t="shared" si="68"/>
        <v>42203</v>
      </c>
      <c r="L482" s="149">
        <f t="shared" si="63"/>
        <v>42227</v>
      </c>
      <c r="M482" s="150">
        <f t="shared" si="69"/>
        <v>21</v>
      </c>
      <c r="N482" t="str">
        <f t="shared" si="70"/>
        <v>Weekday</v>
      </c>
      <c r="O482" s="149">
        <f t="shared" si="71"/>
        <v>43323</v>
      </c>
    </row>
    <row r="483" spans="2:15" ht="14.25" customHeight="1">
      <c r="B483" s="115" t="s">
        <v>271</v>
      </c>
      <c r="C483" s="115" t="s">
        <v>1025</v>
      </c>
      <c r="D483" s="115" t="s">
        <v>84</v>
      </c>
      <c r="E483" s="137">
        <v>34973</v>
      </c>
      <c r="F483" s="42">
        <v>41390</v>
      </c>
      <c r="G483" t="str">
        <f t="shared" si="64"/>
        <v>Fri</v>
      </c>
      <c r="H483" t="str">
        <f t="shared" si="65"/>
        <v>Apr</v>
      </c>
      <c r="I483">
        <f t="shared" ca="1" si="66"/>
        <v>12</v>
      </c>
      <c r="J483" t="str">
        <f t="shared" ca="1" si="67"/>
        <v>12 years 6 months 26 days</v>
      </c>
      <c r="K483" s="149">
        <f t="shared" si="68"/>
        <v>41450</v>
      </c>
      <c r="L483" s="149">
        <f t="shared" si="63"/>
        <v>41474</v>
      </c>
      <c r="M483" s="150">
        <f t="shared" si="69"/>
        <v>17</v>
      </c>
      <c r="N483" t="str">
        <f t="shared" si="70"/>
        <v>Weekday</v>
      </c>
      <c r="O483" s="149">
        <f t="shared" si="71"/>
        <v>42570</v>
      </c>
    </row>
    <row r="484" spans="2:15" ht="14.25" customHeight="1">
      <c r="B484" s="115" t="s">
        <v>271</v>
      </c>
      <c r="C484" s="115" t="s">
        <v>1026</v>
      </c>
      <c r="D484" s="115" t="s">
        <v>84</v>
      </c>
      <c r="E484" s="137">
        <v>28056</v>
      </c>
      <c r="F484" s="42">
        <v>43883</v>
      </c>
      <c r="G484" t="str">
        <f t="shared" si="64"/>
        <v>Sat</v>
      </c>
      <c r="H484" t="str">
        <f t="shared" si="65"/>
        <v>Feb</v>
      </c>
      <c r="I484">
        <f t="shared" ca="1" si="66"/>
        <v>5</v>
      </c>
      <c r="J484" t="str">
        <f t="shared" ca="1" si="67"/>
        <v>5 years 8 months 30 days</v>
      </c>
      <c r="K484" s="149">
        <f t="shared" si="68"/>
        <v>43943</v>
      </c>
      <c r="L484" s="149">
        <f t="shared" si="63"/>
        <v>43966</v>
      </c>
      <c r="M484" s="150">
        <f t="shared" si="69"/>
        <v>8</v>
      </c>
      <c r="N484" t="str">
        <f t="shared" si="70"/>
        <v>Weekend</v>
      </c>
      <c r="O484" s="149">
        <f t="shared" si="71"/>
        <v>45061</v>
      </c>
    </row>
    <row r="485" spans="2:15" ht="14.25" customHeight="1">
      <c r="B485" s="115" t="s">
        <v>271</v>
      </c>
      <c r="C485" s="115" t="s">
        <v>1027</v>
      </c>
      <c r="D485" s="115" t="s">
        <v>87</v>
      </c>
      <c r="E485" s="137">
        <v>20421</v>
      </c>
      <c r="F485" s="42">
        <v>42445</v>
      </c>
      <c r="G485" t="str">
        <f t="shared" si="64"/>
        <v>Wed</v>
      </c>
      <c r="H485" t="str">
        <f t="shared" si="65"/>
        <v>Mar</v>
      </c>
      <c r="I485">
        <f t="shared" ca="1" si="66"/>
        <v>9</v>
      </c>
      <c r="J485" t="str">
        <f t="shared" ca="1" si="67"/>
        <v>9 years 8 months 5 days</v>
      </c>
      <c r="K485" s="149">
        <f t="shared" si="68"/>
        <v>42505</v>
      </c>
      <c r="L485" s="149">
        <f t="shared" si="63"/>
        <v>42529</v>
      </c>
      <c r="M485" s="150">
        <f t="shared" si="69"/>
        <v>12</v>
      </c>
      <c r="N485" t="str">
        <f t="shared" si="70"/>
        <v>Weekday</v>
      </c>
      <c r="O485" s="149">
        <f t="shared" si="71"/>
        <v>43624</v>
      </c>
    </row>
    <row r="486" spans="2:15" ht="14.25" customHeight="1">
      <c r="B486" s="115" t="s">
        <v>272</v>
      </c>
      <c r="C486" s="115" t="s">
        <v>1028</v>
      </c>
      <c r="D486" s="115" t="s">
        <v>84</v>
      </c>
      <c r="E486" s="137">
        <v>33131</v>
      </c>
      <c r="F486" s="42">
        <v>44770</v>
      </c>
      <c r="G486" t="str">
        <f t="shared" si="64"/>
        <v>Thu</v>
      </c>
      <c r="H486" t="str">
        <f t="shared" si="65"/>
        <v>Jul</v>
      </c>
      <c r="I486">
        <f t="shared" ca="1" si="66"/>
        <v>3</v>
      </c>
      <c r="J486" t="str">
        <f t="shared" ca="1" si="67"/>
        <v>3 years 3 months 24 days</v>
      </c>
      <c r="K486" s="149">
        <f t="shared" si="68"/>
        <v>44830</v>
      </c>
      <c r="L486" s="149">
        <f t="shared" si="63"/>
        <v>44854</v>
      </c>
      <c r="M486" s="150">
        <f t="shared" si="69"/>
        <v>31</v>
      </c>
      <c r="N486" t="str">
        <f t="shared" si="70"/>
        <v>Weekday</v>
      </c>
      <c r="O486" s="149">
        <f t="shared" si="71"/>
        <v>45950</v>
      </c>
    </row>
    <row r="487" spans="2:15" ht="14.25" customHeight="1">
      <c r="B487" s="115" t="s">
        <v>269</v>
      </c>
      <c r="C487" s="115" t="s">
        <v>1029</v>
      </c>
      <c r="D487" s="115" t="s">
        <v>87</v>
      </c>
      <c r="E487" s="137">
        <v>21415</v>
      </c>
      <c r="F487" s="42">
        <v>41232</v>
      </c>
      <c r="G487" t="str">
        <f t="shared" si="64"/>
        <v>Mon</v>
      </c>
      <c r="H487" t="str">
        <f t="shared" si="65"/>
        <v>Nov</v>
      </c>
      <c r="I487">
        <f t="shared" ca="1" si="66"/>
        <v>13</v>
      </c>
      <c r="J487" t="str">
        <f t="shared" ca="1" si="67"/>
        <v>13 years 0 months 2 days</v>
      </c>
      <c r="K487" s="149">
        <f t="shared" si="68"/>
        <v>41292</v>
      </c>
      <c r="L487" s="149">
        <f t="shared" si="63"/>
        <v>41317</v>
      </c>
      <c r="M487" s="150">
        <f t="shared" si="69"/>
        <v>48</v>
      </c>
      <c r="N487" t="str">
        <f t="shared" si="70"/>
        <v>Weekday</v>
      </c>
      <c r="O487" s="149">
        <f t="shared" si="71"/>
        <v>42412</v>
      </c>
    </row>
    <row r="488" spans="2:15" ht="14.25" customHeight="1">
      <c r="B488" s="115" t="s">
        <v>271</v>
      </c>
      <c r="C488" s="115" t="s">
        <v>1030</v>
      </c>
      <c r="D488" s="115" t="s">
        <v>87</v>
      </c>
      <c r="E488" s="137">
        <v>20667</v>
      </c>
      <c r="F488" s="42">
        <v>41493</v>
      </c>
      <c r="G488" t="str">
        <f t="shared" si="64"/>
        <v>Wed</v>
      </c>
      <c r="H488" t="str">
        <f t="shared" si="65"/>
        <v>Aug</v>
      </c>
      <c r="I488">
        <f t="shared" ca="1" si="66"/>
        <v>12</v>
      </c>
      <c r="J488" t="str">
        <f t="shared" ca="1" si="67"/>
        <v>12 years 3 months 14 days</v>
      </c>
      <c r="K488" s="149">
        <f t="shared" si="68"/>
        <v>41553</v>
      </c>
      <c r="L488" s="149">
        <f t="shared" si="63"/>
        <v>41577</v>
      </c>
      <c r="M488" s="150">
        <f t="shared" si="69"/>
        <v>32</v>
      </c>
      <c r="N488" t="str">
        <f t="shared" si="70"/>
        <v>Weekday</v>
      </c>
      <c r="O488" s="149">
        <f t="shared" si="71"/>
        <v>42673</v>
      </c>
    </row>
    <row r="489" spans="2:15" ht="14.25" customHeight="1">
      <c r="B489" s="115" t="s">
        <v>270</v>
      </c>
      <c r="C489" s="115" t="s">
        <v>1031</v>
      </c>
      <c r="D489" s="115" t="s">
        <v>87</v>
      </c>
      <c r="E489" s="137">
        <v>19162</v>
      </c>
      <c r="F489" s="42">
        <v>41493</v>
      </c>
      <c r="G489" t="str">
        <f t="shared" si="64"/>
        <v>Wed</v>
      </c>
      <c r="H489" t="str">
        <f t="shared" si="65"/>
        <v>Aug</v>
      </c>
      <c r="I489">
        <f t="shared" ca="1" si="66"/>
        <v>12</v>
      </c>
      <c r="J489" t="str">
        <f t="shared" ca="1" si="67"/>
        <v>12 years 3 months 14 days</v>
      </c>
      <c r="K489" s="149">
        <f t="shared" si="68"/>
        <v>41553</v>
      </c>
      <c r="L489" s="149">
        <f t="shared" si="63"/>
        <v>41577</v>
      </c>
      <c r="M489" s="150">
        <f t="shared" si="69"/>
        <v>32</v>
      </c>
      <c r="N489" t="str">
        <f t="shared" si="70"/>
        <v>Weekday</v>
      </c>
      <c r="O489" s="149">
        <f t="shared" si="71"/>
        <v>42673</v>
      </c>
    </row>
    <row r="490" spans="2:15" ht="14.25" customHeight="1">
      <c r="B490" s="115" t="s">
        <v>269</v>
      </c>
      <c r="C490" s="115" t="s">
        <v>1032</v>
      </c>
      <c r="D490" s="115" t="s">
        <v>84</v>
      </c>
      <c r="E490" s="137">
        <v>29511</v>
      </c>
      <c r="F490" s="42">
        <v>45097</v>
      </c>
      <c r="G490" t="str">
        <f t="shared" si="64"/>
        <v>Tue</v>
      </c>
      <c r="H490" t="str">
        <f t="shared" si="65"/>
        <v>Jun</v>
      </c>
      <c r="I490">
        <f t="shared" ca="1" si="66"/>
        <v>2</v>
      </c>
      <c r="J490" t="str">
        <f t="shared" ca="1" si="67"/>
        <v>2 years 5 months 1 days</v>
      </c>
      <c r="K490" s="149">
        <f t="shared" si="68"/>
        <v>45157</v>
      </c>
      <c r="L490" s="149">
        <f t="shared" si="63"/>
        <v>45181</v>
      </c>
      <c r="M490" s="150">
        <f t="shared" si="69"/>
        <v>26</v>
      </c>
      <c r="N490" t="str">
        <f t="shared" si="70"/>
        <v>Weekday</v>
      </c>
      <c r="O490" s="149">
        <f t="shared" si="71"/>
        <v>46277</v>
      </c>
    </row>
    <row r="491" spans="2:15" ht="14.25" customHeight="1">
      <c r="B491" s="115" t="s">
        <v>268</v>
      </c>
      <c r="C491" s="115" t="s">
        <v>1033</v>
      </c>
      <c r="D491" s="115" t="s">
        <v>87</v>
      </c>
      <c r="E491" s="137">
        <v>16054</v>
      </c>
      <c r="F491" s="42">
        <v>44155</v>
      </c>
      <c r="G491" t="str">
        <f t="shared" si="64"/>
        <v>Fri</v>
      </c>
      <c r="H491" t="str">
        <f t="shared" si="65"/>
        <v>Nov</v>
      </c>
      <c r="I491">
        <f t="shared" ca="1" si="66"/>
        <v>5</v>
      </c>
      <c r="J491" t="str">
        <f t="shared" ca="1" si="67"/>
        <v>5 years 0 months 1 days</v>
      </c>
      <c r="K491" s="149">
        <f t="shared" si="68"/>
        <v>44215</v>
      </c>
      <c r="L491" s="149">
        <f t="shared" si="63"/>
        <v>44239</v>
      </c>
      <c r="M491" s="150">
        <f t="shared" si="69"/>
        <v>47</v>
      </c>
      <c r="N491" t="str">
        <f t="shared" si="70"/>
        <v>Weekday</v>
      </c>
      <c r="O491" s="149">
        <f t="shared" si="71"/>
        <v>45334</v>
      </c>
    </row>
    <row r="492" spans="2:15" ht="14.25" customHeight="1">
      <c r="B492" s="115" t="s">
        <v>269</v>
      </c>
      <c r="C492" s="115" t="s">
        <v>1034</v>
      </c>
      <c r="D492" s="115" t="s">
        <v>87</v>
      </c>
      <c r="E492" s="137">
        <v>30041</v>
      </c>
      <c r="F492" s="42">
        <v>40929</v>
      </c>
      <c r="G492" t="str">
        <f t="shared" si="64"/>
        <v>Sat</v>
      </c>
      <c r="H492" t="str">
        <f t="shared" si="65"/>
        <v>Jan</v>
      </c>
      <c r="I492">
        <f t="shared" ca="1" si="66"/>
        <v>13</v>
      </c>
      <c r="J492" t="str">
        <f t="shared" ca="1" si="67"/>
        <v>13 years 10 months 0 days</v>
      </c>
      <c r="K492" s="149">
        <f t="shared" si="68"/>
        <v>40989</v>
      </c>
      <c r="L492" s="149">
        <f t="shared" si="63"/>
        <v>41012</v>
      </c>
      <c r="M492" s="150">
        <f t="shared" si="69"/>
        <v>4</v>
      </c>
      <c r="N492" t="str">
        <f t="shared" si="70"/>
        <v>Weekend</v>
      </c>
      <c r="O492" s="149">
        <f t="shared" si="71"/>
        <v>42107</v>
      </c>
    </row>
    <row r="493" spans="2:15" ht="14.25" customHeight="1">
      <c r="B493" s="115" t="s">
        <v>271</v>
      </c>
      <c r="C493" s="115" t="s">
        <v>1035</v>
      </c>
      <c r="D493" s="115" t="s">
        <v>84</v>
      </c>
      <c r="E493" s="137">
        <v>27590</v>
      </c>
      <c r="F493" s="42">
        <v>43689</v>
      </c>
      <c r="G493" t="str">
        <f t="shared" si="64"/>
        <v>Mon</v>
      </c>
      <c r="H493" t="str">
        <f t="shared" si="65"/>
        <v>Aug</v>
      </c>
      <c r="I493">
        <f t="shared" ca="1" si="66"/>
        <v>6</v>
      </c>
      <c r="J493" t="str">
        <f t="shared" ca="1" si="67"/>
        <v>6 years 3 months 9 days</v>
      </c>
      <c r="K493" s="149">
        <f t="shared" si="68"/>
        <v>43749</v>
      </c>
      <c r="L493" s="149">
        <f t="shared" si="63"/>
        <v>43773</v>
      </c>
      <c r="M493" s="150">
        <f t="shared" si="69"/>
        <v>33</v>
      </c>
      <c r="N493" t="str">
        <f t="shared" si="70"/>
        <v>Weekday</v>
      </c>
      <c r="O493" s="149">
        <f t="shared" si="71"/>
        <v>44869</v>
      </c>
    </row>
    <row r="494" spans="2:15" ht="14.25" customHeight="1">
      <c r="B494" s="115" t="s">
        <v>269</v>
      </c>
      <c r="C494" s="115" t="s">
        <v>1036</v>
      </c>
      <c r="D494" s="115" t="s">
        <v>87</v>
      </c>
      <c r="E494" s="137">
        <v>17478</v>
      </c>
      <c r="F494" s="42">
        <v>44958</v>
      </c>
      <c r="G494" t="str">
        <f t="shared" si="64"/>
        <v>Wed</v>
      </c>
      <c r="H494" t="str">
        <f t="shared" si="65"/>
        <v>Feb</v>
      </c>
      <c r="I494">
        <f t="shared" ca="1" si="66"/>
        <v>2</v>
      </c>
      <c r="J494" t="str">
        <f t="shared" ca="1" si="67"/>
        <v>2 years 9 months 20 days</v>
      </c>
      <c r="K494" s="149">
        <f t="shared" si="68"/>
        <v>45018</v>
      </c>
      <c r="L494" s="149">
        <f t="shared" si="63"/>
        <v>45042</v>
      </c>
      <c r="M494" s="150">
        <f t="shared" si="69"/>
        <v>6</v>
      </c>
      <c r="N494" t="str">
        <f t="shared" si="70"/>
        <v>Weekday</v>
      </c>
      <c r="O494" s="149">
        <f t="shared" si="71"/>
        <v>46138</v>
      </c>
    </row>
    <row r="495" spans="2:15" ht="14.25" customHeight="1">
      <c r="B495" s="115" t="s">
        <v>269</v>
      </c>
      <c r="C495" s="115" t="s">
        <v>1037</v>
      </c>
      <c r="D495" s="115" t="s">
        <v>87</v>
      </c>
      <c r="E495" s="137">
        <v>28050</v>
      </c>
      <c r="F495" s="42">
        <v>45217</v>
      </c>
      <c r="G495" t="str">
        <f t="shared" si="64"/>
        <v>Wed</v>
      </c>
      <c r="H495" t="str">
        <f t="shared" si="65"/>
        <v>Oct</v>
      </c>
      <c r="I495">
        <f t="shared" ca="1" si="66"/>
        <v>2</v>
      </c>
      <c r="J495" t="str">
        <f t="shared" ca="1" si="67"/>
        <v>2 years 1 months 3 days</v>
      </c>
      <c r="K495" s="149">
        <f t="shared" si="68"/>
        <v>45277</v>
      </c>
      <c r="L495" s="149">
        <f t="shared" si="63"/>
        <v>45301</v>
      </c>
      <c r="M495" s="150">
        <f t="shared" si="69"/>
        <v>43</v>
      </c>
      <c r="N495" t="str">
        <f t="shared" si="70"/>
        <v>Weekday</v>
      </c>
      <c r="O495" s="149">
        <f t="shared" si="71"/>
        <v>46397</v>
      </c>
    </row>
    <row r="496" spans="2:15" ht="14.25" customHeight="1">
      <c r="B496" s="115" t="s">
        <v>271</v>
      </c>
      <c r="C496" s="115" t="s">
        <v>1038</v>
      </c>
      <c r="D496" s="115" t="s">
        <v>84</v>
      </c>
      <c r="E496" s="137">
        <v>19658</v>
      </c>
      <c r="F496" s="42">
        <v>42726</v>
      </c>
      <c r="G496" t="str">
        <f t="shared" si="64"/>
        <v>Thu</v>
      </c>
      <c r="H496" t="str">
        <f t="shared" si="65"/>
        <v>Dec</v>
      </c>
      <c r="I496">
        <f t="shared" ca="1" si="66"/>
        <v>8</v>
      </c>
      <c r="J496" t="str">
        <f t="shared" ca="1" si="67"/>
        <v>8 years 10 months 30 days</v>
      </c>
      <c r="K496" s="149">
        <f t="shared" si="68"/>
        <v>42786</v>
      </c>
      <c r="L496" s="149">
        <f t="shared" si="63"/>
        <v>42810</v>
      </c>
      <c r="M496" s="150">
        <f t="shared" si="69"/>
        <v>52</v>
      </c>
      <c r="N496" t="str">
        <f t="shared" si="70"/>
        <v>Weekday</v>
      </c>
      <c r="O496" s="149">
        <f t="shared" si="71"/>
        <v>43906</v>
      </c>
    </row>
    <row r="497" spans="2:15" ht="14.25" customHeight="1">
      <c r="B497" s="115" t="s">
        <v>271</v>
      </c>
      <c r="C497" s="115" t="s">
        <v>1039</v>
      </c>
      <c r="D497" s="115" t="s">
        <v>84</v>
      </c>
      <c r="E497" s="137">
        <v>24258</v>
      </c>
      <c r="F497" s="42">
        <v>42052</v>
      </c>
      <c r="G497" t="str">
        <f t="shared" si="64"/>
        <v>Tue</v>
      </c>
      <c r="H497" t="str">
        <f t="shared" si="65"/>
        <v>Feb</v>
      </c>
      <c r="I497">
        <f t="shared" ca="1" si="66"/>
        <v>10</v>
      </c>
      <c r="J497" t="str">
        <f t="shared" ca="1" si="67"/>
        <v>10 years 9 months 4 days</v>
      </c>
      <c r="K497" s="149">
        <f t="shared" si="68"/>
        <v>42112</v>
      </c>
      <c r="L497" s="149">
        <f t="shared" si="63"/>
        <v>42136</v>
      </c>
      <c r="M497" s="150">
        <f t="shared" si="69"/>
        <v>8</v>
      </c>
      <c r="N497" t="str">
        <f t="shared" si="70"/>
        <v>Weekday</v>
      </c>
      <c r="O497" s="149">
        <f t="shared" si="71"/>
        <v>43232</v>
      </c>
    </row>
    <row r="498" spans="2:15" ht="14.25" customHeight="1">
      <c r="B498" s="115" t="s">
        <v>272</v>
      </c>
      <c r="C498" s="115" t="s">
        <v>1040</v>
      </c>
      <c r="D498" s="115" t="s">
        <v>84</v>
      </c>
      <c r="E498" s="137">
        <v>16479</v>
      </c>
      <c r="F498" s="42">
        <v>41613</v>
      </c>
      <c r="G498" t="str">
        <f t="shared" si="64"/>
        <v>Thu</v>
      </c>
      <c r="H498" t="str">
        <f t="shared" si="65"/>
        <v>Dec</v>
      </c>
      <c r="I498">
        <f t="shared" ca="1" si="66"/>
        <v>11</v>
      </c>
      <c r="J498" t="str">
        <f t="shared" ca="1" si="67"/>
        <v>11 years 11 months 16 days</v>
      </c>
      <c r="K498" s="149">
        <f t="shared" si="68"/>
        <v>41673</v>
      </c>
      <c r="L498" s="149">
        <f t="shared" si="63"/>
        <v>41697</v>
      </c>
      <c r="M498" s="150">
        <f t="shared" si="69"/>
        <v>49</v>
      </c>
      <c r="N498" t="str">
        <f t="shared" si="70"/>
        <v>Weekday</v>
      </c>
      <c r="O498" s="149">
        <f t="shared" si="71"/>
        <v>42793</v>
      </c>
    </row>
    <row r="499" spans="2:15" ht="14.25" customHeight="1">
      <c r="B499" s="115" t="s">
        <v>271</v>
      </c>
      <c r="C499" s="115" t="s">
        <v>1041</v>
      </c>
      <c r="D499" s="115" t="s">
        <v>87</v>
      </c>
      <c r="E499" s="137">
        <v>15378</v>
      </c>
      <c r="F499" s="42">
        <v>42728</v>
      </c>
      <c r="G499" t="str">
        <f t="shared" si="64"/>
        <v>Sat</v>
      </c>
      <c r="H499" t="str">
        <f t="shared" si="65"/>
        <v>Dec</v>
      </c>
      <c r="I499">
        <f t="shared" ca="1" si="66"/>
        <v>8</v>
      </c>
      <c r="J499" t="str">
        <f t="shared" ca="1" si="67"/>
        <v>8 years 10 months 28 days</v>
      </c>
      <c r="K499" s="149">
        <f t="shared" si="68"/>
        <v>42788</v>
      </c>
      <c r="L499" s="149">
        <f t="shared" si="63"/>
        <v>42811</v>
      </c>
      <c r="M499" s="150">
        <f t="shared" si="69"/>
        <v>52</v>
      </c>
      <c r="N499" t="str">
        <f t="shared" si="70"/>
        <v>Weekend</v>
      </c>
      <c r="O499" s="149">
        <f t="shared" si="71"/>
        <v>43907</v>
      </c>
    </row>
    <row r="500" spans="2:15" ht="14.25" customHeight="1">
      <c r="B500" s="115" t="s">
        <v>268</v>
      </c>
      <c r="C500" s="115" t="s">
        <v>1042</v>
      </c>
      <c r="D500" s="115" t="s">
        <v>87</v>
      </c>
      <c r="E500" s="137">
        <v>27744</v>
      </c>
      <c r="F500" s="42">
        <v>41908</v>
      </c>
      <c r="G500" t="str">
        <f t="shared" si="64"/>
        <v>Fri</v>
      </c>
      <c r="H500" t="str">
        <f t="shared" si="65"/>
        <v>Sep</v>
      </c>
      <c r="I500">
        <f t="shared" ca="1" si="66"/>
        <v>11</v>
      </c>
      <c r="J500" t="str">
        <f t="shared" ca="1" si="67"/>
        <v>11 years 1 months 26 days</v>
      </c>
      <c r="K500" s="149">
        <f t="shared" si="68"/>
        <v>41968</v>
      </c>
      <c r="L500" s="149">
        <f t="shared" si="63"/>
        <v>41992</v>
      </c>
      <c r="M500" s="150">
        <f t="shared" si="69"/>
        <v>39</v>
      </c>
      <c r="N500" t="str">
        <f t="shared" si="70"/>
        <v>Weekday</v>
      </c>
      <c r="O500" s="149">
        <f t="shared" si="71"/>
        <v>43088</v>
      </c>
    </row>
    <row r="501" spans="2:15" ht="14.25" customHeight="1">
      <c r="B501" s="115" t="s">
        <v>271</v>
      </c>
      <c r="C501" s="115" t="s">
        <v>1043</v>
      </c>
      <c r="D501" s="115" t="s">
        <v>84</v>
      </c>
      <c r="E501" s="137">
        <v>22016</v>
      </c>
      <c r="F501" s="42">
        <v>44376</v>
      </c>
      <c r="G501" t="str">
        <f t="shared" si="64"/>
        <v>Tue</v>
      </c>
      <c r="H501" t="str">
        <f t="shared" si="65"/>
        <v>Jun</v>
      </c>
      <c r="I501">
        <f t="shared" ca="1" si="66"/>
        <v>4</v>
      </c>
      <c r="J501" t="str">
        <f t="shared" ca="1" si="67"/>
        <v>4 years 4 months 23 days</v>
      </c>
      <c r="K501" s="149">
        <f t="shared" si="68"/>
        <v>44436</v>
      </c>
      <c r="L501" s="149">
        <f t="shared" si="63"/>
        <v>44460</v>
      </c>
      <c r="M501" s="150">
        <f t="shared" si="69"/>
        <v>27</v>
      </c>
      <c r="N501" t="str">
        <f t="shared" si="70"/>
        <v>Weekday</v>
      </c>
      <c r="O501" s="149">
        <f t="shared" si="71"/>
        <v>45556</v>
      </c>
    </row>
    <row r="502" spans="2:15" ht="14.25" customHeight="1">
      <c r="B502" s="115" t="s">
        <v>271</v>
      </c>
      <c r="C502" s="115" t="s">
        <v>1044</v>
      </c>
      <c r="D502" s="115" t="s">
        <v>87</v>
      </c>
      <c r="E502" s="137">
        <v>15591</v>
      </c>
      <c r="F502" s="42">
        <v>43724</v>
      </c>
      <c r="G502" t="str">
        <f t="shared" si="64"/>
        <v>Mon</v>
      </c>
      <c r="H502" t="str">
        <f t="shared" si="65"/>
        <v>Sep</v>
      </c>
      <c r="I502">
        <f t="shared" ca="1" si="66"/>
        <v>6</v>
      </c>
      <c r="J502" t="str">
        <f t="shared" ca="1" si="67"/>
        <v>6 years 2 months 5 days</v>
      </c>
      <c r="K502" s="149">
        <f t="shared" si="68"/>
        <v>43784</v>
      </c>
      <c r="L502" s="149">
        <f t="shared" si="63"/>
        <v>43808</v>
      </c>
      <c r="M502" s="150">
        <f t="shared" si="69"/>
        <v>38</v>
      </c>
      <c r="N502" t="str">
        <f t="shared" si="70"/>
        <v>Weekday</v>
      </c>
      <c r="O502" s="149">
        <f t="shared" si="71"/>
        <v>44904</v>
      </c>
    </row>
    <row r="503" spans="2:15" ht="14.25" customHeight="1">
      <c r="B503" s="115" t="s">
        <v>272</v>
      </c>
      <c r="C503" s="115" t="s">
        <v>1045</v>
      </c>
      <c r="D503" s="115" t="s">
        <v>84</v>
      </c>
      <c r="E503" s="137">
        <v>31370</v>
      </c>
      <c r="F503" s="42">
        <v>44039</v>
      </c>
      <c r="G503" t="str">
        <f t="shared" si="64"/>
        <v>Mon</v>
      </c>
      <c r="H503" t="str">
        <f t="shared" si="65"/>
        <v>Jul</v>
      </c>
      <c r="I503">
        <f t="shared" ca="1" si="66"/>
        <v>5</v>
      </c>
      <c r="J503" t="str">
        <f t="shared" ca="1" si="67"/>
        <v>5 years 3 months 25 days</v>
      </c>
      <c r="K503" s="149">
        <f t="shared" si="68"/>
        <v>44099</v>
      </c>
      <c r="L503" s="149">
        <f t="shared" si="63"/>
        <v>44123</v>
      </c>
      <c r="M503" s="150">
        <f t="shared" si="69"/>
        <v>31</v>
      </c>
      <c r="N503" t="str">
        <f t="shared" si="70"/>
        <v>Weekday</v>
      </c>
      <c r="O503" s="149">
        <f t="shared" si="71"/>
        <v>45218</v>
      </c>
    </row>
    <row r="504" spans="2:15" ht="14.25" customHeight="1">
      <c r="B504" s="115" t="s">
        <v>271</v>
      </c>
      <c r="C504" s="115" t="s">
        <v>1046</v>
      </c>
      <c r="D504" s="115" t="s">
        <v>84</v>
      </c>
      <c r="E504" s="137">
        <v>34309</v>
      </c>
      <c r="F504" s="42">
        <v>42710</v>
      </c>
      <c r="G504" t="str">
        <f t="shared" si="64"/>
        <v>Tue</v>
      </c>
      <c r="H504" t="str">
        <f t="shared" si="65"/>
        <v>Dec</v>
      </c>
      <c r="I504">
        <f t="shared" ca="1" si="66"/>
        <v>8</v>
      </c>
      <c r="J504" t="str">
        <f t="shared" ca="1" si="67"/>
        <v>8 years 11 months 15 days</v>
      </c>
      <c r="K504" s="149">
        <f t="shared" si="68"/>
        <v>42770</v>
      </c>
      <c r="L504" s="149">
        <f t="shared" si="63"/>
        <v>42794</v>
      </c>
      <c r="M504" s="150">
        <f t="shared" si="69"/>
        <v>50</v>
      </c>
      <c r="N504" t="str">
        <f t="shared" si="70"/>
        <v>Weekday</v>
      </c>
      <c r="O504" s="149">
        <f t="shared" si="71"/>
        <v>43889</v>
      </c>
    </row>
    <row r="505" spans="2:15" ht="14.25" customHeight="1">
      <c r="B505" s="115" t="s">
        <v>272</v>
      </c>
      <c r="C505" s="115" t="s">
        <v>1047</v>
      </c>
      <c r="D505" s="115" t="s">
        <v>84</v>
      </c>
      <c r="E505" s="137">
        <v>34414</v>
      </c>
      <c r="F505" s="42">
        <v>43388</v>
      </c>
      <c r="G505" t="str">
        <f t="shared" si="64"/>
        <v>Mon</v>
      </c>
      <c r="H505" t="str">
        <f t="shared" si="65"/>
        <v>Oct</v>
      </c>
      <c r="I505">
        <f t="shared" ca="1" si="66"/>
        <v>7</v>
      </c>
      <c r="J505" t="str">
        <f t="shared" ca="1" si="67"/>
        <v>7 years 1 months 6 days</v>
      </c>
      <c r="K505" s="149">
        <f t="shared" si="68"/>
        <v>43448</v>
      </c>
      <c r="L505" s="149">
        <f t="shared" si="63"/>
        <v>43472</v>
      </c>
      <c r="M505" s="150">
        <f t="shared" si="69"/>
        <v>42</v>
      </c>
      <c r="N505" t="str">
        <f t="shared" si="70"/>
        <v>Weekday</v>
      </c>
      <c r="O505" s="149">
        <f t="shared" si="71"/>
        <v>44568</v>
      </c>
    </row>
    <row r="506" spans="2:15" ht="14.25" customHeight="1">
      <c r="B506" s="115" t="s">
        <v>271</v>
      </c>
      <c r="C506" s="115" t="s">
        <v>1048</v>
      </c>
      <c r="D506" s="115" t="s">
        <v>84</v>
      </c>
      <c r="E506" s="137">
        <v>34648</v>
      </c>
      <c r="F506" s="42">
        <v>40977</v>
      </c>
      <c r="G506" t="str">
        <f t="shared" si="64"/>
        <v>Fri</v>
      </c>
      <c r="H506" t="str">
        <f t="shared" si="65"/>
        <v>Mar</v>
      </c>
      <c r="I506">
        <f t="shared" ca="1" si="66"/>
        <v>13</v>
      </c>
      <c r="J506" t="str">
        <f t="shared" ca="1" si="67"/>
        <v>13 years 8 months 12 days</v>
      </c>
      <c r="K506" s="149">
        <f t="shared" si="68"/>
        <v>41037</v>
      </c>
      <c r="L506" s="149">
        <f t="shared" si="63"/>
        <v>41061</v>
      </c>
      <c r="M506" s="150">
        <f t="shared" si="69"/>
        <v>11</v>
      </c>
      <c r="N506" t="str">
        <f t="shared" si="70"/>
        <v>Weekday</v>
      </c>
      <c r="O506" s="149">
        <f t="shared" si="71"/>
        <v>42156</v>
      </c>
    </row>
    <row r="507" spans="2:15" ht="14.25" customHeight="1">
      <c r="B507" s="115" t="s">
        <v>270</v>
      </c>
      <c r="C507" s="115" t="s">
        <v>1049</v>
      </c>
      <c r="D507" s="115" t="s">
        <v>84</v>
      </c>
      <c r="E507" s="137">
        <v>25861</v>
      </c>
      <c r="F507" s="42">
        <v>43722</v>
      </c>
      <c r="G507" t="str">
        <f t="shared" si="64"/>
        <v>Sat</v>
      </c>
      <c r="H507" t="str">
        <f t="shared" si="65"/>
        <v>Sep</v>
      </c>
      <c r="I507">
        <f t="shared" ca="1" si="66"/>
        <v>6</v>
      </c>
      <c r="J507" t="str">
        <f t="shared" ca="1" si="67"/>
        <v>6 years 2 months 7 days</v>
      </c>
      <c r="K507" s="149">
        <f t="shared" si="68"/>
        <v>43782</v>
      </c>
      <c r="L507" s="149">
        <f t="shared" si="63"/>
        <v>43805</v>
      </c>
      <c r="M507" s="150">
        <f t="shared" si="69"/>
        <v>37</v>
      </c>
      <c r="N507" t="str">
        <f t="shared" si="70"/>
        <v>Weekend</v>
      </c>
      <c r="O507" s="149">
        <f t="shared" si="71"/>
        <v>44901</v>
      </c>
    </row>
    <row r="508" spans="2:15" ht="14.25" customHeight="1">
      <c r="B508" s="115" t="s">
        <v>268</v>
      </c>
      <c r="C508" s="115" t="s">
        <v>1050</v>
      </c>
      <c r="D508" s="115" t="s">
        <v>84</v>
      </c>
      <c r="E508" s="137">
        <v>35526</v>
      </c>
      <c r="F508" s="42">
        <v>41263</v>
      </c>
      <c r="G508" t="str">
        <f t="shared" si="64"/>
        <v>Thu</v>
      </c>
      <c r="H508" t="str">
        <f t="shared" si="65"/>
        <v>Dec</v>
      </c>
      <c r="I508">
        <f t="shared" ca="1" si="66"/>
        <v>12</v>
      </c>
      <c r="J508" t="str">
        <f t="shared" ca="1" si="67"/>
        <v>12 years 11 months 1 days</v>
      </c>
      <c r="K508" s="149">
        <f t="shared" si="68"/>
        <v>41323</v>
      </c>
      <c r="L508" s="149">
        <f t="shared" si="63"/>
        <v>41348</v>
      </c>
      <c r="M508" s="150">
        <f t="shared" si="69"/>
        <v>52</v>
      </c>
      <c r="N508" t="str">
        <f t="shared" si="70"/>
        <v>Weekday</v>
      </c>
      <c r="O508" s="149">
        <f t="shared" si="71"/>
        <v>42444</v>
      </c>
    </row>
    <row r="509" spans="2:15" ht="14.25" customHeight="1">
      <c r="B509" s="115" t="s">
        <v>272</v>
      </c>
      <c r="C509" s="115" t="s">
        <v>1051</v>
      </c>
      <c r="D509" s="115" t="s">
        <v>87</v>
      </c>
      <c r="E509" s="137">
        <v>15393</v>
      </c>
      <c r="F509" s="42">
        <v>43269</v>
      </c>
      <c r="G509" t="str">
        <f t="shared" si="64"/>
        <v>Mon</v>
      </c>
      <c r="H509" t="str">
        <f t="shared" si="65"/>
        <v>Jun</v>
      </c>
      <c r="I509">
        <f t="shared" ca="1" si="66"/>
        <v>7</v>
      </c>
      <c r="J509" t="str">
        <f t="shared" ca="1" si="67"/>
        <v>7 years 5 months 3 days</v>
      </c>
      <c r="K509" s="149">
        <f t="shared" si="68"/>
        <v>43329</v>
      </c>
      <c r="L509" s="149">
        <f t="shared" si="63"/>
        <v>43353</v>
      </c>
      <c r="M509" s="150">
        <f t="shared" si="69"/>
        <v>25</v>
      </c>
      <c r="N509" t="str">
        <f t="shared" si="70"/>
        <v>Weekday</v>
      </c>
      <c r="O509" s="149">
        <f t="shared" si="71"/>
        <v>44449</v>
      </c>
    </row>
    <row r="510" spans="2:15" ht="14.25" customHeight="1">
      <c r="B510" s="115" t="s">
        <v>271</v>
      </c>
      <c r="C510" s="115" t="s">
        <v>1052</v>
      </c>
      <c r="D510" s="115" t="s">
        <v>87</v>
      </c>
      <c r="E510" s="137">
        <v>30383</v>
      </c>
      <c r="F510" s="42">
        <v>42631</v>
      </c>
      <c r="G510" t="str">
        <f t="shared" si="64"/>
        <v>Sun</v>
      </c>
      <c r="H510" t="str">
        <f t="shared" si="65"/>
        <v>Sep</v>
      </c>
      <c r="I510">
        <f t="shared" ca="1" si="66"/>
        <v>9</v>
      </c>
      <c r="J510" t="str">
        <f t="shared" ca="1" si="67"/>
        <v>9 years 2 months 3 days</v>
      </c>
      <c r="K510" s="149">
        <f t="shared" si="68"/>
        <v>42691</v>
      </c>
      <c r="L510" s="149">
        <f t="shared" si="63"/>
        <v>42713</v>
      </c>
      <c r="M510" s="150">
        <f t="shared" si="69"/>
        <v>38</v>
      </c>
      <c r="N510" t="str">
        <f t="shared" si="70"/>
        <v>Weekend</v>
      </c>
      <c r="O510" s="149">
        <f t="shared" si="71"/>
        <v>43808</v>
      </c>
    </row>
    <row r="511" spans="2:15" ht="14.25" customHeight="1">
      <c r="B511" s="115" t="s">
        <v>269</v>
      </c>
      <c r="C511" s="115" t="s">
        <v>1053</v>
      </c>
      <c r="D511" s="115" t="s">
        <v>87</v>
      </c>
      <c r="E511" s="137">
        <v>20013</v>
      </c>
      <c r="F511" s="42">
        <v>41972</v>
      </c>
      <c r="G511" t="str">
        <f t="shared" si="64"/>
        <v>Sat</v>
      </c>
      <c r="H511" t="str">
        <f t="shared" si="65"/>
        <v>Nov</v>
      </c>
      <c r="I511">
        <f t="shared" ca="1" si="66"/>
        <v>10</v>
      </c>
      <c r="J511" t="str">
        <f t="shared" ca="1" si="67"/>
        <v>10 years 11 months 23 days</v>
      </c>
      <c r="K511" s="149">
        <f t="shared" si="68"/>
        <v>42032</v>
      </c>
      <c r="L511" s="149">
        <f t="shared" si="63"/>
        <v>42055</v>
      </c>
      <c r="M511" s="150">
        <f t="shared" si="69"/>
        <v>48</v>
      </c>
      <c r="N511" t="str">
        <f t="shared" si="70"/>
        <v>Weekend</v>
      </c>
      <c r="O511" s="149">
        <f t="shared" si="71"/>
        <v>43151</v>
      </c>
    </row>
    <row r="512" spans="2:15" ht="14.25" customHeight="1">
      <c r="B512" s="115" t="s">
        <v>271</v>
      </c>
      <c r="C512" s="115" t="s">
        <v>1054</v>
      </c>
      <c r="D512" s="115" t="s">
        <v>84</v>
      </c>
      <c r="E512" s="137">
        <v>20806</v>
      </c>
      <c r="F512" s="42">
        <v>43288</v>
      </c>
      <c r="G512" t="str">
        <f t="shared" si="64"/>
        <v>Sat</v>
      </c>
      <c r="H512" t="str">
        <f t="shared" si="65"/>
        <v>Jul</v>
      </c>
      <c r="I512">
        <f t="shared" ca="1" si="66"/>
        <v>7</v>
      </c>
      <c r="J512" t="str">
        <f t="shared" ca="1" si="67"/>
        <v>7 years 4 months 14 days</v>
      </c>
      <c r="K512" s="149">
        <f t="shared" si="68"/>
        <v>43348</v>
      </c>
      <c r="L512" s="149">
        <f t="shared" si="63"/>
        <v>43371</v>
      </c>
      <c r="M512" s="150">
        <f t="shared" si="69"/>
        <v>27</v>
      </c>
      <c r="N512" t="str">
        <f t="shared" si="70"/>
        <v>Weekend</v>
      </c>
      <c r="O512" s="149">
        <f t="shared" si="71"/>
        <v>44467</v>
      </c>
    </row>
    <row r="513" spans="2:15" ht="14.25" customHeight="1">
      <c r="B513" s="115" t="s">
        <v>269</v>
      </c>
      <c r="C513" s="115" t="s">
        <v>1055</v>
      </c>
      <c r="D513" s="115" t="s">
        <v>84</v>
      </c>
      <c r="E513" s="137">
        <v>19183</v>
      </c>
      <c r="F513" s="42">
        <v>44636</v>
      </c>
      <c r="G513" t="str">
        <f t="shared" si="64"/>
        <v>Wed</v>
      </c>
      <c r="H513" t="str">
        <f t="shared" si="65"/>
        <v>Mar</v>
      </c>
      <c r="I513">
        <f t="shared" ca="1" si="66"/>
        <v>3</v>
      </c>
      <c r="J513" t="str">
        <f t="shared" ca="1" si="67"/>
        <v>3 years 8 months 5 days</v>
      </c>
      <c r="K513" s="149">
        <f t="shared" si="68"/>
        <v>44696</v>
      </c>
      <c r="L513" s="149">
        <f t="shared" si="63"/>
        <v>44720</v>
      </c>
      <c r="M513" s="150">
        <f t="shared" si="69"/>
        <v>12</v>
      </c>
      <c r="N513" t="str">
        <f t="shared" si="70"/>
        <v>Weekday</v>
      </c>
      <c r="O513" s="149">
        <f t="shared" si="71"/>
        <v>45816</v>
      </c>
    </row>
    <row r="514" spans="2:15" ht="14.25" customHeight="1">
      <c r="B514" s="115" t="s">
        <v>268</v>
      </c>
      <c r="C514" s="115" t="s">
        <v>1056</v>
      </c>
      <c r="D514" s="115" t="s">
        <v>87</v>
      </c>
      <c r="E514" s="137">
        <v>24085</v>
      </c>
      <c r="F514" s="42">
        <v>42838</v>
      </c>
      <c r="G514" t="str">
        <f t="shared" si="64"/>
        <v>Thu</v>
      </c>
      <c r="H514" t="str">
        <f t="shared" si="65"/>
        <v>Apr</v>
      </c>
      <c r="I514">
        <f t="shared" ca="1" si="66"/>
        <v>8</v>
      </c>
      <c r="J514" t="str">
        <f t="shared" ca="1" si="67"/>
        <v>8 years 7 months 8 days</v>
      </c>
      <c r="K514" s="149">
        <f t="shared" si="68"/>
        <v>42898</v>
      </c>
      <c r="L514" s="149">
        <f t="shared" si="63"/>
        <v>42922</v>
      </c>
      <c r="M514" s="150">
        <f t="shared" si="69"/>
        <v>16</v>
      </c>
      <c r="N514" t="str">
        <f t="shared" si="70"/>
        <v>Weekday</v>
      </c>
      <c r="O514" s="149">
        <f t="shared" si="71"/>
        <v>44018</v>
      </c>
    </row>
    <row r="515" spans="2:15" ht="14.25" customHeight="1">
      <c r="B515" s="115" t="s">
        <v>271</v>
      </c>
      <c r="C515" s="115" t="s">
        <v>1057</v>
      </c>
      <c r="D515" s="115" t="s">
        <v>87</v>
      </c>
      <c r="E515" s="137">
        <v>22014</v>
      </c>
      <c r="F515" s="42">
        <v>44242</v>
      </c>
      <c r="G515" t="str">
        <f t="shared" si="64"/>
        <v>Mon</v>
      </c>
      <c r="H515" t="str">
        <f t="shared" si="65"/>
        <v>Feb</v>
      </c>
      <c r="I515">
        <f t="shared" ca="1" si="66"/>
        <v>4</v>
      </c>
      <c r="J515" t="str">
        <f t="shared" ca="1" si="67"/>
        <v>4 years 9 months 6 days</v>
      </c>
      <c r="K515" s="149">
        <f t="shared" si="68"/>
        <v>44302</v>
      </c>
      <c r="L515" s="149">
        <f t="shared" si="63"/>
        <v>44326</v>
      </c>
      <c r="M515" s="150">
        <f t="shared" si="69"/>
        <v>8</v>
      </c>
      <c r="N515" t="str">
        <f t="shared" si="70"/>
        <v>Weekday</v>
      </c>
      <c r="O515" s="149">
        <f t="shared" si="71"/>
        <v>45422</v>
      </c>
    </row>
    <row r="516" spans="2:15" ht="14.25" customHeight="1">
      <c r="B516" s="115" t="s">
        <v>269</v>
      </c>
      <c r="C516" s="115" t="s">
        <v>1058</v>
      </c>
      <c r="D516" s="115" t="s">
        <v>84</v>
      </c>
      <c r="E516" s="137">
        <v>31536</v>
      </c>
      <c r="F516" s="42">
        <v>42098</v>
      </c>
      <c r="G516" t="str">
        <f t="shared" si="64"/>
        <v>Sat</v>
      </c>
      <c r="H516" t="str">
        <f t="shared" si="65"/>
        <v>Apr</v>
      </c>
      <c r="I516">
        <f t="shared" ca="1" si="66"/>
        <v>10</v>
      </c>
      <c r="J516" t="str">
        <f t="shared" ca="1" si="67"/>
        <v>10 years 7 months 17 days</v>
      </c>
      <c r="K516" s="149">
        <f t="shared" si="68"/>
        <v>42158</v>
      </c>
      <c r="L516" s="149">
        <f t="shared" si="63"/>
        <v>42181</v>
      </c>
      <c r="M516" s="150">
        <f t="shared" si="69"/>
        <v>14</v>
      </c>
      <c r="N516" t="str">
        <f t="shared" si="70"/>
        <v>Weekend</v>
      </c>
      <c r="O516" s="149">
        <f t="shared" si="71"/>
        <v>43277</v>
      </c>
    </row>
    <row r="517" spans="2:15" ht="14.25" customHeight="1">
      <c r="B517" s="115" t="s">
        <v>271</v>
      </c>
      <c r="C517" s="115" t="s">
        <v>1059</v>
      </c>
      <c r="D517" s="115" t="s">
        <v>84</v>
      </c>
      <c r="E517" s="137">
        <v>22242</v>
      </c>
      <c r="F517" s="42">
        <v>41091</v>
      </c>
      <c r="G517" t="str">
        <f t="shared" si="64"/>
        <v>Sun</v>
      </c>
      <c r="H517" t="str">
        <f t="shared" si="65"/>
        <v>Jul</v>
      </c>
      <c r="I517">
        <f t="shared" ca="1" si="66"/>
        <v>13</v>
      </c>
      <c r="J517" t="str">
        <f t="shared" ca="1" si="67"/>
        <v>13 years 4 months 20 days</v>
      </c>
      <c r="K517" s="149">
        <f t="shared" si="68"/>
        <v>41151</v>
      </c>
      <c r="L517" s="149">
        <f t="shared" si="63"/>
        <v>41173</v>
      </c>
      <c r="M517" s="150">
        <f t="shared" si="69"/>
        <v>27</v>
      </c>
      <c r="N517" t="str">
        <f t="shared" si="70"/>
        <v>Weekend</v>
      </c>
      <c r="O517" s="149">
        <f t="shared" si="71"/>
        <v>42268</v>
      </c>
    </row>
    <row r="518" spans="2:15" ht="14.25" customHeight="1">
      <c r="B518" s="115" t="s">
        <v>270</v>
      </c>
      <c r="C518" s="115" t="s">
        <v>1060</v>
      </c>
      <c r="D518" s="115" t="s">
        <v>84</v>
      </c>
      <c r="E518" s="137">
        <v>29267</v>
      </c>
      <c r="F518" s="42">
        <v>40939</v>
      </c>
      <c r="G518" t="str">
        <f t="shared" si="64"/>
        <v>Tue</v>
      </c>
      <c r="H518" t="str">
        <f t="shared" si="65"/>
        <v>Jan</v>
      </c>
      <c r="I518">
        <f t="shared" ca="1" si="66"/>
        <v>13</v>
      </c>
      <c r="J518" t="str">
        <f t="shared" ca="1" si="67"/>
        <v>13 years 9 months 21 days</v>
      </c>
      <c r="K518" s="149">
        <f t="shared" si="68"/>
        <v>40999</v>
      </c>
      <c r="L518" s="149">
        <f t="shared" ref="L518:L529" si="72">WORKDAY(F518,60,$R$6:$R$7)</f>
        <v>41023</v>
      </c>
      <c r="M518" s="150">
        <f t="shared" si="69"/>
        <v>6</v>
      </c>
      <c r="N518" t="str">
        <f t="shared" si="70"/>
        <v>Weekday</v>
      </c>
      <c r="O518" s="149">
        <f t="shared" si="71"/>
        <v>42118</v>
      </c>
    </row>
    <row r="519" spans="2:15" ht="14.25" customHeight="1">
      <c r="B519" s="115" t="s">
        <v>269</v>
      </c>
      <c r="C519" s="115" t="s">
        <v>1061</v>
      </c>
      <c r="D519" s="115" t="s">
        <v>87</v>
      </c>
      <c r="E519" s="137">
        <v>25318</v>
      </c>
      <c r="F519" s="42">
        <v>42044</v>
      </c>
      <c r="G519" t="str">
        <f t="shared" ref="G519:G529" si="73">TEXT(F519,"DDD")</f>
        <v>Mon</v>
      </c>
      <c r="H519" t="str">
        <f t="shared" ref="H519:H529" si="74">TEXT(F519,"MMM")</f>
        <v>Feb</v>
      </c>
      <c r="I519">
        <f t="shared" ref="I519:I529" ca="1" si="75">DATEDIF(F519,TODAY(),"Y")</f>
        <v>10</v>
      </c>
      <c r="J519" t="str">
        <f t="shared" ref="J519:J529" ca="1" si="76">DATEDIF(F519,TODAY(),"Y")&amp;" years "&amp;DATEDIF(F519,TODAY(),"YM")&amp;" months "&amp;DATEDIF(F519,TODAY(),"MD")&amp;" days"</f>
        <v>10 years 9 months 12 days</v>
      </c>
      <c r="K519" s="149">
        <f t="shared" ref="K519:K529" si="77">F519+60</f>
        <v>42104</v>
      </c>
      <c r="L519" s="149">
        <f t="shared" si="72"/>
        <v>42128</v>
      </c>
      <c r="M519" s="150">
        <f t="shared" ref="M519:M529" si="78">WEEKNUM(F519,2)</f>
        <v>7</v>
      </c>
      <c r="N519" t="str">
        <f t="shared" ref="N519:N529" si="79">IF(WEEKDAY(F519,2)&gt;5,"Weekend","Weekday")</f>
        <v>Weekday</v>
      </c>
      <c r="O519" s="149">
        <f t="shared" ref="O519:O529" si="80">EDATE(L519,36)</f>
        <v>43224</v>
      </c>
    </row>
    <row r="520" spans="2:15" ht="14.25" customHeight="1">
      <c r="B520" s="115" t="s">
        <v>272</v>
      </c>
      <c r="C520" s="115" t="s">
        <v>1062</v>
      </c>
      <c r="D520" s="115" t="s">
        <v>87</v>
      </c>
      <c r="E520" s="137">
        <v>23143</v>
      </c>
      <c r="F520" s="42">
        <v>41636</v>
      </c>
      <c r="G520" t="str">
        <f t="shared" si="73"/>
        <v>Sat</v>
      </c>
      <c r="H520" t="str">
        <f t="shared" si="74"/>
        <v>Dec</v>
      </c>
      <c r="I520">
        <f t="shared" ca="1" si="75"/>
        <v>11</v>
      </c>
      <c r="J520" t="str">
        <f t="shared" ca="1" si="76"/>
        <v>11 years 10 months 24 days</v>
      </c>
      <c r="K520" s="149">
        <f t="shared" si="77"/>
        <v>41696</v>
      </c>
      <c r="L520" s="149">
        <f t="shared" si="72"/>
        <v>41719</v>
      </c>
      <c r="M520" s="150">
        <f t="shared" si="78"/>
        <v>52</v>
      </c>
      <c r="N520" t="str">
        <f t="shared" si="79"/>
        <v>Weekend</v>
      </c>
      <c r="O520" s="149">
        <f t="shared" si="80"/>
        <v>42815</v>
      </c>
    </row>
    <row r="521" spans="2:15" ht="14.25" customHeight="1">
      <c r="B521" s="115" t="s">
        <v>271</v>
      </c>
      <c r="C521" s="115" t="s">
        <v>1063</v>
      </c>
      <c r="D521" s="115" t="s">
        <v>84</v>
      </c>
      <c r="E521" s="137">
        <v>16909</v>
      </c>
      <c r="F521" s="42">
        <v>41902</v>
      </c>
      <c r="G521" t="str">
        <f t="shared" si="73"/>
        <v>Sat</v>
      </c>
      <c r="H521" t="str">
        <f t="shared" si="74"/>
        <v>Sep</v>
      </c>
      <c r="I521">
        <f t="shared" ca="1" si="75"/>
        <v>11</v>
      </c>
      <c r="J521" t="str">
        <f t="shared" ca="1" si="76"/>
        <v>11 years 2 months 1 days</v>
      </c>
      <c r="K521" s="149">
        <f t="shared" si="77"/>
        <v>41962</v>
      </c>
      <c r="L521" s="149">
        <f t="shared" si="72"/>
        <v>41985</v>
      </c>
      <c r="M521" s="150">
        <f t="shared" si="78"/>
        <v>38</v>
      </c>
      <c r="N521" t="str">
        <f t="shared" si="79"/>
        <v>Weekend</v>
      </c>
      <c r="O521" s="149">
        <f t="shared" si="80"/>
        <v>43081</v>
      </c>
    </row>
    <row r="522" spans="2:15" ht="14.25" customHeight="1">
      <c r="B522" s="115" t="s">
        <v>268</v>
      </c>
      <c r="C522" s="115" t="s">
        <v>1064</v>
      </c>
      <c r="D522" s="115" t="s">
        <v>87</v>
      </c>
      <c r="E522" s="137">
        <v>34050</v>
      </c>
      <c r="F522" s="42">
        <v>43447</v>
      </c>
      <c r="G522" t="str">
        <f t="shared" si="73"/>
        <v>Thu</v>
      </c>
      <c r="H522" t="str">
        <f t="shared" si="74"/>
        <v>Dec</v>
      </c>
      <c r="I522">
        <f t="shared" ca="1" si="75"/>
        <v>6</v>
      </c>
      <c r="J522" t="str">
        <f t="shared" ca="1" si="76"/>
        <v>6 years 11 months 8 days</v>
      </c>
      <c r="K522" s="149">
        <f t="shared" si="77"/>
        <v>43507</v>
      </c>
      <c r="L522" s="149">
        <f t="shared" si="72"/>
        <v>43531</v>
      </c>
      <c r="M522" s="150">
        <f t="shared" si="78"/>
        <v>50</v>
      </c>
      <c r="N522" t="str">
        <f t="shared" si="79"/>
        <v>Weekday</v>
      </c>
      <c r="O522" s="149">
        <f t="shared" si="80"/>
        <v>44627</v>
      </c>
    </row>
    <row r="523" spans="2:15" ht="14.25" customHeight="1">
      <c r="B523" s="115" t="s">
        <v>268</v>
      </c>
      <c r="C523" s="115" t="s">
        <v>1065</v>
      </c>
      <c r="D523" s="115" t="s">
        <v>84</v>
      </c>
      <c r="E523" s="137">
        <v>30114</v>
      </c>
      <c r="F523" s="42">
        <v>43241</v>
      </c>
      <c r="G523" t="str">
        <f t="shared" si="73"/>
        <v>Mon</v>
      </c>
      <c r="H523" t="str">
        <f t="shared" si="74"/>
        <v>May</v>
      </c>
      <c r="I523">
        <f t="shared" ca="1" si="75"/>
        <v>7</v>
      </c>
      <c r="J523" t="str">
        <f t="shared" ca="1" si="76"/>
        <v>7 years 6 months 0 days</v>
      </c>
      <c r="K523" s="149">
        <f t="shared" si="77"/>
        <v>43301</v>
      </c>
      <c r="L523" s="149">
        <f t="shared" si="72"/>
        <v>43325</v>
      </c>
      <c r="M523" s="150">
        <f t="shared" si="78"/>
        <v>21</v>
      </c>
      <c r="N523" t="str">
        <f t="shared" si="79"/>
        <v>Weekday</v>
      </c>
      <c r="O523" s="149">
        <f t="shared" si="80"/>
        <v>44421</v>
      </c>
    </row>
    <row r="524" spans="2:15" ht="14.25" customHeight="1">
      <c r="B524" s="115" t="s">
        <v>271</v>
      </c>
      <c r="C524" s="115" t="s">
        <v>1066</v>
      </c>
      <c r="D524" s="115" t="s">
        <v>87</v>
      </c>
      <c r="E524" s="137">
        <v>31092</v>
      </c>
      <c r="F524" s="42">
        <v>41298</v>
      </c>
      <c r="G524" t="str">
        <f t="shared" si="73"/>
        <v>Thu</v>
      </c>
      <c r="H524" t="str">
        <f t="shared" si="74"/>
        <v>Jan</v>
      </c>
      <c r="I524">
        <f t="shared" ca="1" si="75"/>
        <v>12</v>
      </c>
      <c r="J524" t="str">
        <f t="shared" ca="1" si="76"/>
        <v>12 years 9 months 28 days</v>
      </c>
      <c r="K524" s="149">
        <f t="shared" si="77"/>
        <v>41358</v>
      </c>
      <c r="L524" s="149">
        <f t="shared" si="72"/>
        <v>41382</v>
      </c>
      <c r="M524" s="150">
        <f t="shared" si="78"/>
        <v>4</v>
      </c>
      <c r="N524" t="str">
        <f t="shared" si="79"/>
        <v>Weekday</v>
      </c>
      <c r="O524" s="149">
        <f t="shared" si="80"/>
        <v>42478</v>
      </c>
    </row>
    <row r="525" spans="2:15" ht="14.25" customHeight="1">
      <c r="B525" s="115" t="s">
        <v>272</v>
      </c>
      <c r="C525" s="115" t="s">
        <v>1067</v>
      </c>
      <c r="D525" s="115" t="s">
        <v>84</v>
      </c>
      <c r="E525" s="137">
        <v>34540</v>
      </c>
      <c r="F525" s="42">
        <v>42548</v>
      </c>
      <c r="G525" t="str">
        <f t="shared" si="73"/>
        <v>Mon</v>
      </c>
      <c r="H525" t="str">
        <f t="shared" si="74"/>
        <v>Jun</v>
      </c>
      <c r="I525">
        <f t="shared" ca="1" si="75"/>
        <v>9</v>
      </c>
      <c r="J525" t="str">
        <f t="shared" ca="1" si="76"/>
        <v>9 years 4 months 25 days</v>
      </c>
      <c r="K525" s="149">
        <f t="shared" si="77"/>
        <v>42608</v>
      </c>
      <c r="L525" s="149">
        <f t="shared" si="72"/>
        <v>42632</v>
      </c>
      <c r="M525" s="150">
        <f t="shared" si="78"/>
        <v>27</v>
      </c>
      <c r="N525" t="str">
        <f t="shared" si="79"/>
        <v>Weekday</v>
      </c>
      <c r="O525" s="149">
        <f t="shared" si="80"/>
        <v>43727</v>
      </c>
    </row>
    <row r="526" spans="2:15" ht="14.25" customHeight="1">
      <c r="B526" s="115" t="s">
        <v>268</v>
      </c>
      <c r="C526" s="115" t="s">
        <v>1068</v>
      </c>
      <c r="D526" s="115" t="s">
        <v>84</v>
      </c>
      <c r="E526" s="137">
        <v>22922</v>
      </c>
      <c r="F526" s="42">
        <v>43290</v>
      </c>
      <c r="G526" t="str">
        <f t="shared" si="73"/>
        <v>Mon</v>
      </c>
      <c r="H526" t="str">
        <f t="shared" si="74"/>
        <v>Jul</v>
      </c>
      <c r="I526">
        <f t="shared" ca="1" si="75"/>
        <v>7</v>
      </c>
      <c r="J526" t="str">
        <f t="shared" ca="1" si="76"/>
        <v>7 years 4 months 12 days</v>
      </c>
      <c r="K526" s="149">
        <f t="shared" si="77"/>
        <v>43350</v>
      </c>
      <c r="L526" s="149">
        <f t="shared" si="72"/>
        <v>43374</v>
      </c>
      <c r="M526" s="150">
        <f t="shared" si="78"/>
        <v>28</v>
      </c>
      <c r="N526" t="str">
        <f t="shared" si="79"/>
        <v>Weekday</v>
      </c>
      <c r="O526" s="149">
        <f t="shared" si="80"/>
        <v>44470</v>
      </c>
    </row>
    <row r="527" spans="2:15" ht="14.25" customHeight="1">
      <c r="B527" s="115" t="s">
        <v>268</v>
      </c>
      <c r="C527" s="115" t="s">
        <v>1069</v>
      </c>
      <c r="D527" s="115" t="s">
        <v>87</v>
      </c>
      <c r="E527" s="137">
        <v>17850</v>
      </c>
      <c r="F527" s="42">
        <v>42301</v>
      </c>
      <c r="G527" t="str">
        <f t="shared" si="73"/>
        <v>Sat</v>
      </c>
      <c r="H527" t="str">
        <f t="shared" si="74"/>
        <v>Oct</v>
      </c>
      <c r="I527">
        <f t="shared" ca="1" si="75"/>
        <v>10</v>
      </c>
      <c r="J527" t="str">
        <f t="shared" ca="1" si="76"/>
        <v>10 years 0 months 28 days</v>
      </c>
      <c r="K527" s="149">
        <f t="shared" si="77"/>
        <v>42361</v>
      </c>
      <c r="L527" s="149">
        <f t="shared" si="72"/>
        <v>42384</v>
      </c>
      <c r="M527" s="150">
        <f t="shared" si="78"/>
        <v>43</v>
      </c>
      <c r="N527" t="str">
        <f t="shared" si="79"/>
        <v>Weekend</v>
      </c>
      <c r="O527" s="149">
        <f t="shared" si="80"/>
        <v>43480</v>
      </c>
    </row>
    <row r="528" spans="2:15" ht="14.25" customHeight="1">
      <c r="B528" s="115" t="s">
        <v>269</v>
      </c>
      <c r="C528" s="115" t="s">
        <v>1070</v>
      </c>
      <c r="D528" s="115" t="s">
        <v>84</v>
      </c>
      <c r="E528" s="137">
        <v>26729</v>
      </c>
      <c r="F528" s="42">
        <v>43600</v>
      </c>
      <c r="G528" t="str">
        <f t="shared" si="73"/>
        <v>Wed</v>
      </c>
      <c r="H528" t="str">
        <f t="shared" si="74"/>
        <v>May</v>
      </c>
      <c r="I528">
        <f t="shared" ca="1" si="75"/>
        <v>6</v>
      </c>
      <c r="J528" t="str">
        <f t="shared" ca="1" si="76"/>
        <v>6 years 6 months 6 days</v>
      </c>
      <c r="K528" s="149">
        <f t="shared" si="77"/>
        <v>43660</v>
      </c>
      <c r="L528" s="149">
        <f t="shared" si="72"/>
        <v>43684</v>
      </c>
      <c r="M528" s="150">
        <f t="shared" si="78"/>
        <v>20</v>
      </c>
      <c r="N528" t="str">
        <f t="shared" si="79"/>
        <v>Weekday</v>
      </c>
      <c r="O528" s="149">
        <f t="shared" si="80"/>
        <v>44780</v>
      </c>
    </row>
    <row r="529" spans="2:15" ht="14.25" customHeight="1">
      <c r="B529" s="115" t="s">
        <v>269</v>
      </c>
      <c r="C529" s="115" t="s">
        <v>1071</v>
      </c>
      <c r="D529" s="115" t="s">
        <v>87</v>
      </c>
      <c r="E529" s="137">
        <v>29512</v>
      </c>
      <c r="F529" s="42">
        <v>44021</v>
      </c>
      <c r="G529" t="str">
        <f t="shared" si="73"/>
        <v>Thu</v>
      </c>
      <c r="H529" t="str">
        <f t="shared" si="74"/>
        <v>Jul</v>
      </c>
      <c r="I529">
        <f t="shared" ca="1" si="75"/>
        <v>5</v>
      </c>
      <c r="J529" t="str">
        <f t="shared" ca="1" si="76"/>
        <v>5 years 4 months 12 days</v>
      </c>
      <c r="K529" s="149">
        <f t="shared" si="77"/>
        <v>44081</v>
      </c>
      <c r="L529" s="149">
        <f t="shared" si="72"/>
        <v>44105</v>
      </c>
      <c r="M529" s="150">
        <f t="shared" si="78"/>
        <v>28</v>
      </c>
      <c r="N529" t="str">
        <f t="shared" si="79"/>
        <v>Weekday</v>
      </c>
      <c r="O529" s="149">
        <f t="shared" si="80"/>
        <v>45200</v>
      </c>
    </row>
  </sheetData>
  <pageMargins left="0.7" right="0.7" top="0.75" bottom="0.7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4:I14"/>
  <sheetViews>
    <sheetView zoomScale="145" zoomScaleNormal="145" workbookViewId="0">
      <selection activeCell="B6" sqref="B6"/>
    </sheetView>
  </sheetViews>
  <sheetFormatPr defaultColWidth="12.6640625" defaultRowHeight="15" customHeight="1"/>
  <cols>
    <col min="1" max="1" width="29.109375" bestFit="1" customWidth="1"/>
  </cols>
  <sheetData>
    <row r="4" spans="1:9">
      <c r="A4" s="43" t="s">
        <v>273</v>
      </c>
      <c r="B4" s="44"/>
      <c r="C4" s="44"/>
      <c r="D4" s="44"/>
      <c r="E4" s="44"/>
      <c r="F4" s="44"/>
      <c r="G4" s="44"/>
      <c r="H4" s="44"/>
      <c r="I4" s="44"/>
    </row>
    <row r="5" spans="1:9">
      <c r="A5" s="44"/>
      <c r="B5" s="44"/>
      <c r="C5" s="44"/>
      <c r="D5" s="166" t="s">
        <v>274</v>
      </c>
      <c r="E5" s="167"/>
      <c r="F5" s="167"/>
      <c r="G5" s="167"/>
      <c r="H5" s="167"/>
      <c r="I5" s="167"/>
    </row>
    <row r="6" spans="1:9">
      <c r="A6" s="44" t="s">
        <v>275</v>
      </c>
      <c r="B6" s="45">
        <v>2500</v>
      </c>
      <c r="C6" s="44"/>
      <c r="D6" s="166" t="s">
        <v>276</v>
      </c>
      <c r="E6" s="167"/>
      <c r="F6" s="167"/>
      <c r="G6" s="167"/>
      <c r="H6" s="167"/>
      <c r="I6" s="167"/>
    </row>
    <row r="7" spans="1:9">
      <c r="A7" s="44" t="s">
        <v>277</v>
      </c>
      <c r="B7" s="44">
        <v>10</v>
      </c>
      <c r="C7" s="44"/>
      <c r="D7" s="44"/>
      <c r="E7" s="44"/>
      <c r="F7" s="44"/>
      <c r="G7" s="44"/>
      <c r="H7" s="44"/>
      <c r="I7" s="44"/>
    </row>
    <row r="8" spans="1:9">
      <c r="A8" s="44" t="s">
        <v>266</v>
      </c>
      <c r="B8" s="46">
        <f>B6*B7</f>
        <v>25000</v>
      </c>
      <c r="C8" s="44"/>
      <c r="D8" s="44"/>
      <c r="E8" s="44"/>
      <c r="F8" s="44"/>
      <c r="G8" s="44"/>
      <c r="H8" s="44"/>
      <c r="I8" s="44"/>
    </row>
    <row r="9" spans="1:9">
      <c r="A9" s="44"/>
      <c r="B9" s="44"/>
      <c r="C9" s="44"/>
      <c r="D9" s="44"/>
      <c r="E9" s="44"/>
      <c r="F9" s="44"/>
      <c r="G9" s="44"/>
      <c r="H9" s="44"/>
      <c r="I9" s="44"/>
    </row>
    <row r="10" spans="1:9">
      <c r="A10" s="44" t="s">
        <v>278</v>
      </c>
      <c r="B10" s="44">
        <v>4</v>
      </c>
      <c r="C10" s="44"/>
      <c r="D10" s="44"/>
      <c r="E10" s="44"/>
      <c r="F10" s="44"/>
      <c r="G10" s="44"/>
      <c r="H10" s="44"/>
      <c r="I10" s="44"/>
    </row>
    <row r="11" spans="1:9">
      <c r="A11" s="44" t="s">
        <v>279</v>
      </c>
      <c r="B11" s="46">
        <f>B6*B10</f>
        <v>10000</v>
      </c>
      <c r="C11" s="44"/>
      <c r="D11" s="44"/>
      <c r="E11" s="44"/>
      <c r="F11" s="44"/>
      <c r="G11" s="44"/>
      <c r="H11" s="44"/>
      <c r="I11" s="44"/>
    </row>
    <row r="12" spans="1:9">
      <c r="A12" s="44"/>
      <c r="B12" s="44"/>
      <c r="C12" s="44"/>
      <c r="D12" s="44"/>
      <c r="E12" s="44"/>
      <c r="F12" s="44"/>
      <c r="G12" s="44"/>
      <c r="H12" s="44"/>
      <c r="I12" s="44"/>
    </row>
    <row r="13" spans="1:9">
      <c r="A13" s="44" t="s">
        <v>280</v>
      </c>
      <c r="B13" s="47">
        <f>B8-B11</f>
        <v>15000</v>
      </c>
      <c r="C13" s="44"/>
      <c r="D13" s="44"/>
      <c r="E13" s="44"/>
      <c r="F13" s="44"/>
      <c r="G13" s="44"/>
      <c r="H13" s="44"/>
      <c r="I13" s="44"/>
    </row>
    <row r="14" spans="1:9"/>
  </sheetData>
  <mergeCells count="2">
    <mergeCell ref="D5:I5"/>
    <mergeCell ref="D6:I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G20"/>
  <sheetViews>
    <sheetView tabSelected="1" topLeftCell="A10" zoomScale="250" zoomScaleNormal="250" workbookViewId="0">
      <selection activeCell="B17" sqref="B17"/>
    </sheetView>
  </sheetViews>
  <sheetFormatPr defaultColWidth="12.6640625" defaultRowHeight="15" customHeight="1"/>
  <cols>
    <col min="1" max="1" width="18.44140625" customWidth="1"/>
    <col min="2" max="2" width="14.33203125" customWidth="1"/>
    <col min="3" max="3" width="11.6640625" customWidth="1"/>
    <col min="4" max="4" width="12.6640625" customWidth="1"/>
    <col min="5" max="6" width="15.6640625" customWidth="1"/>
    <col min="7" max="7" width="10.33203125" bestFit="1" customWidth="1"/>
    <col min="8" max="26" width="8.6640625" customWidth="1"/>
  </cols>
  <sheetData>
    <row r="2" spans="1:5" ht="14.25" customHeight="1">
      <c r="A2" s="25" t="s">
        <v>281</v>
      </c>
      <c r="B2" s="99">
        <v>500</v>
      </c>
      <c r="E2" s="99"/>
    </row>
    <row r="3" spans="1:5" ht="14.25" customHeight="1">
      <c r="A3" s="25" t="s">
        <v>282</v>
      </c>
      <c r="B3" s="109">
        <v>0</v>
      </c>
    </row>
    <row r="4" spans="1:5" ht="14.25" customHeight="1">
      <c r="A4" s="25" t="s">
        <v>283</v>
      </c>
      <c r="B4">
        <v>44.764846263235945</v>
      </c>
    </row>
    <row r="5" spans="1:5" ht="15" customHeight="1">
      <c r="B5" s="99">
        <f>FV(B3/12,B4*12,-B2,0)</f>
        <v>268589.07757941569</v>
      </c>
    </row>
    <row r="11" spans="1:5" ht="15" customHeight="1">
      <c r="D11" s="99"/>
    </row>
    <row r="13" spans="1:5" ht="15" customHeight="1">
      <c r="A13" s="115" t="s">
        <v>8</v>
      </c>
      <c r="B13">
        <v>120000</v>
      </c>
      <c r="E13" s="111"/>
    </row>
    <row r="14" spans="1:5" ht="15" customHeight="1">
      <c r="A14" s="115" t="s">
        <v>284</v>
      </c>
      <c r="B14">
        <v>12000</v>
      </c>
      <c r="E14" s="110"/>
    </row>
    <row r="15" spans="1:5" ht="15" customHeight="1">
      <c r="A15" s="115" t="s">
        <v>285</v>
      </c>
      <c r="B15">
        <f>B13-B14</f>
        <v>108000</v>
      </c>
      <c r="E15" s="110"/>
    </row>
    <row r="16" spans="1:5" ht="15" customHeight="1">
      <c r="A16" s="115" t="s">
        <v>286</v>
      </c>
      <c r="B16" s="95">
        <v>0.03</v>
      </c>
      <c r="E16" s="110"/>
    </row>
    <row r="17" spans="1:7" ht="15" customHeight="1">
      <c r="A17" s="115" t="s">
        <v>287</v>
      </c>
      <c r="B17" s="110"/>
      <c r="E17" s="110"/>
      <c r="F17" s="99"/>
      <c r="G17" s="99"/>
    </row>
    <row r="18" spans="1:7" ht="15" customHeight="1">
      <c r="A18" s="115" t="s">
        <v>288</v>
      </c>
      <c r="B18">
        <v>7</v>
      </c>
      <c r="E18" s="99"/>
      <c r="F18" s="99"/>
      <c r="G18" s="99"/>
    </row>
    <row r="19" spans="1:7" ht="15" customHeight="1">
      <c r="E19" s="99"/>
      <c r="F19" s="99"/>
      <c r="G19" s="99"/>
    </row>
    <row r="20" spans="1:7" ht="15" customHeight="1">
      <c r="E20" s="99"/>
      <c r="F20" s="99"/>
      <c r="G20" s="99"/>
    </row>
  </sheetData>
  <pageMargins left="0.7" right="0.7" top="0.75" bottom="0.75" header="0" footer="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C5:I11"/>
  <sheetViews>
    <sheetView zoomScale="145" zoomScaleNormal="145" workbookViewId="0"/>
  </sheetViews>
  <sheetFormatPr defaultColWidth="12.6640625" defaultRowHeight="15" customHeight="1"/>
  <cols>
    <col min="1" max="2" width="8.6640625" customWidth="1"/>
    <col min="3" max="3" width="13.109375" customWidth="1"/>
    <col min="4" max="4" width="8.6640625" customWidth="1"/>
    <col min="5" max="5" width="14" customWidth="1"/>
    <col min="6" max="6" width="8.6640625" customWidth="1"/>
    <col min="7" max="7" width="10.6640625" customWidth="1"/>
    <col min="8" max="26" width="8.6640625" customWidth="1"/>
  </cols>
  <sheetData>
    <row r="5" spans="3:9" ht="14.25" customHeight="1">
      <c r="C5" s="108" t="s">
        <v>289</v>
      </c>
      <c r="D5" s="108" t="s">
        <v>290</v>
      </c>
      <c r="E5" s="108" t="s">
        <v>291</v>
      </c>
      <c r="F5" s="108" t="s">
        <v>267</v>
      </c>
      <c r="G5" s="108" t="s">
        <v>292</v>
      </c>
      <c r="I5" s="48" t="s">
        <v>263</v>
      </c>
    </row>
    <row r="6" spans="3:9" ht="14.25" customHeight="1">
      <c r="C6" s="105"/>
      <c r="D6" s="105"/>
      <c r="E6" s="105"/>
      <c r="F6" s="105"/>
      <c r="G6" s="105"/>
      <c r="I6" s="15" t="s">
        <v>270</v>
      </c>
    </row>
    <row r="7" spans="3:9" ht="14.25" customHeight="1">
      <c r="C7" s="105"/>
      <c r="D7" s="105"/>
      <c r="E7" s="105"/>
      <c r="F7" s="105"/>
      <c r="G7" s="105"/>
      <c r="I7" s="15" t="s">
        <v>270</v>
      </c>
    </row>
    <row r="8" spans="3:9" ht="14.25" customHeight="1">
      <c r="C8" s="105"/>
      <c r="D8" s="105"/>
      <c r="E8" s="105"/>
      <c r="F8" s="105"/>
      <c r="G8" s="105"/>
      <c r="I8" s="15" t="s">
        <v>293</v>
      </c>
    </row>
    <row r="9" spans="3:9" ht="14.25" customHeight="1">
      <c r="C9" s="105"/>
      <c r="D9" s="105"/>
      <c r="E9" s="105"/>
      <c r="F9" s="105"/>
      <c r="G9" s="105"/>
      <c r="I9" s="15" t="s">
        <v>294</v>
      </c>
    </row>
    <row r="10" spans="3:9" ht="14.25" customHeight="1">
      <c r="C10" s="105"/>
      <c r="D10" s="105"/>
      <c r="E10" s="105"/>
      <c r="F10" s="105"/>
      <c r="G10" s="105"/>
      <c r="I10" s="15" t="s">
        <v>295</v>
      </c>
    </row>
    <row r="11" spans="3:9" ht="14.25" customHeight="1">
      <c r="C11" s="105"/>
      <c r="D11" s="105"/>
      <c r="E11" s="105"/>
      <c r="F11" s="105"/>
      <c r="G11" s="105"/>
      <c r="I11" s="15" t="s">
        <v>296</v>
      </c>
    </row>
  </sheetData>
  <pageMargins left="0.7" right="0.7" top="0.75" bottom="0.75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C4:M15"/>
  <sheetViews>
    <sheetView topLeftCell="E8" zoomScale="235" zoomScaleNormal="235" workbookViewId="0">
      <selection activeCell="G11" sqref="G11"/>
    </sheetView>
  </sheetViews>
  <sheetFormatPr defaultColWidth="12.6640625" defaultRowHeight="15" customHeight="1"/>
  <cols>
    <col min="1" max="4" width="8.6640625" customWidth="1"/>
    <col min="5" max="5" width="10.44140625" customWidth="1"/>
    <col min="6" max="10" width="10.33203125" bestFit="1" customWidth="1"/>
    <col min="11" max="26" width="8.6640625" customWidth="1"/>
  </cols>
  <sheetData>
    <row r="4" spans="3:13" ht="14.25" customHeight="1"/>
    <row r="5" spans="3:13" ht="14.25" customHeight="1"/>
    <row r="6" spans="3:13" ht="14.25" customHeight="1"/>
    <row r="7" spans="3:13" ht="14.25" customHeight="1"/>
    <row r="8" spans="3:13" ht="14.25" customHeight="1">
      <c r="C8" s="168" t="s">
        <v>297</v>
      </c>
      <c r="D8" s="169"/>
      <c r="E8" s="169"/>
      <c r="F8" s="156">
        <v>45962</v>
      </c>
      <c r="G8" s="156">
        <v>45963</v>
      </c>
      <c r="H8" s="156">
        <v>45964</v>
      </c>
      <c r="I8" s="156">
        <v>45965</v>
      </c>
      <c r="J8" s="156">
        <v>45966</v>
      </c>
      <c r="K8" s="170" t="s">
        <v>1118</v>
      </c>
      <c r="L8" s="171"/>
    </row>
    <row r="9" spans="3:13" ht="14.25" customHeight="1">
      <c r="C9" s="15" t="s">
        <v>298</v>
      </c>
      <c r="D9" s="15" t="s">
        <v>137</v>
      </c>
      <c r="E9" s="155" t="s">
        <v>299</v>
      </c>
      <c r="F9" s="157" t="str">
        <f>TEXT(F8,"DDDD")</f>
        <v>Saturday</v>
      </c>
      <c r="G9" s="157" t="str">
        <f t="shared" ref="G9:J9" si="0">TEXT(G8,"DDDD")</f>
        <v>Sunday</v>
      </c>
      <c r="H9" s="157" t="str">
        <f t="shared" si="0"/>
        <v>Monday</v>
      </c>
      <c r="I9" s="157" t="str">
        <f t="shared" si="0"/>
        <v>Tuesday</v>
      </c>
      <c r="J9" s="157" t="str">
        <f t="shared" si="0"/>
        <v>Wednesday</v>
      </c>
      <c r="K9" s="95">
        <f>AVERAGE(F15:J15)</f>
        <v>0.65</v>
      </c>
      <c r="L9" s="95">
        <f>1-K9</f>
        <v>0.35</v>
      </c>
      <c r="M9" s="141" t="s">
        <v>1119</v>
      </c>
    </row>
    <row r="10" spans="3:13" ht="15" customHeight="1">
      <c r="C10" s="15">
        <v>1</v>
      </c>
      <c r="D10" s="15" t="s">
        <v>300</v>
      </c>
      <c r="E10" s="155" t="s">
        <v>301</v>
      </c>
      <c r="F10" s="158" t="b">
        <v>1</v>
      </c>
      <c r="G10" s="158" t="b">
        <v>1</v>
      </c>
      <c r="H10" s="158" t="b">
        <v>1</v>
      </c>
      <c r="I10" s="158" t="b">
        <v>1</v>
      </c>
      <c r="J10" s="158" t="b">
        <v>1</v>
      </c>
      <c r="M10" s="160" t="str">
        <f>REPT("|",COUNTIF(F10:J10,TRUE)/5*100)&amp;TEXT(COUNTIF(F10:J10,TRUE)/5,"0.00%")</f>
        <v>||||||||||||||||||||||||||||||||||||||||||||||||||||||||||||||||||||||||||||||||||||||||||||||||||||100.00%</v>
      </c>
    </row>
    <row r="11" spans="3:13" ht="15" customHeight="1">
      <c r="C11" s="15">
        <v>2</v>
      </c>
      <c r="D11" s="15" t="s">
        <v>302</v>
      </c>
      <c r="E11" s="155" t="s">
        <v>231</v>
      </c>
      <c r="F11" s="158" t="b">
        <v>1</v>
      </c>
      <c r="G11" s="158" t="b">
        <v>1</v>
      </c>
      <c r="H11" s="158" t="b">
        <v>1</v>
      </c>
      <c r="I11" s="158" t="b">
        <v>1</v>
      </c>
      <c r="J11" s="158" t="b">
        <v>1</v>
      </c>
      <c r="M11" s="160" t="str">
        <f t="shared" ref="M11:M13" si="1">REPT("|",COUNTIF(F11:J11,TRUE)/5*100)&amp;TEXT(COUNTIF(F11:J11,TRUE)/5,"0.00%")</f>
        <v>||||||||||||||||||||||||||||||||||||||||||||||||||||||||||||||||||||||||||||||||||||||||||||||||||||100.00%</v>
      </c>
    </row>
    <row r="12" spans="3:13" ht="15" customHeight="1">
      <c r="C12" s="15">
        <v>3</v>
      </c>
      <c r="D12" s="15" t="s">
        <v>303</v>
      </c>
      <c r="E12" s="155" t="s">
        <v>231</v>
      </c>
      <c r="F12" s="158" t="b">
        <v>1</v>
      </c>
      <c r="G12" s="158" t="b">
        <v>0</v>
      </c>
      <c r="H12" s="158" t="b">
        <v>1</v>
      </c>
      <c r="I12" s="158" t="b">
        <v>0</v>
      </c>
      <c r="J12" s="158" t="b">
        <v>0</v>
      </c>
      <c r="M12" s="160" t="str">
        <f t="shared" si="1"/>
        <v>||||||||||||||||||||||||||||||||||||||||40.00%</v>
      </c>
    </row>
    <row r="13" spans="3:13" ht="15" customHeight="1">
      <c r="C13" s="15">
        <v>4</v>
      </c>
      <c r="D13" s="15" t="s">
        <v>304</v>
      </c>
      <c r="E13" s="155" t="s">
        <v>79</v>
      </c>
      <c r="F13" s="158" t="b">
        <v>0</v>
      </c>
      <c r="G13" s="158" t="b">
        <v>0</v>
      </c>
      <c r="H13" s="158" t="b">
        <v>1</v>
      </c>
      <c r="I13" s="158" t="b">
        <v>0</v>
      </c>
      <c r="J13" s="158" t="b">
        <v>0</v>
      </c>
      <c r="M13" s="160" t="str">
        <f t="shared" si="1"/>
        <v>||||||||||||||||||||20.00%</v>
      </c>
    </row>
    <row r="14" spans="3:13" ht="15" customHeight="1">
      <c r="F14" s="143" t="str">
        <f>COUNTIF(F10:F13,TRUE)&amp;"/"&amp;COUNTA(F10:F13)</f>
        <v>3/4</v>
      </c>
      <c r="G14" s="143" t="str">
        <f t="shared" ref="G14:J14" si="2">COUNTIF(G10:G13,TRUE)&amp;"/"&amp;COUNTA(G10:G13)</f>
        <v>2/4</v>
      </c>
      <c r="H14" s="143" t="str">
        <f t="shared" si="2"/>
        <v>4/4</v>
      </c>
      <c r="I14" s="143" t="str">
        <f t="shared" si="2"/>
        <v>2/4</v>
      </c>
      <c r="J14" s="143" t="str">
        <f t="shared" si="2"/>
        <v>2/4</v>
      </c>
      <c r="M14" s="160"/>
    </row>
    <row r="15" spans="3:13" ht="15" customHeight="1">
      <c r="F15" s="159">
        <f>COUNTIF(F10:F13,TRUE)/COUNTA(F10:F13)</f>
        <v>0.75</v>
      </c>
      <c r="G15" s="159">
        <f t="shared" ref="G15:J15" si="3">COUNTIF(G10:G13,TRUE)/COUNTA(G10:G13)</f>
        <v>0.5</v>
      </c>
      <c r="H15" s="159">
        <f t="shared" si="3"/>
        <v>1</v>
      </c>
      <c r="I15" s="159">
        <f t="shared" si="3"/>
        <v>0.5</v>
      </c>
      <c r="J15" s="159">
        <f t="shared" si="3"/>
        <v>0.5</v>
      </c>
      <c r="M15" s="160"/>
    </row>
  </sheetData>
  <mergeCells count="2">
    <mergeCell ref="C8:E8"/>
    <mergeCell ref="K8:L8"/>
  </mergeCells>
  <conditionalFormatting sqref="F8:J13">
    <cfRule type="expression" dxfId="0" priority="1">
      <formula>OR(F$9="Saturday",F$9="Sunday")</formula>
    </cfRule>
  </conditionalFormatting>
  <pageMargins left="0.7" right="0.7" top="0.75" bottom="0.75" header="0" footer="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C3:M368"/>
  <sheetViews>
    <sheetView topLeftCell="D10" zoomScale="175" zoomScaleNormal="175" workbookViewId="0">
      <selection activeCell="L10" sqref="L10"/>
    </sheetView>
  </sheetViews>
  <sheetFormatPr defaultColWidth="12.6640625" defaultRowHeight="15" customHeight="1"/>
  <cols>
    <col min="1" max="4" width="8.6640625" customWidth="1"/>
    <col min="5" max="5" width="18.88671875" bestFit="1" customWidth="1"/>
    <col min="6" max="6" width="11.6640625" customWidth="1"/>
    <col min="7" max="7" width="8.6640625" customWidth="1"/>
    <col min="8" max="8" width="7.5546875" customWidth="1"/>
    <col min="9" max="9" width="12.6640625" customWidth="1"/>
    <col min="10" max="10" width="17.33203125" customWidth="1"/>
    <col min="11" max="11" width="12.33203125" customWidth="1"/>
    <col min="12" max="12" width="14" customWidth="1"/>
    <col min="13" max="13" width="13.33203125" customWidth="1"/>
    <col min="14" max="26" width="8.6640625" customWidth="1"/>
  </cols>
  <sheetData>
    <row r="3" spans="3:13" ht="28.8">
      <c r="E3" s="174" t="s">
        <v>305</v>
      </c>
      <c r="F3" s="175"/>
      <c r="G3" s="175"/>
      <c r="H3" s="175"/>
      <c r="I3" s="175"/>
      <c r="J3" s="175"/>
      <c r="K3" s="175"/>
      <c r="L3" s="175"/>
      <c r="M3" s="175"/>
    </row>
    <row r="4" spans="3:13" ht="14.25" customHeight="1"/>
    <row r="5" spans="3:13" ht="14.25" customHeight="1"/>
    <row r="6" spans="3:13" ht="14.25" customHeight="1">
      <c r="E6" s="25"/>
    </row>
    <row r="7" spans="3:13" ht="14.25" customHeight="1">
      <c r="E7" s="172" t="s">
        <v>306</v>
      </c>
      <c r="F7" s="173"/>
      <c r="H7" s="49" t="s">
        <v>3</v>
      </c>
      <c r="I7" s="49" t="s">
        <v>307</v>
      </c>
      <c r="J7" s="49" t="s">
        <v>308</v>
      </c>
      <c r="K7" s="49" t="s">
        <v>309</v>
      </c>
      <c r="L7" s="49" t="s">
        <v>310</v>
      </c>
      <c r="M7" s="49" t="s">
        <v>311</v>
      </c>
    </row>
    <row r="8" spans="3:13" ht="14.25" customHeight="1">
      <c r="H8" s="2">
        <v>0</v>
      </c>
      <c r="I8" s="50"/>
      <c r="J8" s="13"/>
      <c r="K8" s="12"/>
      <c r="L8" s="12"/>
      <c r="M8" s="12">
        <f>F9</f>
        <v>500000</v>
      </c>
    </row>
    <row r="9" spans="3:13" ht="14.25" customHeight="1">
      <c r="E9" s="11" t="s">
        <v>312</v>
      </c>
      <c r="F9" s="12">
        <v>500000</v>
      </c>
      <c r="H9" s="2">
        <v>1</v>
      </c>
      <c r="I9" s="50">
        <f>$F$10</f>
        <v>3.5000000000000003E-2</v>
      </c>
      <c r="J9" s="13">
        <f>$F$13</f>
        <v>2245.2234390441222</v>
      </c>
      <c r="K9" s="13">
        <f>IPMT(I9/12,H9,$F$12,-$F$9,0)</f>
        <v>1458.3333333333335</v>
      </c>
      <c r="L9" s="12">
        <f>J9-K9</f>
        <v>786.8901057107887</v>
      </c>
      <c r="M9" s="12">
        <f>M8-L9</f>
        <v>499213.10989428923</v>
      </c>
    </row>
    <row r="10" spans="3:13" ht="14.25" customHeight="1">
      <c r="E10" s="11" t="s">
        <v>313</v>
      </c>
      <c r="F10" s="50">
        <v>3.5000000000000003E-2</v>
      </c>
      <c r="H10" s="2">
        <v>2</v>
      </c>
      <c r="I10" s="50">
        <f t="shared" ref="I10:I73" si="0">$F$10</f>
        <v>3.5000000000000003E-2</v>
      </c>
      <c r="J10" s="13">
        <f t="shared" ref="J10:J73" si="1">$F$13</f>
        <v>2245.2234390441222</v>
      </c>
      <c r="K10" s="13">
        <f t="shared" ref="K10:K73" si="2">IPMT(I10/12,H10,$F$12,-$F$9,0)</f>
        <v>1456.0382371916769</v>
      </c>
      <c r="L10" s="12">
        <f t="shared" ref="L10:L73" si="3">J10-K10</f>
        <v>789.18520185244529</v>
      </c>
      <c r="M10" s="12">
        <f t="shared" ref="M10:M73" si="4">M9-L10</f>
        <v>498423.92469243676</v>
      </c>
    </row>
    <row r="11" spans="3:13" ht="14.25" customHeight="1">
      <c r="E11" s="11" t="s">
        <v>314</v>
      </c>
      <c r="F11" s="10">
        <v>30</v>
      </c>
      <c r="H11" s="2">
        <v>3</v>
      </c>
      <c r="I11" s="50">
        <f t="shared" si="0"/>
        <v>3.5000000000000003E-2</v>
      </c>
      <c r="J11" s="13">
        <f t="shared" si="1"/>
        <v>2245.2234390441222</v>
      </c>
      <c r="K11" s="13">
        <f t="shared" si="2"/>
        <v>1453.7364470196073</v>
      </c>
      <c r="L11" s="12">
        <f t="shared" si="3"/>
        <v>791.48699202451485</v>
      </c>
      <c r="M11" s="12">
        <f t="shared" si="4"/>
        <v>497632.43770041224</v>
      </c>
    </row>
    <row r="12" spans="3:13" ht="14.25" customHeight="1">
      <c r="E12" s="11" t="s">
        <v>315</v>
      </c>
      <c r="F12" s="10">
        <f>30*12</f>
        <v>360</v>
      </c>
      <c r="H12" s="2">
        <v>4</v>
      </c>
      <c r="I12" s="50">
        <f t="shared" si="0"/>
        <v>3.5000000000000003E-2</v>
      </c>
      <c r="J12" s="13">
        <f t="shared" si="1"/>
        <v>2245.2234390441222</v>
      </c>
      <c r="K12" s="13">
        <f t="shared" si="2"/>
        <v>1451.4279432928688</v>
      </c>
      <c r="L12" s="12">
        <f t="shared" si="3"/>
        <v>793.79549575125338</v>
      </c>
      <c r="M12" s="12">
        <f t="shared" si="4"/>
        <v>496838.64220466098</v>
      </c>
    </row>
    <row r="13" spans="3:13" ht="14.25" customHeight="1">
      <c r="C13" s="176" t="s">
        <v>316</v>
      </c>
      <c r="D13" s="128" t="s">
        <v>317</v>
      </c>
      <c r="E13" s="2" t="s">
        <v>318</v>
      </c>
      <c r="F13" s="51">
        <f>PMT(F10/12,F11*12,-F9,0)</f>
        <v>2245.2234390441222</v>
      </c>
      <c r="H13" s="2">
        <v>5</v>
      </c>
      <c r="I13" s="50">
        <f t="shared" si="0"/>
        <v>3.5000000000000003E-2</v>
      </c>
      <c r="J13" s="13">
        <f t="shared" si="1"/>
        <v>2245.2234390441222</v>
      </c>
      <c r="K13" s="13">
        <f t="shared" si="2"/>
        <v>1449.1127064302614</v>
      </c>
      <c r="L13" s="12">
        <f t="shared" si="3"/>
        <v>796.11073261386082</v>
      </c>
      <c r="M13" s="12">
        <f t="shared" si="4"/>
        <v>496042.53147204709</v>
      </c>
    </row>
    <row r="14" spans="3:13" ht="14.25" customHeight="1">
      <c r="C14" s="177"/>
      <c r="D14" s="128" t="s">
        <v>319</v>
      </c>
      <c r="E14" s="2" t="s">
        <v>320</v>
      </c>
      <c r="F14" s="52">
        <f>IPMT(F10/12,1,F12,-F9,0)</f>
        <v>1458.3333333333335</v>
      </c>
      <c r="H14" s="2">
        <v>6</v>
      </c>
      <c r="I14" s="50">
        <f t="shared" si="0"/>
        <v>3.5000000000000003E-2</v>
      </c>
      <c r="J14" s="13">
        <f t="shared" si="1"/>
        <v>2245.2234390441222</v>
      </c>
      <c r="K14" s="13">
        <f t="shared" si="2"/>
        <v>1446.7907167934707</v>
      </c>
      <c r="L14" s="12">
        <f t="shared" si="3"/>
        <v>798.43272225065152</v>
      </c>
      <c r="M14" s="12">
        <f t="shared" si="4"/>
        <v>495244.09874979645</v>
      </c>
    </row>
    <row r="15" spans="3:13" ht="14.25" customHeight="1">
      <c r="H15" s="2">
        <v>7</v>
      </c>
      <c r="I15" s="50">
        <f t="shared" si="0"/>
        <v>3.5000000000000003E-2</v>
      </c>
      <c r="J15" s="13">
        <f t="shared" si="1"/>
        <v>2245.2234390441222</v>
      </c>
      <c r="K15" s="13">
        <f t="shared" si="2"/>
        <v>1444.4619546869064</v>
      </c>
      <c r="L15" s="12">
        <f t="shared" si="3"/>
        <v>800.76148435721575</v>
      </c>
      <c r="M15" s="12">
        <f t="shared" si="4"/>
        <v>494443.33726543922</v>
      </c>
    </row>
    <row r="16" spans="3:13" ht="14.25" customHeight="1">
      <c r="C16" s="176" t="s">
        <v>321</v>
      </c>
      <c r="D16" s="128" t="s">
        <v>317</v>
      </c>
      <c r="E16" s="2" t="s">
        <v>322</v>
      </c>
      <c r="F16" s="51"/>
      <c r="H16" s="2">
        <v>8</v>
      </c>
      <c r="I16" s="50">
        <f t="shared" si="0"/>
        <v>3.5000000000000003E-2</v>
      </c>
      <c r="J16" s="13">
        <f t="shared" si="1"/>
        <v>2245.2234390441222</v>
      </c>
      <c r="K16" s="13">
        <f t="shared" si="2"/>
        <v>1442.1264003575311</v>
      </c>
      <c r="L16" s="12">
        <f t="shared" si="3"/>
        <v>803.09703868659108</v>
      </c>
      <c r="M16" s="12">
        <f t="shared" si="4"/>
        <v>493640.24022675265</v>
      </c>
    </row>
    <row r="17" spans="3:13" ht="14.25" customHeight="1">
      <c r="C17" s="177"/>
      <c r="D17" s="128" t="s">
        <v>319</v>
      </c>
      <c r="E17" s="2" t="s">
        <v>323</v>
      </c>
      <c r="F17" s="52"/>
      <c r="H17" s="2">
        <v>9</v>
      </c>
      <c r="I17" s="50">
        <f t="shared" si="0"/>
        <v>3.5000000000000003E-2</v>
      </c>
      <c r="J17" s="13">
        <f t="shared" si="1"/>
        <v>2245.2234390441222</v>
      </c>
      <c r="K17" s="13">
        <f t="shared" si="2"/>
        <v>1439.7840339946954</v>
      </c>
      <c r="L17" s="12">
        <f t="shared" si="3"/>
        <v>805.4394050494268</v>
      </c>
      <c r="M17" s="12">
        <f t="shared" si="4"/>
        <v>492834.80082170322</v>
      </c>
    </row>
    <row r="18" spans="3:13" ht="14.25" customHeight="1">
      <c r="H18" s="2">
        <v>10</v>
      </c>
      <c r="I18" s="50">
        <f t="shared" si="0"/>
        <v>3.5000000000000003E-2</v>
      </c>
      <c r="J18" s="13">
        <f t="shared" si="1"/>
        <v>2245.2234390441222</v>
      </c>
      <c r="K18" s="13">
        <f t="shared" si="2"/>
        <v>1437.4348357299675</v>
      </c>
      <c r="L18" s="12">
        <f t="shared" si="3"/>
        <v>807.78860331415467</v>
      </c>
      <c r="M18" s="12">
        <f t="shared" si="4"/>
        <v>492027.01221838908</v>
      </c>
    </row>
    <row r="19" spans="3:13" ht="14.25" customHeight="1">
      <c r="H19" s="2">
        <v>11</v>
      </c>
      <c r="I19" s="50">
        <f t="shared" si="0"/>
        <v>3.5000000000000003E-2</v>
      </c>
      <c r="J19" s="13">
        <f t="shared" si="1"/>
        <v>2245.2234390441222</v>
      </c>
      <c r="K19" s="13">
        <f t="shared" si="2"/>
        <v>1435.0787856369682</v>
      </c>
      <c r="L19" s="12">
        <f t="shared" si="3"/>
        <v>810.14465340715401</v>
      </c>
      <c r="M19" s="12">
        <f t="shared" si="4"/>
        <v>491216.86756498192</v>
      </c>
    </row>
    <row r="20" spans="3:13" ht="14.25" customHeight="1">
      <c r="D20" s="12"/>
      <c r="E20" s="11" t="s">
        <v>324</v>
      </c>
      <c r="F20" s="12">
        <f>F13*F12</f>
        <v>808280.43805588398</v>
      </c>
      <c r="H20" s="2">
        <v>12</v>
      </c>
      <c r="I20" s="50">
        <f t="shared" si="0"/>
        <v>3.5000000000000003E-2</v>
      </c>
      <c r="J20" s="13">
        <f t="shared" si="1"/>
        <v>2245.2234390441222</v>
      </c>
      <c r="K20" s="13">
        <f t="shared" si="2"/>
        <v>1432.7158637311973</v>
      </c>
      <c r="L20" s="12">
        <f t="shared" si="3"/>
        <v>812.50757531292493</v>
      </c>
      <c r="M20" s="12">
        <f t="shared" si="4"/>
        <v>490404.359989669</v>
      </c>
    </row>
    <row r="21" spans="3:13" ht="14.25" customHeight="1">
      <c r="D21" s="12"/>
      <c r="E21" s="11" t="s">
        <v>325</v>
      </c>
      <c r="F21" s="12">
        <f>F20-F9</f>
        <v>308280.43805588398</v>
      </c>
      <c r="H21" s="2">
        <v>13</v>
      </c>
      <c r="I21" s="50">
        <f t="shared" si="0"/>
        <v>3.5000000000000003E-2</v>
      </c>
      <c r="J21" s="13">
        <f t="shared" si="1"/>
        <v>2245.2234390441222</v>
      </c>
      <c r="K21" s="13">
        <f t="shared" si="2"/>
        <v>1430.3460499698681</v>
      </c>
      <c r="L21" s="12">
        <f t="shared" si="3"/>
        <v>814.8773890742541</v>
      </c>
      <c r="M21" s="12">
        <f t="shared" si="4"/>
        <v>489589.48260059475</v>
      </c>
    </row>
    <row r="22" spans="3:13" ht="14.25" customHeight="1">
      <c r="D22" s="12"/>
      <c r="E22" s="11" t="s">
        <v>326</v>
      </c>
      <c r="F22" s="12">
        <f>F21/F11</f>
        <v>10276.014601862798</v>
      </c>
      <c r="H22" s="2">
        <v>14</v>
      </c>
      <c r="I22" s="50">
        <f t="shared" si="0"/>
        <v>3.5000000000000003E-2</v>
      </c>
      <c r="J22" s="13">
        <f t="shared" si="1"/>
        <v>2245.2234390441222</v>
      </c>
      <c r="K22" s="13">
        <f t="shared" si="2"/>
        <v>1427.9693242517346</v>
      </c>
      <c r="L22" s="12">
        <f t="shared" si="3"/>
        <v>817.25411479238755</v>
      </c>
      <c r="M22" s="12">
        <f t="shared" si="4"/>
        <v>488772.22848580236</v>
      </c>
    </row>
    <row r="23" spans="3:13" ht="14.25" customHeight="1">
      <c r="D23" s="12"/>
      <c r="E23" s="11" t="s">
        <v>327</v>
      </c>
      <c r="F23" s="12">
        <f>F22/12</f>
        <v>856.33455015523316</v>
      </c>
      <c r="H23" s="2">
        <v>15</v>
      </c>
      <c r="I23" s="50">
        <f t="shared" si="0"/>
        <v>3.5000000000000003E-2</v>
      </c>
      <c r="J23" s="13">
        <f t="shared" si="1"/>
        <v>2245.2234390441222</v>
      </c>
      <c r="K23" s="13">
        <f t="shared" si="2"/>
        <v>1425.5856664169237</v>
      </c>
      <c r="L23" s="12">
        <f t="shared" si="3"/>
        <v>819.6377726271985</v>
      </c>
      <c r="M23" s="12">
        <f t="shared" si="4"/>
        <v>487952.59071317519</v>
      </c>
    </row>
    <row r="24" spans="3:13" ht="14.25" customHeight="1">
      <c r="D24" s="12"/>
      <c r="H24" s="2">
        <v>16</v>
      </c>
      <c r="I24" s="50">
        <f t="shared" si="0"/>
        <v>3.5000000000000003E-2</v>
      </c>
      <c r="J24" s="13">
        <f t="shared" si="1"/>
        <v>2245.2234390441222</v>
      </c>
      <c r="K24" s="13">
        <f t="shared" si="2"/>
        <v>1423.1950562467609</v>
      </c>
      <c r="L24" s="12">
        <f t="shared" si="3"/>
        <v>822.02838279736125</v>
      </c>
      <c r="M24" s="12">
        <f t="shared" si="4"/>
        <v>487130.56233037781</v>
      </c>
    </row>
    <row r="25" spans="3:13" ht="14.25" customHeight="1">
      <c r="D25" s="12"/>
      <c r="E25" s="11" t="s">
        <v>328</v>
      </c>
      <c r="F25" s="12">
        <f>F13*12</f>
        <v>26942.681268529464</v>
      </c>
      <c r="H25" s="2">
        <v>17</v>
      </c>
      <c r="I25" s="50">
        <f t="shared" si="0"/>
        <v>3.5000000000000003E-2</v>
      </c>
      <c r="J25" s="13">
        <f t="shared" si="1"/>
        <v>2245.2234390441222</v>
      </c>
      <c r="K25" s="13">
        <f t="shared" si="2"/>
        <v>1420.797473463602</v>
      </c>
      <c r="L25" s="12">
        <f t="shared" si="3"/>
        <v>824.42596558052014</v>
      </c>
      <c r="M25" s="12">
        <f t="shared" si="4"/>
        <v>486306.1363647973</v>
      </c>
    </row>
    <row r="26" spans="3:13" ht="14.25" customHeight="1">
      <c r="D26" s="12"/>
      <c r="E26" s="11"/>
      <c r="F26" s="10"/>
      <c r="H26" s="2">
        <v>18</v>
      </c>
      <c r="I26" s="50">
        <f t="shared" si="0"/>
        <v>3.5000000000000003E-2</v>
      </c>
      <c r="J26" s="13">
        <f t="shared" si="1"/>
        <v>2245.2234390441222</v>
      </c>
      <c r="K26" s="13">
        <f t="shared" si="2"/>
        <v>1418.3928977306584</v>
      </c>
      <c r="L26" s="12">
        <f t="shared" si="3"/>
        <v>826.83054131346375</v>
      </c>
      <c r="M26" s="12">
        <f t="shared" si="4"/>
        <v>485479.30582348385</v>
      </c>
    </row>
    <row r="27" spans="3:13" ht="14.25" customHeight="1">
      <c r="E27" s="11" t="s">
        <v>329</v>
      </c>
      <c r="F27" s="12">
        <v>20000</v>
      </c>
      <c r="H27" s="2">
        <v>19</v>
      </c>
      <c r="I27" s="50">
        <f t="shared" si="0"/>
        <v>3.5000000000000003E-2</v>
      </c>
      <c r="J27" s="13">
        <f t="shared" si="1"/>
        <v>2245.2234390441222</v>
      </c>
      <c r="K27" s="13">
        <f t="shared" si="2"/>
        <v>1415.9813086518277</v>
      </c>
      <c r="L27" s="12">
        <f t="shared" si="3"/>
        <v>829.24213039229448</v>
      </c>
      <c r="M27" s="12">
        <f t="shared" si="4"/>
        <v>484650.06369309156</v>
      </c>
    </row>
    <row r="28" spans="3:13" ht="14.25" customHeight="1">
      <c r="E28" s="25"/>
      <c r="F28" s="10"/>
      <c r="H28" s="2">
        <v>20</v>
      </c>
      <c r="I28" s="50">
        <f t="shared" si="0"/>
        <v>3.5000000000000003E-2</v>
      </c>
      <c r="J28" s="13">
        <f t="shared" si="1"/>
        <v>2245.2234390441222</v>
      </c>
      <c r="K28" s="13">
        <f t="shared" si="2"/>
        <v>1413.562685771517</v>
      </c>
      <c r="L28" s="12">
        <f t="shared" si="3"/>
        <v>831.66075327260523</v>
      </c>
      <c r="M28" s="12">
        <f t="shared" si="4"/>
        <v>483818.40293981897</v>
      </c>
    </row>
    <row r="29" spans="3:13" ht="14.25" customHeight="1">
      <c r="E29" s="172" t="s">
        <v>330</v>
      </c>
      <c r="F29" s="173"/>
      <c r="H29" s="2">
        <v>21</v>
      </c>
      <c r="I29" s="50">
        <f t="shared" si="0"/>
        <v>3.5000000000000003E-2</v>
      </c>
      <c r="J29" s="13">
        <f t="shared" si="1"/>
        <v>2245.2234390441222</v>
      </c>
      <c r="K29" s="13">
        <f t="shared" si="2"/>
        <v>1411.1370085744718</v>
      </c>
      <c r="L29" s="12">
        <f t="shared" si="3"/>
        <v>834.0864304696504</v>
      </c>
      <c r="M29" s="12">
        <f t="shared" si="4"/>
        <v>482984.31650934933</v>
      </c>
    </row>
    <row r="30" spans="3:13" ht="14.25" customHeight="1">
      <c r="H30" s="2">
        <v>22</v>
      </c>
      <c r="I30" s="50">
        <f t="shared" si="0"/>
        <v>3.5000000000000003E-2</v>
      </c>
      <c r="J30" s="13">
        <f t="shared" si="1"/>
        <v>2245.2234390441222</v>
      </c>
      <c r="K30" s="13">
        <f t="shared" si="2"/>
        <v>1408.7042564856022</v>
      </c>
      <c r="L30" s="12">
        <f t="shared" si="3"/>
        <v>836.51918255852001</v>
      </c>
      <c r="M30" s="12">
        <f t="shared" si="4"/>
        <v>482147.79732679081</v>
      </c>
    </row>
    <row r="31" spans="3:13" ht="14.25" customHeight="1">
      <c r="E31" s="11" t="s">
        <v>331</v>
      </c>
      <c r="F31" s="12">
        <v>40</v>
      </c>
      <c r="H31" s="2">
        <v>23</v>
      </c>
      <c r="I31" s="50">
        <f t="shared" si="0"/>
        <v>3.5000000000000003E-2</v>
      </c>
      <c r="J31" s="13">
        <f t="shared" si="1"/>
        <v>2245.2234390441222</v>
      </c>
      <c r="K31" s="13">
        <f t="shared" si="2"/>
        <v>1406.2644088698062</v>
      </c>
      <c r="L31" s="12">
        <f t="shared" si="3"/>
        <v>838.95903017431601</v>
      </c>
      <c r="M31" s="12">
        <f t="shared" si="4"/>
        <v>481308.83829661651</v>
      </c>
    </row>
    <row r="32" spans="3:13" ht="14.25" customHeight="1">
      <c r="D32" s="12"/>
      <c r="E32" s="11" t="s">
        <v>332</v>
      </c>
      <c r="F32" s="12">
        <v>95</v>
      </c>
      <c r="H32" s="2">
        <v>24</v>
      </c>
      <c r="I32" s="50">
        <f t="shared" si="0"/>
        <v>3.5000000000000003E-2</v>
      </c>
      <c r="J32" s="13">
        <f t="shared" si="1"/>
        <v>2245.2234390441222</v>
      </c>
      <c r="K32" s="13">
        <f t="shared" si="2"/>
        <v>1403.8174450317981</v>
      </c>
      <c r="L32" s="12">
        <f t="shared" si="3"/>
        <v>841.40599401232407</v>
      </c>
      <c r="M32" s="12">
        <f t="shared" si="4"/>
        <v>480467.4323026042</v>
      </c>
    </row>
    <row r="33" spans="5:13" ht="14.25" customHeight="1">
      <c r="E33" s="11" t="s">
        <v>333</v>
      </c>
      <c r="F33" s="12">
        <v>120</v>
      </c>
      <c r="H33" s="2">
        <v>25</v>
      </c>
      <c r="I33" s="50">
        <f t="shared" si="0"/>
        <v>3.5000000000000003E-2</v>
      </c>
      <c r="J33" s="13">
        <f t="shared" si="1"/>
        <v>2245.2234390441222</v>
      </c>
      <c r="K33" s="13">
        <f t="shared" si="2"/>
        <v>1401.3633442159285</v>
      </c>
      <c r="L33" s="12">
        <f t="shared" si="3"/>
        <v>843.86009482819372</v>
      </c>
      <c r="M33" s="12">
        <f t="shared" si="4"/>
        <v>479623.57220777601</v>
      </c>
    </row>
    <row r="34" spans="5:13" ht="14.25" customHeight="1">
      <c r="E34" s="11" t="s">
        <v>334</v>
      </c>
      <c r="F34" s="12">
        <v>60</v>
      </c>
      <c r="H34" s="2">
        <v>26</v>
      </c>
      <c r="I34" s="50">
        <f t="shared" si="0"/>
        <v>3.5000000000000003E-2</v>
      </c>
      <c r="J34" s="13">
        <f t="shared" si="1"/>
        <v>2245.2234390441222</v>
      </c>
      <c r="K34" s="13">
        <f t="shared" si="2"/>
        <v>1398.9020856060131</v>
      </c>
      <c r="L34" s="12">
        <f t="shared" si="3"/>
        <v>846.3213534381091</v>
      </c>
      <c r="M34" s="12">
        <f t="shared" si="4"/>
        <v>478777.25085433788</v>
      </c>
    </row>
    <row r="35" spans="5:13" ht="14.25" customHeight="1">
      <c r="E35" s="11" t="s">
        <v>335</v>
      </c>
      <c r="F35" s="12">
        <v>50</v>
      </c>
      <c r="H35" s="2">
        <v>27</v>
      </c>
      <c r="I35" s="50">
        <f t="shared" si="0"/>
        <v>3.5000000000000003E-2</v>
      </c>
      <c r="J35" s="13">
        <f t="shared" si="1"/>
        <v>2245.2234390441222</v>
      </c>
      <c r="K35" s="13">
        <f t="shared" si="2"/>
        <v>1396.433648325152</v>
      </c>
      <c r="L35" s="12">
        <f t="shared" si="3"/>
        <v>848.78979071897015</v>
      </c>
      <c r="M35" s="12">
        <f t="shared" si="4"/>
        <v>477928.46106361889</v>
      </c>
    </row>
    <row r="36" spans="5:13" ht="14.25" customHeight="1">
      <c r="F36" s="12"/>
      <c r="H36" s="2">
        <v>28</v>
      </c>
      <c r="I36" s="50">
        <f t="shared" si="0"/>
        <v>3.5000000000000003E-2</v>
      </c>
      <c r="J36" s="13">
        <f t="shared" si="1"/>
        <v>2245.2234390441222</v>
      </c>
      <c r="K36" s="13">
        <f t="shared" si="2"/>
        <v>1393.9580114355549</v>
      </c>
      <c r="L36" s="12">
        <f t="shared" si="3"/>
        <v>851.26542760856728</v>
      </c>
      <c r="M36" s="12">
        <f t="shared" si="4"/>
        <v>477077.19563601032</v>
      </c>
    </row>
    <row r="37" spans="5:13" ht="14.25" customHeight="1">
      <c r="E37" s="11" t="s">
        <v>336</v>
      </c>
      <c r="F37" s="12">
        <f>SUM(F31:F35)</f>
        <v>365</v>
      </c>
      <c r="H37" s="2">
        <v>29</v>
      </c>
      <c r="I37" s="50">
        <f t="shared" si="0"/>
        <v>3.5000000000000003E-2</v>
      </c>
      <c r="J37" s="13">
        <f t="shared" si="1"/>
        <v>2245.2234390441222</v>
      </c>
      <c r="K37" s="13">
        <f t="shared" si="2"/>
        <v>1391.4751539383633</v>
      </c>
      <c r="L37" s="12">
        <f t="shared" si="3"/>
        <v>853.7482851057589</v>
      </c>
      <c r="M37" s="12">
        <f t="shared" si="4"/>
        <v>476223.44735090458</v>
      </c>
    </row>
    <row r="38" spans="5:13" ht="14.25" customHeight="1">
      <c r="H38" s="2">
        <v>30</v>
      </c>
      <c r="I38" s="50">
        <f t="shared" si="0"/>
        <v>3.5000000000000003E-2</v>
      </c>
      <c r="J38" s="13">
        <f t="shared" si="1"/>
        <v>2245.2234390441222</v>
      </c>
      <c r="K38" s="13">
        <f t="shared" si="2"/>
        <v>1388.9850547734713</v>
      </c>
      <c r="L38" s="12">
        <f t="shared" si="3"/>
        <v>856.23838427065084</v>
      </c>
      <c r="M38" s="12">
        <f t="shared" si="4"/>
        <v>475367.20896663395</v>
      </c>
    </row>
    <row r="39" spans="5:13" ht="14.25" customHeight="1">
      <c r="E39" s="172" t="s">
        <v>337</v>
      </c>
      <c r="F39" s="173"/>
      <c r="H39" s="2">
        <v>31</v>
      </c>
      <c r="I39" s="50">
        <f t="shared" si="0"/>
        <v>3.5000000000000003E-2</v>
      </c>
      <c r="J39" s="13">
        <f t="shared" si="1"/>
        <v>2245.2234390441222</v>
      </c>
      <c r="K39" s="13">
        <f t="shared" si="2"/>
        <v>1386.4876928193485</v>
      </c>
      <c r="L39" s="12">
        <f t="shared" si="3"/>
        <v>858.73574622477372</v>
      </c>
      <c r="M39" s="12">
        <f t="shared" si="4"/>
        <v>474508.47322040919</v>
      </c>
    </row>
    <row r="40" spans="5:13" ht="14.25" customHeight="1">
      <c r="H40" s="2">
        <v>32</v>
      </c>
      <c r="I40" s="50">
        <f t="shared" si="0"/>
        <v>3.5000000000000003E-2</v>
      </c>
      <c r="J40" s="13">
        <f t="shared" si="1"/>
        <v>2245.2234390441222</v>
      </c>
      <c r="K40" s="13">
        <f t="shared" si="2"/>
        <v>1383.9830468928599</v>
      </c>
      <c r="L40" s="12">
        <f t="shared" si="3"/>
        <v>861.24039215126231</v>
      </c>
      <c r="M40" s="12">
        <f t="shared" si="4"/>
        <v>473647.2328282579</v>
      </c>
    </row>
    <row r="41" spans="5:13" ht="14.25" customHeight="1">
      <c r="E41" s="2" t="s">
        <v>338</v>
      </c>
      <c r="F41" s="12">
        <f>F13+F37</f>
        <v>2610.2234390441222</v>
      </c>
      <c r="H41" s="2">
        <v>33</v>
      </c>
      <c r="I41" s="50">
        <f t="shared" si="0"/>
        <v>3.5000000000000003E-2</v>
      </c>
      <c r="J41" s="13">
        <f t="shared" si="1"/>
        <v>2245.2234390441222</v>
      </c>
      <c r="K41" s="13">
        <f t="shared" si="2"/>
        <v>1381.4710957490854</v>
      </c>
      <c r="L41" s="12">
        <f t="shared" si="3"/>
        <v>863.75234329503678</v>
      </c>
      <c r="M41" s="12">
        <f t="shared" si="4"/>
        <v>472783.48048496287</v>
      </c>
    </row>
    <row r="42" spans="5:13" ht="14.25" customHeight="1">
      <c r="E42" s="2" t="s">
        <v>339</v>
      </c>
      <c r="F42" s="12">
        <f>F37+F14</f>
        <v>1823.3333333333335</v>
      </c>
      <c r="H42" s="2">
        <v>34</v>
      </c>
      <c r="I42" s="50">
        <f t="shared" si="0"/>
        <v>3.5000000000000003E-2</v>
      </c>
      <c r="J42" s="13">
        <f t="shared" si="1"/>
        <v>2245.2234390441222</v>
      </c>
      <c r="K42" s="13">
        <f t="shared" si="2"/>
        <v>1378.9518180811415</v>
      </c>
      <c r="L42" s="12">
        <f t="shared" si="3"/>
        <v>866.27162096298071</v>
      </c>
      <c r="M42" s="12">
        <f t="shared" si="4"/>
        <v>471917.20886399987</v>
      </c>
    </row>
    <row r="43" spans="5:13" ht="14.25" customHeight="1">
      <c r="H43" s="2">
        <v>35</v>
      </c>
      <c r="I43" s="50">
        <f t="shared" si="0"/>
        <v>3.5000000000000003E-2</v>
      </c>
      <c r="J43" s="13">
        <f t="shared" si="1"/>
        <v>2245.2234390441222</v>
      </c>
      <c r="K43" s="13">
        <f t="shared" si="2"/>
        <v>1376.4251925199992</v>
      </c>
      <c r="L43" s="12">
        <f t="shared" si="3"/>
        <v>868.79824652412299</v>
      </c>
      <c r="M43" s="12">
        <f t="shared" si="4"/>
        <v>471048.41061747575</v>
      </c>
    </row>
    <row r="44" spans="5:13" ht="14.25" customHeight="1">
      <c r="H44" s="2">
        <v>36</v>
      </c>
      <c r="I44" s="50">
        <f t="shared" si="0"/>
        <v>3.5000000000000003E-2</v>
      </c>
      <c r="J44" s="13">
        <f t="shared" si="1"/>
        <v>2245.2234390441222</v>
      </c>
      <c r="K44" s="13">
        <f t="shared" si="2"/>
        <v>1373.8911976343043</v>
      </c>
      <c r="L44" s="12">
        <f t="shared" si="3"/>
        <v>871.33224140981793</v>
      </c>
      <c r="M44" s="12">
        <f t="shared" si="4"/>
        <v>470177.07837606594</v>
      </c>
    </row>
    <row r="45" spans="5:13" ht="14.25" customHeight="1">
      <c r="H45" s="2">
        <v>37</v>
      </c>
      <c r="I45" s="50">
        <f t="shared" si="0"/>
        <v>3.5000000000000003E-2</v>
      </c>
      <c r="J45" s="13">
        <f t="shared" si="1"/>
        <v>2245.2234390441222</v>
      </c>
      <c r="K45" s="13">
        <f t="shared" si="2"/>
        <v>1371.3498119301921</v>
      </c>
      <c r="L45" s="12">
        <f t="shared" si="3"/>
        <v>873.87362711393007</v>
      </c>
      <c r="M45" s="12">
        <f t="shared" si="4"/>
        <v>469303.204748952</v>
      </c>
    </row>
    <row r="46" spans="5:13" ht="14.25" customHeight="1">
      <c r="H46" s="2">
        <v>38</v>
      </c>
      <c r="I46" s="50">
        <f t="shared" si="0"/>
        <v>3.5000000000000003E-2</v>
      </c>
      <c r="J46" s="13">
        <f t="shared" si="1"/>
        <v>2245.2234390441222</v>
      </c>
      <c r="K46" s="13">
        <f t="shared" si="2"/>
        <v>1368.8010138511095</v>
      </c>
      <c r="L46" s="12">
        <f t="shared" si="3"/>
        <v>876.42242519301271</v>
      </c>
      <c r="M46" s="12">
        <f t="shared" si="4"/>
        <v>468426.78232375899</v>
      </c>
    </row>
    <row r="47" spans="5:13" ht="14.25" customHeight="1">
      <c r="H47" s="2">
        <v>39</v>
      </c>
      <c r="I47" s="50">
        <f t="shared" si="0"/>
        <v>3.5000000000000003E-2</v>
      </c>
      <c r="J47" s="13">
        <f t="shared" si="1"/>
        <v>2245.2234390441222</v>
      </c>
      <c r="K47" s="13">
        <f t="shared" si="2"/>
        <v>1366.2447817776301</v>
      </c>
      <c r="L47" s="12">
        <f t="shared" si="3"/>
        <v>878.97865726649206</v>
      </c>
      <c r="M47" s="12">
        <f t="shared" si="4"/>
        <v>467547.80366649252</v>
      </c>
    </row>
    <row r="48" spans="5:13" ht="14.25" customHeight="1">
      <c r="H48" s="2">
        <v>40</v>
      </c>
      <c r="I48" s="50">
        <f t="shared" si="0"/>
        <v>3.5000000000000003E-2</v>
      </c>
      <c r="J48" s="13">
        <f t="shared" si="1"/>
        <v>2245.2234390441222</v>
      </c>
      <c r="K48" s="13">
        <f t="shared" si="2"/>
        <v>1363.6810940272694</v>
      </c>
      <c r="L48" s="12">
        <f t="shared" si="3"/>
        <v>881.54234501685278</v>
      </c>
      <c r="M48" s="12">
        <f t="shared" si="4"/>
        <v>466666.26132147567</v>
      </c>
    </row>
    <row r="49" spans="8:13" ht="14.25" customHeight="1">
      <c r="H49" s="2">
        <v>41</v>
      </c>
      <c r="I49" s="50">
        <f t="shared" si="0"/>
        <v>3.5000000000000003E-2</v>
      </c>
      <c r="J49" s="13">
        <f t="shared" si="1"/>
        <v>2245.2234390441222</v>
      </c>
      <c r="K49" s="13">
        <f t="shared" si="2"/>
        <v>1361.1099288543037</v>
      </c>
      <c r="L49" s="12">
        <f t="shared" si="3"/>
        <v>884.1135101898185</v>
      </c>
      <c r="M49" s="12">
        <f t="shared" si="4"/>
        <v>465782.14781128586</v>
      </c>
    </row>
    <row r="50" spans="8:13" ht="14.25" customHeight="1">
      <c r="H50" s="2">
        <v>42</v>
      </c>
      <c r="I50" s="50">
        <f t="shared" si="0"/>
        <v>3.5000000000000003E-2</v>
      </c>
      <c r="J50" s="13">
        <f t="shared" si="1"/>
        <v>2245.2234390441222</v>
      </c>
      <c r="K50" s="13">
        <f t="shared" si="2"/>
        <v>1358.5312644495837</v>
      </c>
      <c r="L50" s="12">
        <f t="shared" si="3"/>
        <v>886.69217459453853</v>
      </c>
      <c r="M50" s="12">
        <f t="shared" si="4"/>
        <v>464895.4556366913</v>
      </c>
    </row>
    <row r="51" spans="8:13" ht="14.25" customHeight="1">
      <c r="H51" s="2">
        <v>43</v>
      </c>
      <c r="I51" s="50">
        <f t="shared" si="0"/>
        <v>3.5000000000000003E-2</v>
      </c>
      <c r="J51" s="13">
        <f t="shared" si="1"/>
        <v>2245.2234390441222</v>
      </c>
      <c r="K51" s="13">
        <f t="shared" si="2"/>
        <v>1355.9450789403493</v>
      </c>
      <c r="L51" s="12">
        <f t="shared" si="3"/>
        <v>889.27836010377291</v>
      </c>
      <c r="M51" s="12">
        <f t="shared" si="4"/>
        <v>464006.17727658752</v>
      </c>
    </row>
    <row r="52" spans="8:13" ht="14.25" customHeight="1">
      <c r="H52" s="2">
        <v>44</v>
      </c>
      <c r="I52" s="50">
        <f t="shared" si="0"/>
        <v>3.5000000000000003E-2</v>
      </c>
      <c r="J52" s="13">
        <f t="shared" si="1"/>
        <v>2245.2234390441222</v>
      </c>
      <c r="K52" s="13">
        <f t="shared" si="2"/>
        <v>1353.3513503900467</v>
      </c>
      <c r="L52" s="12">
        <f t="shared" si="3"/>
        <v>891.87208865407547</v>
      </c>
      <c r="M52" s="12">
        <f t="shared" si="4"/>
        <v>463114.30518793344</v>
      </c>
    </row>
    <row r="53" spans="8:13" ht="14.25" customHeight="1">
      <c r="H53" s="2">
        <v>45</v>
      </c>
      <c r="I53" s="50">
        <f t="shared" si="0"/>
        <v>3.5000000000000003E-2</v>
      </c>
      <c r="J53" s="13">
        <f t="shared" si="1"/>
        <v>2245.2234390441222</v>
      </c>
      <c r="K53" s="13">
        <f t="shared" si="2"/>
        <v>1350.7500567981388</v>
      </c>
      <c r="L53" s="12">
        <f t="shared" si="3"/>
        <v>894.47338224598343</v>
      </c>
      <c r="M53" s="12">
        <f t="shared" si="4"/>
        <v>462219.83180568746</v>
      </c>
    </row>
    <row r="54" spans="8:13" ht="14.25" customHeight="1">
      <c r="H54" s="2">
        <v>46</v>
      </c>
      <c r="I54" s="50">
        <f t="shared" si="0"/>
        <v>3.5000000000000003E-2</v>
      </c>
      <c r="J54" s="13">
        <f t="shared" si="1"/>
        <v>2245.2234390441222</v>
      </c>
      <c r="K54" s="13">
        <f t="shared" si="2"/>
        <v>1348.1411760999213</v>
      </c>
      <c r="L54" s="12">
        <f t="shared" si="3"/>
        <v>897.08226294420092</v>
      </c>
      <c r="M54" s="12">
        <f t="shared" si="4"/>
        <v>461322.74954274326</v>
      </c>
    </row>
    <row r="55" spans="8:13" ht="14.25" customHeight="1">
      <c r="H55" s="2">
        <v>47</v>
      </c>
      <c r="I55" s="50">
        <f t="shared" si="0"/>
        <v>3.5000000000000003E-2</v>
      </c>
      <c r="J55" s="13">
        <f t="shared" si="1"/>
        <v>2245.2234390441222</v>
      </c>
      <c r="K55" s="13">
        <f t="shared" si="2"/>
        <v>1345.5246861663343</v>
      </c>
      <c r="L55" s="12">
        <f t="shared" si="3"/>
        <v>899.69875287778791</v>
      </c>
      <c r="M55" s="12">
        <f t="shared" si="4"/>
        <v>460423.05078986549</v>
      </c>
    </row>
    <row r="56" spans="8:13" ht="14.25" customHeight="1">
      <c r="H56" s="2">
        <v>48</v>
      </c>
      <c r="I56" s="50">
        <f t="shared" si="0"/>
        <v>3.5000000000000003E-2</v>
      </c>
      <c r="J56" s="13">
        <f t="shared" si="1"/>
        <v>2245.2234390441222</v>
      </c>
      <c r="K56" s="13">
        <f t="shared" si="2"/>
        <v>1342.9005648037739</v>
      </c>
      <c r="L56" s="12">
        <f t="shared" si="3"/>
        <v>902.32287424034826</v>
      </c>
      <c r="M56" s="12">
        <f t="shared" si="4"/>
        <v>459520.72791562515</v>
      </c>
    </row>
    <row r="57" spans="8:13" ht="14.25" customHeight="1">
      <c r="H57" s="2">
        <v>49</v>
      </c>
      <c r="I57" s="50">
        <f t="shared" si="0"/>
        <v>3.5000000000000003E-2</v>
      </c>
      <c r="J57" s="13">
        <f t="shared" si="1"/>
        <v>2245.2234390441222</v>
      </c>
      <c r="K57" s="13">
        <f t="shared" si="2"/>
        <v>1340.2687897539063</v>
      </c>
      <c r="L57" s="12">
        <f t="shared" si="3"/>
        <v>904.95464929021591</v>
      </c>
      <c r="M57" s="12">
        <f t="shared" si="4"/>
        <v>458615.7732663349</v>
      </c>
    </row>
    <row r="58" spans="8:13" ht="14.25" customHeight="1">
      <c r="H58" s="2">
        <v>50</v>
      </c>
      <c r="I58" s="50">
        <f t="shared" si="0"/>
        <v>3.5000000000000003E-2</v>
      </c>
      <c r="J58" s="13">
        <f t="shared" si="1"/>
        <v>2245.2234390441222</v>
      </c>
      <c r="K58" s="13">
        <f t="shared" si="2"/>
        <v>1337.6293386934767</v>
      </c>
      <c r="L58" s="12">
        <f t="shared" si="3"/>
        <v>907.59410035064548</v>
      </c>
      <c r="M58" s="12">
        <f t="shared" si="4"/>
        <v>457708.17916598427</v>
      </c>
    </row>
    <row r="59" spans="8:13" ht="14.25" customHeight="1">
      <c r="H59" s="2">
        <v>51</v>
      </c>
      <c r="I59" s="50">
        <f t="shared" si="0"/>
        <v>3.5000000000000003E-2</v>
      </c>
      <c r="J59" s="13">
        <f t="shared" si="1"/>
        <v>2245.2234390441222</v>
      </c>
      <c r="K59" s="13">
        <f t="shared" si="2"/>
        <v>1334.9821892341206</v>
      </c>
      <c r="L59" s="12">
        <f t="shared" si="3"/>
        <v>910.24124981000159</v>
      </c>
      <c r="M59" s="12">
        <f t="shared" si="4"/>
        <v>456797.9379161743</v>
      </c>
    </row>
    <row r="60" spans="8:13" ht="14.25" customHeight="1">
      <c r="H60" s="2">
        <v>52</v>
      </c>
      <c r="I60" s="50">
        <f t="shared" si="0"/>
        <v>3.5000000000000003E-2</v>
      </c>
      <c r="J60" s="13">
        <f t="shared" si="1"/>
        <v>2245.2234390441222</v>
      </c>
      <c r="K60" s="13">
        <f t="shared" si="2"/>
        <v>1332.3273189221748</v>
      </c>
      <c r="L60" s="12">
        <f t="shared" si="3"/>
        <v>912.89612012194743</v>
      </c>
      <c r="M60" s="12">
        <f t="shared" si="4"/>
        <v>455885.04179605236</v>
      </c>
    </row>
    <row r="61" spans="8:13" ht="14.25" customHeight="1">
      <c r="H61" s="2">
        <v>53</v>
      </c>
      <c r="I61" s="50">
        <f t="shared" si="0"/>
        <v>3.5000000000000003E-2</v>
      </c>
      <c r="J61" s="13">
        <f t="shared" si="1"/>
        <v>2245.2234390441222</v>
      </c>
      <c r="K61" s="13">
        <f t="shared" si="2"/>
        <v>1329.6647052384856</v>
      </c>
      <c r="L61" s="12">
        <f t="shared" si="3"/>
        <v>915.55873380563662</v>
      </c>
      <c r="M61" s="12">
        <f t="shared" si="4"/>
        <v>454969.4830622467</v>
      </c>
    </row>
    <row r="62" spans="8:13" ht="14.25" customHeight="1">
      <c r="H62" s="2">
        <v>54</v>
      </c>
      <c r="I62" s="50">
        <f t="shared" si="0"/>
        <v>3.5000000000000003E-2</v>
      </c>
      <c r="J62" s="13">
        <f t="shared" si="1"/>
        <v>2245.2234390441222</v>
      </c>
      <c r="K62" s="13">
        <f t="shared" si="2"/>
        <v>1326.9943255982193</v>
      </c>
      <c r="L62" s="12">
        <f t="shared" si="3"/>
        <v>918.22911344590284</v>
      </c>
      <c r="M62" s="12">
        <f t="shared" si="4"/>
        <v>454051.25394880079</v>
      </c>
    </row>
    <row r="63" spans="8:13" ht="14.25" customHeight="1">
      <c r="H63" s="2">
        <v>55</v>
      </c>
      <c r="I63" s="50">
        <f t="shared" si="0"/>
        <v>3.5000000000000003E-2</v>
      </c>
      <c r="J63" s="13">
        <f t="shared" si="1"/>
        <v>2245.2234390441222</v>
      </c>
      <c r="K63" s="13">
        <f t="shared" si="2"/>
        <v>1324.3161573506684</v>
      </c>
      <c r="L63" s="12">
        <f t="shared" si="3"/>
        <v>920.9072816934538</v>
      </c>
      <c r="M63" s="12">
        <f t="shared" si="4"/>
        <v>453130.34666710731</v>
      </c>
    </row>
    <row r="64" spans="8:13" ht="14.25" customHeight="1">
      <c r="H64" s="2">
        <v>56</v>
      </c>
      <c r="I64" s="50">
        <f t="shared" si="0"/>
        <v>3.5000000000000003E-2</v>
      </c>
      <c r="J64" s="13">
        <f t="shared" si="1"/>
        <v>2245.2234390441222</v>
      </c>
      <c r="K64" s="13">
        <f t="shared" si="2"/>
        <v>1321.6301777790629</v>
      </c>
      <c r="L64" s="12">
        <f t="shared" si="3"/>
        <v>923.59326126505925</v>
      </c>
      <c r="M64" s="12">
        <f t="shared" si="4"/>
        <v>452206.75340584223</v>
      </c>
    </row>
    <row r="65" spans="8:13" ht="14.25" customHeight="1">
      <c r="H65" s="2">
        <v>57</v>
      </c>
      <c r="I65" s="50">
        <f t="shared" si="0"/>
        <v>3.5000000000000003E-2</v>
      </c>
      <c r="J65" s="13">
        <f t="shared" si="1"/>
        <v>2245.2234390441222</v>
      </c>
      <c r="K65" s="13">
        <f t="shared" si="2"/>
        <v>1318.9363641003729</v>
      </c>
      <c r="L65" s="12">
        <f t="shared" si="3"/>
        <v>926.2870749437493</v>
      </c>
      <c r="M65" s="12">
        <f t="shared" si="4"/>
        <v>451280.46633089846</v>
      </c>
    </row>
    <row r="66" spans="8:13" ht="14.25" customHeight="1">
      <c r="H66" s="2">
        <v>58</v>
      </c>
      <c r="I66" s="50">
        <f t="shared" si="0"/>
        <v>3.5000000000000003E-2</v>
      </c>
      <c r="J66" s="13">
        <f t="shared" si="1"/>
        <v>2245.2234390441222</v>
      </c>
      <c r="K66" s="13">
        <f t="shared" si="2"/>
        <v>1316.2346934651205</v>
      </c>
      <c r="L66" s="12">
        <f t="shared" si="3"/>
        <v>928.98874557900172</v>
      </c>
      <c r="M66" s="12">
        <f t="shared" si="4"/>
        <v>450351.47758531943</v>
      </c>
    </row>
    <row r="67" spans="8:13" ht="14.25" customHeight="1">
      <c r="H67" s="2">
        <v>59</v>
      </c>
      <c r="I67" s="50">
        <f t="shared" si="0"/>
        <v>3.5000000000000003E-2</v>
      </c>
      <c r="J67" s="13">
        <f t="shared" si="1"/>
        <v>2245.2234390441222</v>
      </c>
      <c r="K67" s="13">
        <f t="shared" si="2"/>
        <v>1313.5251429571813</v>
      </c>
      <c r="L67" s="12">
        <f t="shared" si="3"/>
        <v>931.6982960869409</v>
      </c>
      <c r="M67" s="12">
        <f t="shared" si="4"/>
        <v>449419.77928923251</v>
      </c>
    </row>
    <row r="68" spans="8:13" ht="14.25" customHeight="1">
      <c r="H68" s="2">
        <v>60</v>
      </c>
      <c r="I68" s="50">
        <f t="shared" si="0"/>
        <v>3.5000000000000003E-2</v>
      </c>
      <c r="J68" s="13">
        <f t="shared" si="1"/>
        <v>2245.2234390441222</v>
      </c>
      <c r="K68" s="13">
        <f t="shared" si="2"/>
        <v>1310.8076895935947</v>
      </c>
      <c r="L68" s="12">
        <f t="shared" si="3"/>
        <v>934.41574945052753</v>
      </c>
      <c r="M68" s="12">
        <f t="shared" si="4"/>
        <v>448485.363539782</v>
      </c>
    </row>
    <row r="69" spans="8:13" ht="14.25" customHeight="1">
      <c r="H69" s="2">
        <v>61</v>
      </c>
      <c r="I69" s="50">
        <f t="shared" si="0"/>
        <v>3.5000000000000003E-2</v>
      </c>
      <c r="J69" s="13">
        <f t="shared" si="1"/>
        <v>2245.2234390441222</v>
      </c>
      <c r="K69" s="13">
        <f t="shared" si="2"/>
        <v>1308.082310324364</v>
      </c>
      <c r="L69" s="12">
        <f t="shared" si="3"/>
        <v>937.14112871975817</v>
      </c>
      <c r="M69" s="12">
        <f t="shared" si="4"/>
        <v>447548.22241106222</v>
      </c>
    </row>
    <row r="70" spans="8:13" ht="14.25" customHeight="1">
      <c r="H70" s="2">
        <v>62</v>
      </c>
      <c r="I70" s="50">
        <f t="shared" si="0"/>
        <v>3.5000000000000003E-2</v>
      </c>
      <c r="J70" s="13">
        <f t="shared" si="1"/>
        <v>2245.2234390441222</v>
      </c>
      <c r="K70" s="13">
        <f t="shared" si="2"/>
        <v>1305.3489820322645</v>
      </c>
      <c r="L70" s="12">
        <f t="shared" si="3"/>
        <v>939.87445701185766</v>
      </c>
      <c r="M70" s="12">
        <f t="shared" si="4"/>
        <v>446608.34795405035</v>
      </c>
    </row>
    <row r="71" spans="8:13" ht="14.25" customHeight="1">
      <c r="H71" s="2">
        <v>63</v>
      </c>
      <c r="I71" s="50">
        <f t="shared" si="0"/>
        <v>3.5000000000000003E-2</v>
      </c>
      <c r="J71" s="13">
        <f t="shared" si="1"/>
        <v>2245.2234390441222</v>
      </c>
      <c r="K71" s="13">
        <f t="shared" si="2"/>
        <v>1302.6076815326467</v>
      </c>
      <c r="L71" s="12">
        <f t="shared" si="3"/>
        <v>942.61575751147552</v>
      </c>
      <c r="M71" s="12">
        <f t="shared" si="4"/>
        <v>445665.73219653888</v>
      </c>
    </row>
    <row r="72" spans="8:13" ht="14.25" customHeight="1">
      <c r="H72" s="2">
        <v>64</v>
      </c>
      <c r="I72" s="50">
        <f t="shared" si="0"/>
        <v>3.5000000000000003E-2</v>
      </c>
      <c r="J72" s="13">
        <f t="shared" si="1"/>
        <v>2245.2234390441222</v>
      </c>
      <c r="K72" s="13">
        <f t="shared" si="2"/>
        <v>1299.8583855732381</v>
      </c>
      <c r="L72" s="12">
        <f t="shared" si="3"/>
        <v>945.36505347088405</v>
      </c>
      <c r="M72" s="12">
        <f t="shared" si="4"/>
        <v>444720.367143068</v>
      </c>
    </row>
    <row r="73" spans="8:13" ht="14.25" customHeight="1">
      <c r="H73" s="2">
        <v>65</v>
      </c>
      <c r="I73" s="50">
        <f t="shared" si="0"/>
        <v>3.5000000000000003E-2</v>
      </c>
      <c r="J73" s="13">
        <f t="shared" si="1"/>
        <v>2245.2234390441222</v>
      </c>
      <c r="K73" s="13">
        <f t="shared" si="2"/>
        <v>1297.1010708339484</v>
      </c>
      <c r="L73" s="12">
        <f t="shared" si="3"/>
        <v>948.12236821017382</v>
      </c>
      <c r="M73" s="12">
        <f t="shared" si="4"/>
        <v>443772.24477485783</v>
      </c>
    </row>
    <row r="74" spans="8:13" ht="14.25" customHeight="1">
      <c r="H74" s="2">
        <v>66</v>
      </c>
      <c r="I74" s="50">
        <f t="shared" ref="I74:I137" si="5">$F$10</f>
        <v>3.5000000000000003E-2</v>
      </c>
      <c r="J74" s="13">
        <f t="shared" ref="J74:J137" si="6">$F$13</f>
        <v>2245.2234390441222</v>
      </c>
      <c r="K74" s="13">
        <f t="shared" ref="K74:K137" si="7">IPMT(I74/12,H74,$F$12,-$F$9,0)</f>
        <v>1294.3357139266686</v>
      </c>
      <c r="L74" s="12">
        <f t="shared" ref="L74:L137" si="8">J74-K74</f>
        <v>950.88772511745356</v>
      </c>
      <c r="M74" s="12">
        <f t="shared" ref="M74:M137" si="9">M73-L74</f>
        <v>442821.35704974039</v>
      </c>
    </row>
    <row r="75" spans="8:13" ht="14.25" customHeight="1">
      <c r="H75" s="2">
        <v>67</v>
      </c>
      <c r="I75" s="50">
        <f t="shared" si="5"/>
        <v>3.5000000000000003E-2</v>
      </c>
      <c r="J75" s="13">
        <f t="shared" si="6"/>
        <v>2245.2234390441222</v>
      </c>
      <c r="K75" s="13">
        <f t="shared" si="7"/>
        <v>1291.562291395076</v>
      </c>
      <c r="L75" s="12">
        <f t="shared" si="8"/>
        <v>953.66114764904614</v>
      </c>
      <c r="M75" s="12">
        <f t="shared" si="9"/>
        <v>441867.69590209133</v>
      </c>
    </row>
    <row r="76" spans="8:13" ht="14.25" customHeight="1">
      <c r="H76" s="2">
        <v>68</v>
      </c>
      <c r="I76" s="50">
        <f t="shared" si="5"/>
        <v>3.5000000000000003E-2</v>
      </c>
      <c r="J76" s="13">
        <f t="shared" si="6"/>
        <v>2245.2234390441222</v>
      </c>
      <c r="K76" s="13">
        <f t="shared" si="7"/>
        <v>1288.7807797144328</v>
      </c>
      <c r="L76" s="12">
        <f t="shared" si="8"/>
        <v>956.44265932968938</v>
      </c>
      <c r="M76" s="12">
        <f t="shared" si="9"/>
        <v>440911.25324276165</v>
      </c>
    </row>
    <row r="77" spans="8:13" ht="14.25" customHeight="1">
      <c r="H77" s="2">
        <v>69</v>
      </c>
      <c r="I77" s="50">
        <f t="shared" si="5"/>
        <v>3.5000000000000003E-2</v>
      </c>
      <c r="J77" s="13">
        <f t="shared" si="6"/>
        <v>2245.2234390441222</v>
      </c>
      <c r="K77" s="13">
        <f t="shared" si="7"/>
        <v>1285.9911552913879</v>
      </c>
      <c r="L77" s="12">
        <f t="shared" si="8"/>
        <v>959.23228375273425</v>
      </c>
      <c r="M77" s="12">
        <f t="shared" si="9"/>
        <v>439952.02095900889</v>
      </c>
    </row>
    <row r="78" spans="8:13" ht="14.25" customHeight="1">
      <c r="H78" s="2">
        <v>70</v>
      </c>
      <c r="I78" s="50">
        <f t="shared" si="5"/>
        <v>3.5000000000000003E-2</v>
      </c>
      <c r="J78" s="13">
        <f t="shared" si="6"/>
        <v>2245.2234390441222</v>
      </c>
      <c r="K78" s="13">
        <f t="shared" si="7"/>
        <v>1283.1933944637758</v>
      </c>
      <c r="L78" s="12">
        <f t="shared" si="8"/>
        <v>962.03004458034638</v>
      </c>
      <c r="M78" s="12">
        <f t="shared" si="9"/>
        <v>438989.99091442855</v>
      </c>
    </row>
    <row r="79" spans="8:13" ht="14.25" customHeight="1">
      <c r="H79" s="2">
        <v>71</v>
      </c>
      <c r="I79" s="50">
        <f t="shared" si="5"/>
        <v>3.5000000000000003E-2</v>
      </c>
      <c r="J79" s="13">
        <f t="shared" si="6"/>
        <v>2245.2234390441222</v>
      </c>
      <c r="K79" s="13">
        <f t="shared" si="7"/>
        <v>1280.3874735004165</v>
      </c>
      <c r="L79" s="12">
        <f t="shared" si="8"/>
        <v>964.8359655437057</v>
      </c>
      <c r="M79" s="12">
        <f t="shared" si="9"/>
        <v>438025.15494888485</v>
      </c>
    </row>
    <row r="80" spans="8:13" ht="14.25" customHeight="1">
      <c r="H80" s="2">
        <v>72</v>
      </c>
      <c r="I80" s="50">
        <f t="shared" si="5"/>
        <v>3.5000000000000003E-2</v>
      </c>
      <c r="J80" s="13">
        <f t="shared" si="6"/>
        <v>2245.2234390441222</v>
      </c>
      <c r="K80" s="13">
        <f t="shared" si="7"/>
        <v>1277.5733686009139</v>
      </c>
      <c r="L80" s="12">
        <f t="shared" si="8"/>
        <v>967.65007044320828</v>
      </c>
      <c r="M80" s="12">
        <f t="shared" si="9"/>
        <v>437057.50487844163</v>
      </c>
    </row>
    <row r="81" spans="8:13" ht="14.25" customHeight="1">
      <c r="H81" s="2">
        <v>73</v>
      </c>
      <c r="I81" s="50">
        <f t="shared" si="5"/>
        <v>3.5000000000000003E-2</v>
      </c>
      <c r="J81" s="13">
        <f t="shared" si="6"/>
        <v>2245.2234390441222</v>
      </c>
      <c r="K81" s="13">
        <f t="shared" si="7"/>
        <v>1274.7510558954546</v>
      </c>
      <c r="L81" s="12">
        <f t="shared" si="8"/>
        <v>970.47238314866763</v>
      </c>
      <c r="M81" s="12">
        <f t="shared" si="9"/>
        <v>436087.03249529295</v>
      </c>
    </row>
    <row r="82" spans="8:13" ht="14.25" customHeight="1">
      <c r="H82" s="2">
        <v>74</v>
      </c>
      <c r="I82" s="50">
        <f t="shared" si="5"/>
        <v>3.5000000000000003E-2</v>
      </c>
      <c r="J82" s="13">
        <f t="shared" si="6"/>
        <v>2245.2234390441222</v>
      </c>
      <c r="K82" s="13">
        <f t="shared" si="7"/>
        <v>1271.9205114446045</v>
      </c>
      <c r="L82" s="12">
        <f t="shared" si="8"/>
        <v>973.30292759951772</v>
      </c>
      <c r="M82" s="12">
        <f t="shared" si="9"/>
        <v>435113.72956769343</v>
      </c>
    </row>
    <row r="83" spans="8:13" ht="14.25" customHeight="1">
      <c r="H83" s="2">
        <v>75</v>
      </c>
      <c r="I83" s="50">
        <f t="shared" si="5"/>
        <v>3.5000000000000003E-2</v>
      </c>
      <c r="J83" s="13">
        <f t="shared" si="6"/>
        <v>2245.2234390441222</v>
      </c>
      <c r="K83" s="13">
        <f t="shared" si="7"/>
        <v>1269.0817112391057</v>
      </c>
      <c r="L83" s="12">
        <f t="shared" si="8"/>
        <v>976.14172780501644</v>
      </c>
      <c r="M83" s="12">
        <f t="shared" si="9"/>
        <v>434137.58783988841</v>
      </c>
    </row>
    <row r="84" spans="8:13" ht="14.25" customHeight="1">
      <c r="H84" s="2">
        <v>76</v>
      </c>
      <c r="I84" s="50">
        <f t="shared" si="5"/>
        <v>3.5000000000000003E-2</v>
      </c>
      <c r="J84" s="13">
        <f t="shared" si="6"/>
        <v>2245.2234390441222</v>
      </c>
      <c r="K84" s="13">
        <f t="shared" si="7"/>
        <v>1266.2346311996746</v>
      </c>
      <c r="L84" s="12">
        <f t="shared" si="8"/>
        <v>978.98880784444759</v>
      </c>
      <c r="M84" s="12">
        <f t="shared" si="9"/>
        <v>433158.59903204395</v>
      </c>
    </row>
    <row r="85" spans="8:13" ht="14.25" customHeight="1">
      <c r="H85" s="2">
        <v>77</v>
      </c>
      <c r="I85" s="50">
        <f t="shared" si="5"/>
        <v>3.5000000000000003E-2</v>
      </c>
      <c r="J85" s="13">
        <f t="shared" si="6"/>
        <v>2245.2234390441222</v>
      </c>
      <c r="K85" s="13">
        <f t="shared" si="7"/>
        <v>1263.3792471767949</v>
      </c>
      <c r="L85" s="12">
        <f t="shared" si="8"/>
        <v>981.84419186732725</v>
      </c>
      <c r="M85" s="12">
        <f t="shared" si="9"/>
        <v>432176.75484017661</v>
      </c>
    </row>
    <row r="86" spans="8:13" ht="14.25" customHeight="1">
      <c r="H86" s="2">
        <v>78</v>
      </c>
      <c r="I86" s="50">
        <f t="shared" si="5"/>
        <v>3.5000000000000003E-2</v>
      </c>
      <c r="J86" s="13">
        <f t="shared" si="6"/>
        <v>2245.2234390441222</v>
      </c>
      <c r="K86" s="13">
        <f t="shared" si="7"/>
        <v>1260.5155349505151</v>
      </c>
      <c r="L86" s="12">
        <f t="shared" si="8"/>
        <v>984.70790409360711</v>
      </c>
      <c r="M86" s="12">
        <f t="shared" si="9"/>
        <v>431192.046936083</v>
      </c>
    </row>
    <row r="87" spans="8:13" ht="14.25" customHeight="1">
      <c r="H87" s="2">
        <v>79</v>
      </c>
      <c r="I87" s="50">
        <f t="shared" si="5"/>
        <v>3.5000000000000003E-2</v>
      </c>
      <c r="J87" s="13">
        <f t="shared" si="6"/>
        <v>2245.2234390441222</v>
      </c>
      <c r="K87" s="13">
        <f t="shared" si="7"/>
        <v>1257.6434702302424</v>
      </c>
      <c r="L87" s="12">
        <f t="shared" si="8"/>
        <v>987.57996881387976</v>
      </c>
      <c r="M87" s="12">
        <f t="shared" si="9"/>
        <v>430204.46696726914</v>
      </c>
    </row>
    <row r="88" spans="8:13" ht="14.25" customHeight="1">
      <c r="H88" s="2">
        <v>80</v>
      </c>
      <c r="I88" s="50">
        <f t="shared" si="5"/>
        <v>3.5000000000000003E-2</v>
      </c>
      <c r="J88" s="13">
        <f t="shared" si="6"/>
        <v>2245.2234390441222</v>
      </c>
      <c r="K88" s="13">
        <f t="shared" si="7"/>
        <v>1254.7630286545352</v>
      </c>
      <c r="L88" s="12">
        <f t="shared" si="8"/>
        <v>990.46041038958697</v>
      </c>
      <c r="M88" s="12">
        <f t="shared" si="9"/>
        <v>429214.00655687955</v>
      </c>
    </row>
    <row r="89" spans="8:13" ht="14.25" customHeight="1">
      <c r="H89" s="2">
        <v>81</v>
      </c>
      <c r="I89" s="50">
        <f t="shared" si="5"/>
        <v>3.5000000000000003E-2</v>
      </c>
      <c r="J89" s="13">
        <f t="shared" si="6"/>
        <v>2245.2234390441222</v>
      </c>
      <c r="K89" s="13">
        <f t="shared" si="7"/>
        <v>1251.8741857908988</v>
      </c>
      <c r="L89" s="12">
        <f t="shared" si="8"/>
        <v>993.34925325322342</v>
      </c>
      <c r="M89" s="12">
        <f t="shared" si="9"/>
        <v>428220.65730362636</v>
      </c>
    </row>
    <row r="90" spans="8:13" ht="14.25" customHeight="1">
      <c r="H90" s="2">
        <v>82</v>
      </c>
      <c r="I90" s="50">
        <f t="shared" si="5"/>
        <v>3.5000000000000003E-2</v>
      </c>
      <c r="J90" s="13">
        <f t="shared" si="6"/>
        <v>2245.2234390441222</v>
      </c>
      <c r="K90" s="13">
        <f t="shared" si="7"/>
        <v>1248.9769171355767</v>
      </c>
      <c r="L90" s="12">
        <f t="shared" si="8"/>
        <v>996.24652190854545</v>
      </c>
      <c r="M90" s="12">
        <f t="shared" si="9"/>
        <v>427224.4107817178</v>
      </c>
    </row>
    <row r="91" spans="8:13" ht="14.25" customHeight="1">
      <c r="H91" s="2">
        <v>83</v>
      </c>
      <c r="I91" s="50">
        <f t="shared" si="5"/>
        <v>3.5000000000000003E-2</v>
      </c>
      <c r="J91" s="13">
        <f t="shared" si="6"/>
        <v>2245.2234390441222</v>
      </c>
      <c r="K91" s="13">
        <f t="shared" si="7"/>
        <v>1246.0711981133434</v>
      </c>
      <c r="L91" s="12">
        <f t="shared" si="8"/>
        <v>999.15224093077882</v>
      </c>
      <c r="M91" s="12">
        <f t="shared" si="9"/>
        <v>426225.25854078704</v>
      </c>
    </row>
    <row r="92" spans="8:13" ht="14.25" customHeight="1">
      <c r="H92" s="2">
        <v>84</v>
      </c>
      <c r="I92" s="50">
        <f t="shared" si="5"/>
        <v>3.5000000000000003E-2</v>
      </c>
      <c r="J92" s="13">
        <f t="shared" si="6"/>
        <v>2245.2234390441222</v>
      </c>
      <c r="K92" s="13">
        <f t="shared" si="7"/>
        <v>1243.1570040772954</v>
      </c>
      <c r="L92" s="12">
        <f t="shared" si="8"/>
        <v>1002.0664349668268</v>
      </c>
      <c r="M92" s="12">
        <f t="shared" si="9"/>
        <v>425223.19210582023</v>
      </c>
    </row>
    <row r="93" spans="8:13" ht="14.25" customHeight="1">
      <c r="H93" s="2">
        <v>85</v>
      </c>
      <c r="I93" s="50">
        <f t="shared" si="5"/>
        <v>3.5000000000000003E-2</v>
      </c>
      <c r="J93" s="13">
        <f t="shared" si="6"/>
        <v>2245.2234390441222</v>
      </c>
      <c r="K93" s="13">
        <f t="shared" si="7"/>
        <v>1240.2343103086421</v>
      </c>
      <c r="L93" s="12">
        <f t="shared" si="8"/>
        <v>1004.9891287354801</v>
      </c>
      <c r="M93" s="12">
        <f t="shared" si="9"/>
        <v>424218.20297708473</v>
      </c>
    </row>
    <row r="94" spans="8:13" ht="14.25" customHeight="1">
      <c r="H94" s="2">
        <v>86</v>
      </c>
      <c r="I94" s="50">
        <f t="shared" si="5"/>
        <v>3.5000000000000003E-2</v>
      </c>
      <c r="J94" s="13">
        <f t="shared" si="6"/>
        <v>2245.2234390441222</v>
      </c>
      <c r="K94" s="13">
        <f t="shared" si="7"/>
        <v>1237.303092016497</v>
      </c>
      <c r="L94" s="12">
        <f t="shared" si="8"/>
        <v>1007.9203470276252</v>
      </c>
      <c r="M94" s="12">
        <f t="shared" si="9"/>
        <v>423210.28263005713</v>
      </c>
    </row>
    <row r="95" spans="8:13" ht="14.25" customHeight="1">
      <c r="H95" s="2">
        <v>87</v>
      </c>
      <c r="I95" s="50">
        <f t="shared" si="5"/>
        <v>3.5000000000000003E-2</v>
      </c>
      <c r="J95" s="13">
        <f t="shared" si="6"/>
        <v>2245.2234390441222</v>
      </c>
      <c r="K95" s="13">
        <f t="shared" si="7"/>
        <v>1234.3633243376667</v>
      </c>
      <c r="L95" s="12">
        <f t="shared" si="8"/>
        <v>1010.8601147064555</v>
      </c>
      <c r="M95" s="12">
        <f t="shared" si="9"/>
        <v>422199.42251535068</v>
      </c>
    </row>
    <row r="96" spans="8:13" ht="14.25" customHeight="1">
      <c r="H96" s="2">
        <v>88</v>
      </c>
      <c r="I96" s="50">
        <f t="shared" si="5"/>
        <v>3.5000000000000003E-2</v>
      </c>
      <c r="J96" s="13">
        <f t="shared" si="6"/>
        <v>2245.2234390441222</v>
      </c>
      <c r="K96" s="13">
        <f t="shared" si="7"/>
        <v>1231.4149823364394</v>
      </c>
      <c r="L96" s="12">
        <f t="shared" si="8"/>
        <v>1013.8084567076828</v>
      </c>
      <c r="M96" s="12">
        <f t="shared" si="9"/>
        <v>421185.614058643</v>
      </c>
    </row>
    <row r="97" spans="8:13" ht="14.25" customHeight="1">
      <c r="H97" s="2">
        <v>89</v>
      </c>
      <c r="I97" s="50">
        <f t="shared" si="5"/>
        <v>3.5000000000000003E-2</v>
      </c>
      <c r="J97" s="13">
        <f t="shared" si="6"/>
        <v>2245.2234390441222</v>
      </c>
      <c r="K97" s="13">
        <f t="shared" si="7"/>
        <v>1228.4580410043752</v>
      </c>
      <c r="L97" s="12">
        <f t="shared" si="8"/>
        <v>1016.765398039747</v>
      </c>
      <c r="M97" s="12">
        <f t="shared" si="9"/>
        <v>420168.84866060322</v>
      </c>
    </row>
    <row r="98" spans="8:13" ht="14.25" customHeight="1">
      <c r="H98" s="2">
        <v>90</v>
      </c>
      <c r="I98" s="50">
        <f t="shared" si="5"/>
        <v>3.5000000000000003E-2</v>
      </c>
      <c r="J98" s="13">
        <f t="shared" si="6"/>
        <v>2245.2234390441222</v>
      </c>
      <c r="K98" s="13">
        <f t="shared" si="7"/>
        <v>1225.4924752600928</v>
      </c>
      <c r="L98" s="12">
        <f t="shared" si="8"/>
        <v>1019.7309637840294</v>
      </c>
      <c r="M98" s="12">
        <f t="shared" si="9"/>
        <v>419149.11769681919</v>
      </c>
    </row>
    <row r="99" spans="8:13" ht="14.25" customHeight="1">
      <c r="H99" s="2">
        <v>91</v>
      </c>
      <c r="I99" s="50">
        <f t="shared" si="5"/>
        <v>3.5000000000000003E-2</v>
      </c>
      <c r="J99" s="13">
        <f t="shared" si="6"/>
        <v>2245.2234390441222</v>
      </c>
      <c r="K99" s="13">
        <f t="shared" si="7"/>
        <v>1222.5182599490556</v>
      </c>
      <c r="L99" s="12">
        <f t="shared" si="8"/>
        <v>1022.7051790950666</v>
      </c>
      <c r="M99" s="12">
        <f t="shared" si="9"/>
        <v>418126.41251772409</v>
      </c>
    </row>
    <row r="100" spans="8:13" ht="14.25" customHeight="1">
      <c r="H100" s="2">
        <v>92</v>
      </c>
      <c r="I100" s="50">
        <f t="shared" si="5"/>
        <v>3.5000000000000003E-2</v>
      </c>
      <c r="J100" s="13">
        <f t="shared" si="6"/>
        <v>2245.2234390441222</v>
      </c>
      <c r="K100" s="13">
        <f t="shared" si="7"/>
        <v>1219.5353698433621</v>
      </c>
      <c r="L100" s="12">
        <f t="shared" si="8"/>
        <v>1025.6880692007601</v>
      </c>
      <c r="M100" s="12">
        <f t="shared" si="9"/>
        <v>417100.72444852331</v>
      </c>
    </row>
    <row r="101" spans="8:13" ht="14.25" customHeight="1">
      <c r="H101" s="2">
        <v>93</v>
      </c>
      <c r="I101" s="50">
        <f t="shared" si="5"/>
        <v>3.5000000000000003E-2</v>
      </c>
      <c r="J101" s="13">
        <f t="shared" si="6"/>
        <v>2245.2234390441222</v>
      </c>
      <c r="K101" s="13">
        <f t="shared" si="7"/>
        <v>1216.5437796415263</v>
      </c>
      <c r="L101" s="12">
        <f t="shared" si="8"/>
        <v>1028.6796594025959</v>
      </c>
      <c r="M101" s="12">
        <f t="shared" si="9"/>
        <v>416072.04478912073</v>
      </c>
    </row>
    <row r="102" spans="8:13" ht="14.25" customHeight="1">
      <c r="H102" s="2">
        <v>94</v>
      </c>
      <c r="I102" s="50">
        <f t="shared" si="5"/>
        <v>3.5000000000000003E-2</v>
      </c>
      <c r="J102" s="13">
        <f t="shared" si="6"/>
        <v>2245.2234390441222</v>
      </c>
      <c r="K102" s="13">
        <f t="shared" si="7"/>
        <v>1213.543463968269</v>
      </c>
      <c r="L102" s="12">
        <f t="shared" si="8"/>
        <v>1031.6799750758532</v>
      </c>
      <c r="M102" s="12">
        <f t="shared" si="9"/>
        <v>415040.36481404485</v>
      </c>
    </row>
    <row r="103" spans="8:13" ht="14.25" customHeight="1">
      <c r="H103" s="2">
        <v>95</v>
      </c>
      <c r="I103" s="50">
        <f t="shared" si="5"/>
        <v>3.5000000000000003E-2</v>
      </c>
      <c r="J103" s="13">
        <f t="shared" si="6"/>
        <v>2245.2234390441222</v>
      </c>
      <c r="K103" s="13">
        <f t="shared" si="7"/>
        <v>1210.5343973742974</v>
      </c>
      <c r="L103" s="12">
        <f t="shared" si="8"/>
        <v>1034.6890416698247</v>
      </c>
      <c r="M103" s="12">
        <f t="shared" si="9"/>
        <v>414005.67577237502</v>
      </c>
    </row>
    <row r="104" spans="8:13" ht="14.25" customHeight="1">
      <c r="H104" s="2">
        <v>96</v>
      </c>
      <c r="I104" s="50">
        <f t="shared" si="5"/>
        <v>3.5000000000000003E-2</v>
      </c>
      <c r="J104" s="13">
        <f t="shared" si="6"/>
        <v>2245.2234390441222</v>
      </c>
      <c r="K104" s="13">
        <f t="shared" si="7"/>
        <v>1207.5165543360938</v>
      </c>
      <c r="L104" s="12">
        <f t="shared" si="8"/>
        <v>1037.7068847080284</v>
      </c>
      <c r="M104" s="12">
        <f t="shared" si="9"/>
        <v>412967.968887667</v>
      </c>
    </row>
    <row r="105" spans="8:13" ht="14.25" customHeight="1">
      <c r="H105" s="2">
        <v>97</v>
      </c>
      <c r="I105" s="50">
        <f t="shared" si="5"/>
        <v>3.5000000000000003E-2</v>
      </c>
      <c r="J105" s="13">
        <f t="shared" si="6"/>
        <v>2245.2234390441222</v>
      </c>
      <c r="K105" s="13">
        <f t="shared" si="7"/>
        <v>1204.4899092556957</v>
      </c>
      <c r="L105" s="12">
        <f t="shared" si="8"/>
        <v>1040.7335297884265</v>
      </c>
      <c r="M105" s="12">
        <f t="shared" si="9"/>
        <v>411927.23535787856</v>
      </c>
    </row>
    <row r="106" spans="8:13" ht="14.25" customHeight="1">
      <c r="H106" s="2">
        <v>98</v>
      </c>
      <c r="I106" s="50">
        <f t="shared" si="5"/>
        <v>3.5000000000000003E-2</v>
      </c>
      <c r="J106" s="13">
        <f t="shared" si="6"/>
        <v>2245.2234390441222</v>
      </c>
      <c r="K106" s="13">
        <f t="shared" si="7"/>
        <v>1201.4544364604792</v>
      </c>
      <c r="L106" s="12">
        <f t="shared" si="8"/>
        <v>1043.769002583643</v>
      </c>
      <c r="M106" s="12">
        <f t="shared" si="9"/>
        <v>410883.46635529492</v>
      </c>
    </row>
    <row r="107" spans="8:13" ht="14.25" customHeight="1">
      <c r="H107" s="2">
        <v>99</v>
      </c>
      <c r="I107" s="50">
        <f t="shared" si="5"/>
        <v>3.5000000000000003E-2</v>
      </c>
      <c r="J107" s="13">
        <f t="shared" si="6"/>
        <v>2245.2234390441222</v>
      </c>
      <c r="K107" s="13">
        <f t="shared" si="7"/>
        <v>1198.4101102029433</v>
      </c>
      <c r="L107" s="12">
        <f t="shared" si="8"/>
        <v>1046.8133288411789</v>
      </c>
      <c r="M107" s="12">
        <f t="shared" si="9"/>
        <v>409836.65302645374</v>
      </c>
    </row>
    <row r="108" spans="8:13" ht="14.25" customHeight="1">
      <c r="H108" s="2">
        <v>100</v>
      </c>
      <c r="I108" s="50">
        <f t="shared" si="5"/>
        <v>3.5000000000000003E-2</v>
      </c>
      <c r="J108" s="13">
        <f t="shared" si="6"/>
        <v>2245.2234390441222</v>
      </c>
      <c r="K108" s="13">
        <f t="shared" si="7"/>
        <v>1195.35690466049</v>
      </c>
      <c r="L108" s="12">
        <f t="shared" si="8"/>
        <v>1049.8665343836321</v>
      </c>
      <c r="M108" s="12">
        <f t="shared" si="9"/>
        <v>408786.78649207012</v>
      </c>
    </row>
    <row r="109" spans="8:13" ht="14.25" customHeight="1">
      <c r="H109" s="2">
        <v>101</v>
      </c>
      <c r="I109" s="50">
        <f t="shared" si="5"/>
        <v>3.5000000000000003E-2</v>
      </c>
      <c r="J109" s="13">
        <f t="shared" si="6"/>
        <v>2245.2234390441222</v>
      </c>
      <c r="K109" s="13">
        <f t="shared" si="7"/>
        <v>1192.2947939352048</v>
      </c>
      <c r="L109" s="12">
        <f t="shared" si="8"/>
        <v>1052.9286451089174</v>
      </c>
      <c r="M109" s="12">
        <f t="shared" si="9"/>
        <v>407733.85784696118</v>
      </c>
    </row>
    <row r="110" spans="8:13" ht="14.25" customHeight="1">
      <c r="H110" s="2">
        <v>102</v>
      </c>
      <c r="I110" s="50">
        <f t="shared" si="5"/>
        <v>3.5000000000000003E-2</v>
      </c>
      <c r="J110" s="13">
        <f t="shared" si="6"/>
        <v>2245.2234390441222</v>
      </c>
      <c r="K110" s="13">
        <f t="shared" si="7"/>
        <v>1189.2237520536371</v>
      </c>
      <c r="L110" s="12">
        <f t="shared" si="8"/>
        <v>1055.9996869904851</v>
      </c>
      <c r="M110" s="12">
        <f t="shared" si="9"/>
        <v>406677.85815997072</v>
      </c>
    </row>
    <row r="111" spans="8:13" ht="14.25" customHeight="1">
      <c r="H111" s="2">
        <v>103</v>
      </c>
      <c r="I111" s="50">
        <f t="shared" si="5"/>
        <v>3.5000000000000003E-2</v>
      </c>
      <c r="J111" s="13">
        <f t="shared" si="6"/>
        <v>2245.2234390441222</v>
      </c>
      <c r="K111" s="13">
        <f t="shared" si="7"/>
        <v>1186.1437529665811</v>
      </c>
      <c r="L111" s="12">
        <f t="shared" si="8"/>
        <v>1059.0796860775411</v>
      </c>
      <c r="M111" s="12">
        <f t="shared" si="9"/>
        <v>405618.77847389318</v>
      </c>
    </row>
    <row r="112" spans="8:13" ht="14.25" customHeight="1">
      <c r="H112" s="2">
        <v>104</v>
      </c>
      <c r="I112" s="50">
        <f t="shared" si="5"/>
        <v>3.5000000000000003E-2</v>
      </c>
      <c r="J112" s="13">
        <f t="shared" si="6"/>
        <v>2245.2234390441222</v>
      </c>
      <c r="K112" s="13">
        <f t="shared" si="7"/>
        <v>1183.0547705488552</v>
      </c>
      <c r="L112" s="12">
        <f t="shared" si="8"/>
        <v>1062.168668495267</v>
      </c>
      <c r="M112" s="12">
        <f t="shared" si="9"/>
        <v>404556.60980539792</v>
      </c>
    </row>
    <row r="113" spans="8:13" ht="14.25" customHeight="1">
      <c r="H113" s="2">
        <v>105</v>
      </c>
      <c r="I113" s="50">
        <f t="shared" si="5"/>
        <v>3.5000000000000003E-2</v>
      </c>
      <c r="J113" s="13">
        <f t="shared" si="6"/>
        <v>2245.2234390441222</v>
      </c>
      <c r="K113" s="13">
        <f t="shared" si="7"/>
        <v>1179.9567785990773</v>
      </c>
      <c r="L113" s="12">
        <f t="shared" si="8"/>
        <v>1065.2666604450449</v>
      </c>
      <c r="M113" s="12">
        <f t="shared" si="9"/>
        <v>403491.3431449529</v>
      </c>
    </row>
    <row r="114" spans="8:13" ht="14.25" customHeight="1">
      <c r="H114" s="2">
        <v>106</v>
      </c>
      <c r="I114" s="50">
        <f t="shared" si="5"/>
        <v>3.5000000000000003E-2</v>
      </c>
      <c r="J114" s="13">
        <f t="shared" si="6"/>
        <v>2245.2234390441222</v>
      </c>
      <c r="K114" s="13">
        <f t="shared" si="7"/>
        <v>1176.849750839446</v>
      </c>
      <c r="L114" s="12">
        <f t="shared" si="8"/>
        <v>1068.3736882046762</v>
      </c>
      <c r="M114" s="12">
        <f t="shared" si="9"/>
        <v>402422.96945674822</v>
      </c>
    </row>
    <row r="115" spans="8:13" ht="14.25" customHeight="1">
      <c r="H115" s="2">
        <v>107</v>
      </c>
      <c r="I115" s="50">
        <f t="shared" si="5"/>
        <v>3.5000000000000003E-2</v>
      </c>
      <c r="J115" s="13">
        <f t="shared" si="6"/>
        <v>2245.2234390441222</v>
      </c>
      <c r="K115" s="13">
        <f t="shared" si="7"/>
        <v>1173.7336609155154</v>
      </c>
      <c r="L115" s="12">
        <f t="shared" si="8"/>
        <v>1071.4897781286068</v>
      </c>
      <c r="M115" s="12">
        <f t="shared" si="9"/>
        <v>401351.47967861959</v>
      </c>
    </row>
    <row r="116" spans="8:13" ht="14.25" customHeight="1">
      <c r="H116" s="2">
        <v>108</v>
      </c>
      <c r="I116" s="50">
        <f t="shared" si="5"/>
        <v>3.5000000000000003E-2</v>
      </c>
      <c r="J116" s="13">
        <f t="shared" si="6"/>
        <v>2245.2234390441222</v>
      </c>
      <c r="K116" s="13">
        <f t="shared" si="7"/>
        <v>1170.6084823959739</v>
      </c>
      <c r="L116" s="12">
        <f t="shared" si="8"/>
        <v>1074.6149566481483</v>
      </c>
      <c r="M116" s="12">
        <f t="shared" si="9"/>
        <v>400276.86472197145</v>
      </c>
    </row>
    <row r="117" spans="8:13" ht="14.25" customHeight="1">
      <c r="H117" s="2">
        <v>109</v>
      </c>
      <c r="I117" s="50">
        <f t="shared" si="5"/>
        <v>3.5000000000000003E-2</v>
      </c>
      <c r="J117" s="13">
        <f t="shared" si="6"/>
        <v>2245.2234390441222</v>
      </c>
      <c r="K117" s="13">
        <f t="shared" si="7"/>
        <v>1167.4741887724167</v>
      </c>
      <c r="L117" s="12">
        <f t="shared" si="8"/>
        <v>1077.7492502717055</v>
      </c>
      <c r="M117" s="12">
        <f t="shared" si="9"/>
        <v>399199.11547169974</v>
      </c>
    </row>
    <row r="118" spans="8:13" ht="14.25" customHeight="1">
      <c r="H118" s="2">
        <v>110</v>
      </c>
      <c r="I118" s="50">
        <f t="shared" si="5"/>
        <v>3.5000000000000003E-2</v>
      </c>
      <c r="J118" s="13">
        <f t="shared" si="6"/>
        <v>2245.2234390441222</v>
      </c>
      <c r="K118" s="13">
        <f t="shared" si="7"/>
        <v>1164.330753459124</v>
      </c>
      <c r="L118" s="12">
        <f t="shared" si="8"/>
        <v>1080.8926855849982</v>
      </c>
      <c r="M118" s="12">
        <f t="shared" si="9"/>
        <v>398118.22278611473</v>
      </c>
    </row>
    <row r="119" spans="8:13" ht="14.25" customHeight="1">
      <c r="H119" s="2">
        <v>111</v>
      </c>
      <c r="I119" s="50">
        <f t="shared" si="5"/>
        <v>3.5000000000000003E-2</v>
      </c>
      <c r="J119" s="13">
        <f t="shared" si="6"/>
        <v>2245.2234390441222</v>
      </c>
      <c r="K119" s="13">
        <f t="shared" si="7"/>
        <v>1161.1781497928346</v>
      </c>
      <c r="L119" s="12">
        <f t="shared" si="8"/>
        <v>1084.0452892512876</v>
      </c>
      <c r="M119" s="12">
        <f t="shared" si="9"/>
        <v>397034.17749686341</v>
      </c>
    </row>
    <row r="120" spans="8:13" ht="14.25" customHeight="1">
      <c r="H120" s="2">
        <v>112</v>
      </c>
      <c r="I120" s="50">
        <f t="shared" si="5"/>
        <v>3.5000000000000003E-2</v>
      </c>
      <c r="J120" s="13">
        <f t="shared" si="6"/>
        <v>2245.2234390441222</v>
      </c>
      <c r="K120" s="13">
        <f t="shared" si="7"/>
        <v>1158.0163510325185</v>
      </c>
      <c r="L120" s="12">
        <f t="shared" si="8"/>
        <v>1087.2070880116037</v>
      </c>
      <c r="M120" s="12">
        <f t="shared" si="9"/>
        <v>395946.9704088518</v>
      </c>
    </row>
    <row r="121" spans="8:13" ht="14.25" customHeight="1">
      <c r="H121" s="2">
        <v>113</v>
      </c>
      <c r="I121" s="50">
        <f t="shared" si="5"/>
        <v>3.5000000000000003E-2</v>
      </c>
      <c r="J121" s="13">
        <f t="shared" si="6"/>
        <v>2245.2234390441222</v>
      </c>
      <c r="K121" s="13">
        <f t="shared" si="7"/>
        <v>1154.8453303591514</v>
      </c>
      <c r="L121" s="12">
        <f t="shared" si="8"/>
        <v>1090.3781086849708</v>
      </c>
      <c r="M121" s="12">
        <f t="shared" si="9"/>
        <v>394856.59230016684</v>
      </c>
    </row>
    <row r="122" spans="8:13" ht="14.25" customHeight="1">
      <c r="H122" s="2">
        <v>114</v>
      </c>
      <c r="I122" s="50">
        <f t="shared" si="5"/>
        <v>3.5000000000000003E-2</v>
      </c>
      <c r="J122" s="13">
        <f t="shared" si="6"/>
        <v>2245.2234390441222</v>
      </c>
      <c r="K122" s="13">
        <f t="shared" si="7"/>
        <v>1151.6650608754869</v>
      </c>
      <c r="L122" s="12">
        <f t="shared" si="8"/>
        <v>1093.5583781686353</v>
      </c>
      <c r="M122" s="12">
        <f t="shared" si="9"/>
        <v>393763.03392199823</v>
      </c>
    </row>
    <row r="123" spans="8:13" ht="14.25" customHeight="1">
      <c r="H123" s="2">
        <v>115</v>
      </c>
      <c r="I123" s="50">
        <f t="shared" si="5"/>
        <v>3.5000000000000003E-2</v>
      </c>
      <c r="J123" s="13">
        <f t="shared" si="6"/>
        <v>2245.2234390441222</v>
      </c>
      <c r="K123" s="13">
        <f t="shared" si="7"/>
        <v>1148.4755156058284</v>
      </c>
      <c r="L123" s="12">
        <f t="shared" si="8"/>
        <v>1096.7479234382938</v>
      </c>
      <c r="M123" s="12">
        <f t="shared" si="9"/>
        <v>392666.28599855991</v>
      </c>
    </row>
    <row r="124" spans="8:13" ht="14.25" customHeight="1">
      <c r="H124" s="2">
        <v>116</v>
      </c>
      <c r="I124" s="50">
        <f t="shared" si="5"/>
        <v>3.5000000000000003E-2</v>
      </c>
      <c r="J124" s="13">
        <f t="shared" si="6"/>
        <v>2245.2234390441222</v>
      </c>
      <c r="K124" s="13">
        <f t="shared" si="7"/>
        <v>1145.2766674958</v>
      </c>
      <c r="L124" s="12">
        <f t="shared" si="8"/>
        <v>1099.9467715483222</v>
      </c>
      <c r="M124" s="12">
        <f t="shared" si="9"/>
        <v>391566.3392270116</v>
      </c>
    </row>
    <row r="125" spans="8:13" ht="14.25" customHeight="1">
      <c r="H125" s="2">
        <v>117</v>
      </c>
      <c r="I125" s="50">
        <f t="shared" si="5"/>
        <v>3.5000000000000003E-2</v>
      </c>
      <c r="J125" s="13">
        <f t="shared" si="6"/>
        <v>2245.2234390441222</v>
      </c>
      <c r="K125" s="13">
        <f t="shared" si="7"/>
        <v>1142.0684894121173</v>
      </c>
      <c r="L125" s="12">
        <f t="shared" si="8"/>
        <v>1103.1549496320049</v>
      </c>
      <c r="M125" s="12">
        <f t="shared" si="9"/>
        <v>390463.18427737959</v>
      </c>
    </row>
    <row r="126" spans="8:13" ht="14.25" customHeight="1">
      <c r="H126" s="2">
        <v>118</v>
      </c>
      <c r="I126" s="50">
        <f t="shared" si="5"/>
        <v>3.5000000000000003E-2</v>
      </c>
      <c r="J126" s="13">
        <f t="shared" si="6"/>
        <v>2245.2234390441222</v>
      </c>
      <c r="K126" s="13">
        <f t="shared" si="7"/>
        <v>1138.8509541423573</v>
      </c>
      <c r="L126" s="12">
        <f t="shared" si="8"/>
        <v>1106.3724849017649</v>
      </c>
      <c r="M126" s="12">
        <f t="shared" si="9"/>
        <v>389356.81179247785</v>
      </c>
    </row>
    <row r="127" spans="8:13" ht="14.25" customHeight="1">
      <c r="H127" s="2">
        <v>119</v>
      </c>
      <c r="I127" s="50">
        <f t="shared" si="5"/>
        <v>3.5000000000000003E-2</v>
      </c>
      <c r="J127" s="13">
        <f t="shared" si="6"/>
        <v>2245.2234390441222</v>
      </c>
      <c r="K127" s="13">
        <f t="shared" si="7"/>
        <v>1135.6240343947272</v>
      </c>
      <c r="L127" s="12">
        <f t="shared" si="8"/>
        <v>1109.599404649395</v>
      </c>
      <c r="M127" s="12">
        <f t="shared" si="9"/>
        <v>388247.21238782845</v>
      </c>
    </row>
    <row r="128" spans="8:13" ht="14.25" customHeight="1">
      <c r="H128" s="2">
        <v>120</v>
      </c>
      <c r="I128" s="50">
        <f t="shared" si="5"/>
        <v>3.5000000000000003E-2</v>
      </c>
      <c r="J128" s="13">
        <f t="shared" si="6"/>
        <v>2245.2234390441222</v>
      </c>
      <c r="K128" s="13">
        <f t="shared" si="7"/>
        <v>1132.3877027978331</v>
      </c>
      <c r="L128" s="12">
        <f t="shared" si="8"/>
        <v>1112.8357362462891</v>
      </c>
      <c r="M128" s="12">
        <f t="shared" si="9"/>
        <v>387134.37665158213</v>
      </c>
    </row>
    <row r="129" spans="8:13" ht="14.25" customHeight="1">
      <c r="H129" s="2">
        <v>121</v>
      </c>
      <c r="I129" s="50">
        <f t="shared" si="5"/>
        <v>3.5000000000000003E-2</v>
      </c>
      <c r="J129" s="13">
        <f t="shared" si="6"/>
        <v>2245.2234390441222</v>
      </c>
      <c r="K129" s="13">
        <f t="shared" si="7"/>
        <v>1129.1419319004481</v>
      </c>
      <c r="L129" s="12">
        <f t="shared" si="8"/>
        <v>1116.0815071436741</v>
      </c>
      <c r="M129" s="12">
        <f t="shared" si="9"/>
        <v>386018.29514443845</v>
      </c>
    </row>
    <row r="130" spans="8:13" ht="14.25" customHeight="1">
      <c r="H130" s="2">
        <v>122</v>
      </c>
      <c r="I130" s="50">
        <f t="shared" si="5"/>
        <v>3.5000000000000003E-2</v>
      </c>
      <c r="J130" s="13">
        <f t="shared" si="6"/>
        <v>2245.2234390441222</v>
      </c>
      <c r="K130" s="13">
        <f t="shared" si="7"/>
        <v>1125.8866941712788</v>
      </c>
      <c r="L130" s="12">
        <f t="shared" si="8"/>
        <v>1119.3367448728434</v>
      </c>
      <c r="M130" s="12">
        <f t="shared" si="9"/>
        <v>384898.9583995656</v>
      </c>
    </row>
    <row r="131" spans="8:13" ht="14.25" customHeight="1">
      <c r="H131" s="2">
        <v>123</v>
      </c>
      <c r="I131" s="50">
        <f t="shared" si="5"/>
        <v>3.5000000000000003E-2</v>
      </c>
      <c r="J131" s="13">
        <f t="shared" si="6"/>
        <v>2245.2234390441222</v>
      </c>
      <c r="K131" s="13">
        <f t="shared" si="7"/>
        <v>1122.6219619987332</v>
      </c>
      <c r="L131" s="12">
        <f t="shared" si="8"/>
        <v>1122.6014770453889</v>
      </c>
      <c r="M131" s="12">
        <f t="shared" si="9"/>
        <v>383776.35692252021</v>
      </c>
    </row>
    <row r="132" spans="8:13" ht="14.25" customHeight="1">
      <c r="H132" s="2">
        <v>124</v>
      </c>
      <c r="I132" s="50">
        <f t="shared" si="5"/>
        <v>3.5000000000000003E-2</v>
      </c>
      <c r="J132" s="13">
        <f t="shared" si="6"/>
        <v>2245.2234390441222</v>
      </c>
      <c r="K132" s="13">
        <f t="shared" si="7"/>
        <v>1119.347707690684</v>
      </c>
      <c r="L132" s="12">
        <f t="shared" si="8"/>
        <v>1125.8757313534381</v>
      </c>
      <c r="M132" s="12">
        <f t="shared" si="9"/>
        <v>382650.48119116679</v>
      </c>
    </row>
    <row r="133" spans="8:13" ht="14.25" customHeight="1">
      <c r="H133" s="2">
        <v>125</v>
      </c>
      <c r="I133" s="50">
        <f t="shared" si="5"/>
        <v>3.5000000000000003E-2</v>
      </c>
      <c r="J133" s="13">
        <f t="shared" si="6"/>
        <v>2245.2234390441222</v>
      </c>
      <c r="K133" s="13">
        <f t="shared" si="7"/>
        <v>1116.0639034742367</v>
      </c>
      <c r="L133" s="12">
        <f t="shared" si="8"/>
        <v>1129.1595355698855</v>
      </c>
      <c r="M133" s="12">
        <f t="shared" si="9"/>
        <v>381521.3216555969</v>
      </c>
    </row>
    <row r="134" spans="8:13" ht="14.25" customHeight="1">
      <c r="H134" s="2">
        <v>126</v>
      </c>
      <c r="I134" s="50">
        <f t="shared" si="5"/>
        <v>3.5000000000000003E-2</v>
      </c>
      <c r="J134" s="13">
        <f t="shared" si="6"/>
        <v>2245.2234390441222</v>
      </c>
      <c r="K134" s="13">
        <f t="shared" si="7"/>
        <v>1112.7705214954913</v>
      </c>
      <c r="L134" s="12">
        <f t="shared" si="8"/>
        <v>1132.4529175486309</v>
      </c>
      <c r="M134" s="12">
        <f t="shared" si="9"/>
        <v>380388.86873804824</v>
      </c>
    </row>
    <row r="135" spans="8:13" ht="14.25" customHeight="1">
      <c r="H135" s="2">
        <v>127</v>
      </c>
      <c r="I135" s="50">
        <f t="shared" si="5"/>
        <v>3.5000000000000003E-2</v>
      </c>
      <c r="J135" s="13">
        <f t="shared" si="6"/>
        <v>2245.2234390441222</v>
      </c>
      <c r="K135" s="13">
        <f t="shared" si="7"/>
        <v>1109.4675338193076</v>
      </c>
      <c r="L135" s="12">
        <f t="shared" si="8"/>
        <v>1135.7559052248146</v>
      </c>
      <c r="M135" s="12">
        <f t="shared" si="9"/>
        <v>379253.11283282342</v>
      </c>
    </row>
    <row r="136" spans="8:13" ht="14.25" customHeight="1">
      <c r="H136" s="2">
        <v>128</v>
      </c>
      <c r="I136" s="50">
        <f t="shared" si="5"/>
        <v>3.5000000000000003E-2</v>
      </c>
      <c r="J136" s="13">
        <f t="shared" si="6"/>
        <v>2245.2234390441222</v>
      </c>
      <c r="K136" s="13">
        <f t="shared" si="7"/>
        <v>1106.1549124290684</v>
      </c>
      <c r="L136" s="12">
        <f t="shared" si="8"/>
        <v>1139.0685266150538</v>
      </c>
      <c r="M136" s="12">
        <f t="shared" si="9"/>
        <v>378114.04430620838</v>
      </c>
    </row>
    <row r="137" spans="8:13" ht="14.25" customHeight="1">
      <c r="H137" s="2">
        <v>129</v>
      </c>
      <c r="I137" s="50">
        <f t="shared" si="5"/>
        <v>3.5000000000000003E-2</v>
      </c>
      <c r="J137" s="13">
        <f t="shared" si="6"/>
        <v>2245.2234390441222</v>
      </c>
      <c r="K137" s="13">
        <f t="shared" si="7"/>
        <v>1102.8326292264414</v>
      </c>
      <c r="L137" s="12">
        <f t="shared" si="8"/>
        <v>1142.3908098176807</v>
      </c>
      <c r="M137" s="12">
        <f t="shared" si="9"/>
        <v>376971.65349639067</v>
      </c>
    </row>
    <row r="138" spans="8:13" ht="14.25" customHeight="1">
      <c r="H138" s="2">
        <v>130</v>
      </c>
      <c r="I138" s="50">
        <f t="shared" ref="I138:I201" si="10">$F$10</f>
        <v>3.5000000000000003E-2</v>
      </c>
      <c r="J138" s="13">
        <f t="shared" ref="J138:J201" si="11">$F$13</f>
        <v>2245.2234390441222</v>
      </c>
      <c r="K138" s="13">
        <f t="shared" ref="K138:K201" si="12">IPMT(I138/12,H138,$F$12,-$F$9,0)</f>
        <v>1099.5006560311399</v>
      </c>
      <c r="L138" s="12">
        <f t="shared" ref="L138:L201" si="13">J138-K138</f>
        <v>1145.7227830129823</v>
      </c>
      <c r="M138" s="12">
        <f t="shared" ref="M138:M201" si="14">M137-L138</f>
        <v>375825.93071337772</v>
      </c>
    </row>
    <row r="139" spans="8:13" ht="14.25" customHeight="1">
      <c r="H139" s="2">
        <v>131</v>
      </c>
      <c r="I139" s="50">
        <f t="shared" si="10"/>
        <v>3.5000000000000003E-2</v>
      </c>
      <c r="J139" s="13">
        <f t="shared" si="11"/>
        <v>2245.2234390441222</v>
      </c>
      <c r="K139" s="13">
        <f t="shared" si="12"/>
        <v>1096.1589645806855</v>
      </c>
      <c r="L139" s="12">
        <f t="shared" si="13"/>
        <v>1149.0644744634367</v>
      </c>
      <c r="M139" s="12">
        <f t="shared" si="14"/>
        <v>374676.86623891426</v>
      </c>
    </row>
    <row r="140" spans="8:13" ht="14.25" customHeight="1">
      <c r="H140" s="2">
        <v>132</v>
      </c>
      <c r="I140" s="50">
        <f t="shared" si="10"/>
        <v>3.5000000000000003E-2</v>
      </c>
      <c r="J140" s="13">
        <f t="shared" si="11"/>
        <v>2245.2234390441222</v>
      </c>
      <c r="K140" s="13">
        <f t="shared" si="12"/>
        <v>1092.807526530167</v>
      </c>
      <c r="L140" s="12">
        <f t="shared" si="13"/>
        <v>1152.4159125139552</v>
      </c>
      <c r="M140" s="12">
        <f t="shared" si="14"/>
        <v>373524.45032640029</v>
      </c>
    </row>
    <row r="141" spans="8:13" ht="14.25" customHeight="1">
      <c r="H141" s="2">
        <v>133</v>
      </c>
      <c r="I141" s="50">
        <f t="shared" si="10"/>
        <v>3.5000000000000003E-2</v>
      </c>
      <c r="J141" s="13">
        <f t="shared" si="11"/>
        <v>2245.2234390441222</v>
      </c>
      <c r="K141" s="13">
        <f t="shared" si="12"/>
        <v>1089.4463134520013</v>
      </c>
      <c r="L141" s="12">
        <f t="shared" si="13"/>
        <v>1155.7771255921209</v>
      </c>
      <c r="M141" s="12">
        <f t="shared" si="14"/>
        <v>372368.67320080817</v>
      </c>
    </row>
    <row r="142" spans="8:13" ht="14.25" customHeight="1">
      <c r="H142" s="2">
        <v>134</v>
      </c>
      <c r="I142" s="50">
        <f t="shared" si="10"/>
        <v>3.5000000000000003E-2</v>
      </c>
      <c r="J142" s="13">
        <f t="shared" si="11"/>
        <v>2245.2234390441222</v>
      </c>
      <c r="K142" s="13">
        <f t="shared" si="12"/>
        <v>1086.075296835691</v>
      </c>
      <c r="L142" s="12">
        <f t="shared" si="13"/>
        <v>1159.1481422084312</v>
      </c>
      <c r="M142" s="12">
        <f t="shared" si="14"/>
        <v>371209.52505859977</v>
      </c>
    </row>
    <row r="143" spans="8:13" ht="14.25" customHeight="1">
      <c r="H143" s="2">
        <v>135</v>
      </c>
      <c r="I143" s="50">
        <f t="shared" si="10"/>
        <v>3.5000000000000003E-2</v>
      </c>
      <c r="J143" s="13">
        <f t="shared" si="11"/>
        <v>2245.2234390441222</v>
      </c>
      <c r="K143" s="13">
        <f t="shared" si="12"/>
        <v>1082.6944480875829</v>
      </c>
      <c r="L143" s="12">
        <f t="shared" si="13"/>
        <v>1162.5289909565392</v>
      </c>
      <c r="M143" s="12">
        <f t="shared" si="14"/>
        <v>370046.99606764322</v>
      </c>
    </row>
    <row r="144" spans="8:13" ht="14.25" customHeight="1">
      <c r="H144" s="2">
        <v>136</v>
      </c>
      <c r="I144" s="50">
        <f t="shared" si="10"/>
        <v>3.5000000000000003E-2</v>
      </c>
      <c r="J144" s="13">
        <f t="shared" si="11"/>
        <v>2245.2234390441222</v>
      </c>
      <c r="K144" s="13">
        <f t="shared" si="12"/>
        <v>1079.3037385306263</v>
      </c>
      <c r="L144" s="12">
        <f t="shared" si="13"/>
        <v>1165.9197005134959</v>
      </c>
      <c r="M144" s="12">
        <f t="shared" si="14"/>
        <v>368881.07636712975</v>
      </c>
    </row>
    <row r="145" spans="8:13" ht="14.25" customHeight="1">
      <c r="H145" s="2">
        <v>137</v>
      </c>
      <c r="I145" s="50">
        <f t="shared" si="10"/>
        <v>3.5000000000000003E-2</v>
      </c>
      <c r="J145" s="13">
        <f t="shared" si="11"/>
        <v>2245.2234390441222</v>
      </c>
      <c r="K145" s="13">
        <f t="shared" si="12"/>
        <v>1075.9031394041288</v>
      </c>
      <c r="L145" s="12">
        <f t="shared" si="13"/>
        <v>1169.3202996399934</v>
      </c>
      <c r="M145" s="12">
        <f t="shared" si="14"/>
        <v>367711.75606748974</v>
      </c>
    </row>
    <row r="146" spans="8:13" ht="14.25" customHeight="1">
      <c r="H146" s="2">
        <v>138</v>
      </c>
      <c r="I146" s="50">
        <f t="shared" si="10"/>
        <v>3.5000000000000003E-2</v>
      </c>
      <c r="J146" s="13">
        <f t="shared" si="11"/>
        <v>2245.2234390441222</v>
      </c>
      <c r="K146" s="13">
        <f t="shared" si="12"/>
        <v>1072.4926218635119</v>
      </c>
      <c r="L146" s="12">
        <f t="shared" si="13"/>
        <v>1172.7308171806103</v>
      </c>
      <c r="M146" s="12">
        <f t="shared" si="14"/>
        <v>366539.02525030915</v>
      </c>
    </row>
    <row r="147" spans="8:13" ht="14.25" customHeight="1">
      <c r="H147" s="2">
        <v>139</v>
      </c>
      <c r="I147" s="50">
        <f t="shared" si="10"/>
        <v>3.5000000000000003E-2</v>
      </c>
      <c r="J147" s="13">
        <f t="shared" si="11"/>
        <v>2245.2234390441222</v>
      </c>
      <c r="K147" s="13">
        <f t="shared" si="12"/>
        <v>1069.0721569800685</v>
      </c>
      <c r="L147" s="12">
        <f t="shared" si="13"/>
        <v>1176.1512820640537</v>
      </c>
      <c r="M147" s="12">
        <f t="shared" si="14"/>
        <v>365362.87396824511</v>
      </c>
    </row>
    <row r="148" spans="8:13" ht="14.25" customHeight="1">
      <c r="H148" s="2">
        <v>140</v>
      </c>
      <c r="I148" s="50">
        <f t="shared" si="10"/>
        <v>3.5000000000000003E-2</v>
      </c>
      <c r="J148" s="13">
        <f t="shared" si="11"/>
        <v>2245.2234390441222</v>
      </c>
      <c r="K148" s="13">
        <f t="shared" si="12"/>
        <v>1065.6417157407152</v>
      </c>
      <c r="L148" s="12">
        <f t="shared" si="13"/>
        <v>1179.581723303407</v>
      </c>
      <c r="M148" s="12">
        <f t="shared" si="14"/>
        <v>364183.29224494169</v>
      </c>
    </row>
    <row r="149" spans="8:13" ht="14.25" customHeight="1">
      <c r="H149" s="2">
        <v>141</v>
      </c>
      <c r="I149" s="50">
        <f t="shared" si="10"/>
        <v>3.5000000000000003E-2</v>
      </c>
      <c r="J149" s="13">
        <f t="shared" si="11"/>
        <v>2245.2234390441222</v>
      </c>
      <c r="K149" s="13">
        <f t="shared" si="12"/>
        <v>1062.2012690477468</v>
      </c>
      <c r="L149" s="12">
        <f t="shared" si="13"/>
        <v>1183.0221699963754</v>
      </c>
      <c r="M149" s="12">
        <f t="shared" si="14"/>
        <v>363000.27007494529</v>
      </c>
    </row>
    <row r="150" spans="8:13" ht="14.25" customHeight="1">
      <c r="H150" s="2">
        <v>142</v>
      </c>
      <c r="I150" s="50">
        <f t="shared" si="10"/>
        <v>3.5000000000000003E-2</v>
      </c>
      <c r="J150" s="13">
        <f t="shared" si="11"/>
        <v>2245.2234390441222</v>
      </c>
      <c r="K150" s="13">
        <f t="shared" si="12"/>
        <v>1058.7507877185908</v>
      </c>
      <c r="L150" s="12">
        <f t="shared" si="13"/>
        <v>1186.4726513255314</v>
      </c>
      <c r="M150" s="12">
        <f t="shared" si="14"/>
        <v>361813.79742361978</v>
      </c>
    </row>
    <row r="151" spans="8:13" ht="14.25" customHeight="1">
      <c r="H151" s="2">
        <v>143</v>
      </c>
      <c r="I151" s="50">
        <f t="shared" si="10"/>
        <v>3.5000000000000003E-2</v>
      </c>
      <c r="J151" s="13">
        <f t="shared" si="11"/>
        <v>2245.2234390441222</v>
      </c>
      <c r="K151" s="13">
        <f t="shared" si="12"/>
        <v>1055.2902424855579</v>
      </c>
      <c r="L151" s="12">
        <f t="shared" si="13"/>
        <v>1189.9331965585643</v>
      </c>
      <c r="M151" s="12">
        <f t="shared" si="14"/>
        <v>360623.86422706122</v>
      </c>
    </row>
    <row r="152" spans="8:13" ht="14.25" customHeight="1">
      <c r="H152" s="2">
        <v>144</v>
      </c>
      <c r="I152" s="50">
        <f t="shared" si="10"/>
        <v>3.5000000000000003E-2</v>
      </c>
      <c r="J152" s="13">
        <f t="shared" si="11"/>
        <v>2245.2234390441222</v>
      </c>
      <c r="K152" s="13">
        <f t="shared" si="12"/>
        <v>1051.8196039955953</v>
      </c>
      <c r="L152" s="12">
        <f t="shared" si="13"/>
        <v>1193.4038350485268</v>
      </c>
      <c r="M152" s="12">
        <f t="shared" si="14"/>
        <v>359430.46039201267</v>
      </c>
    </row>
    <row r="153" spans="8:13" ht="14.25" customHeight="1">
      <c r="H153" s="2">
        <v>145</v>
      </c>
      <c r="I153" s="50">
        <f t="shared" si="10"/>
        <v>3.5000000000000003E-2</v>
      </c>
      <c r="J153" s="13">
        <f t="shared" si="11"/>
        <v>2245.2234390441222</v>
      </c>
      <c r="K153" s="13">
        <f t="shared" si="12"/>
        <v>1048.3388428100372</v>
      </c>
      <c r="L153" s="12">
        <f t="shared" si="13"/>
        <v>1196.8845962340849</v>
      </c>
      <c r="M153" s="12">
        <f t="shared" si="14"/>
        <v>358233.5757957786</v>
      </c>
    </row>
    <row r="154" spans="8:13" ht="14.25" customHeight="1">
      <c r="H154" s="2">
        <v>146</v>
      </c>
      <c r="I154" s="50">
        <f t="shared" si="10"/>
        <v>3.5000000000000003E-2</v>
      </c>
      <c r="J154" s="13">
        <f t="shared" si="11"/>
        <v>2245.2234390441222</v>
      </c>
      <c r="K154" s="13">
        <f t="shared" si="12"/>
        <v>1044.8479294043545</v>
      </c>
      <c r="L154" s="12">
        <f t="shared" si="13"/>
        <v>1200.3755096397676</v>
      </c>
      <c r="M154" s="12">
        <f t="shared" si="14"/>
        <v>357033.2002861388</v>
      </c>
    </row>
    <row r="155" spans="8:13" ht="14.25" customHeight="1">
      <c r="H155" s="2">
        <v>147</v>
      </c>
      <c r="I155" s="50">
        <f t="shared" si="10"/>
        <v>3.5000000000000003E-2</v>
      </c>
      <c r="J155" s="13">
        <f t="shared" si="11"/>
        <v>2245.2234390441222</v>
      </c>
      <c r="K155" s="13">
        <f t="shared" si="12"/>
        <v>1041.3468341679052</v>
      </c>
      <c r="L155" s="12">
        <f t="shared" si="13"/>
        <v>1203.876604876217</v>
      </c>
      <c r="M155" s="12">
        <f t="shared" si="14"/>
        <v>355829.32368126261</v>
      </c>
    </row>
    <row r="156" spans="8:13" ht="14.25" customHeight="1">
      <c r="H156" s="2">
        <v>148</v>
      </c>
      <c r="I156" s="50">
        <f t="shared" si="10"/>
        <v>3.5000000000000003E-2</v>
      </c>
      <c r="J156" s="13">
        <f t="shared" si="11"/>
        <v>2245.2234390441222</v>
      </c>
      <c r="K156" s="13">
        <f t="shared" si="12"/>
        <v>1037.8355274036828</v>
      </c>
      <c r="L156" s="12">
        <f t="shared" si="13"/>
        <v>1207.3879116404394</v>
      </c>
      <c r="M156" s="12">
        <f t="shared" si="14"/>
        <v>354621.93576962216</v>
      </c>
    </row>
    <row r="157" spans="8:13" ht="14.25" customHeight="1">
      <c r="H157" s="2">
        <v>149</v>
      </c>
      <c r="I157" s="50">
        <f t="shared" si="10"/>
        <v>3.5000000000000003E-2</v>
      </c>
      <c r="J157" s="13">
        <f t="shared" si="11"/>
        <v>2245.2234390441222</v>
      </c>
      <c r="K157" s="13">
        <f t="shared" si="12"/>
        <v>1034.313979328065</v>
      </c>
      <c r="L157" s="12">
        <f t="shared" si="13"/>
        <v>1210.9094597160572</v>
      </c>
      <c r="M157" s="12">
        <f t="shared" si="14"/>
        <v>353411.0263099061</v>
      </c>
    </row>
    <row r="158" spans="8:13" ht="14.25" customHeight="1">
      <c r="H158" s="2">
        <v>150</v>
      </c>
      <c r="I158" s="50">
        <f t="shared" si="10"/>
        <v>3.5000000000000003E-2</v>
      </c>
      <c r="J158" s="13">
        <f t="shared" si="11"/>
        <v>2245.2234390441222</v>
      </c>
      <c r="K158" s="13">
        <f t="shared" si="12"/>
        <v>1030.7821600705599</v>
      </c>
      <c r="L158" s="12">
        <f t="shared" si="13"/>
        <v>1214.4412789735622</v>
      </c>
      <c r="M158" s="12">
        <f t="shared" si="14"/>
        <v>352196.58503093256</v>
      </c>
    </row>
    <row r="159" spans="8:13" ht="14.25" customHeight="1">
      <c r="H159" s="2">
        <v>151</v>
      </c>
      <c r="I159" s="50">
        <f t="shared" si="10"/>
        <v>3.5000000000000003E-2</v>
      </c>
      <c r="J159" s="13">
        <f t="shared" si="11"/>
        <v>2245.2234390441222</v>
      </c>
      <c r="K159" s="13">
        <f t="shared" si="12"/>
        <v>1027.2400396735536</v>
      </c>
      <c r="L159" s="12">
        <f t="shared" si="13"/>
        <v>1217.9833993705686</v>
      </c>
      <c r="M159" s="12">
        <f t="shared" si="14"/>
        <v>350978.60163156199</v>
      </c>
    </row>
    <row r="160" spans="8:13" ht="14.25" customHeight="1">
      <c r="H160" s="2">
        <v>152</v>
      </c>
      <c r="I160" s="50">
        <f t="shared" si="10"/>
        <v>3.5000000000000003E-2</v>
      </c>
      <c r="J160" s="13">
        <f t="shared" si="11"/>
        <v>2245.2234390441222</v>
      </c>
      <c r="K160" s="13">
        <f t="shared" si="12"/>
        <v>1023.6875880920559</v>
      </c>
      <c r="L160" s="12">
        <f t="shared" si="13"/>
        <v>1221.5358509520663</v>
      </c>
      <c r="M160" s="12">
        <f t="shared" si="14"/>
        <v>349757.0657806099</v>
      </c>
    </row>
    <row r="161" spans="8:13" ht="14.25" customHeight="1">
      <c r="H161" s="2">
        <v>153</v>
      </c>
      <c r="I161" s="50">
        <f t="shared" si="10"/>
        <v>3.5000000000000003E-2</v>
      </c>
      <c r="J161" s="13">
        <f t="shared" si="11"/>
        <v>2245.2234390441222</v>
      </c>
      <c r="K161" s="13">
        <f t="shared" si="12"/>
        <v>1020.1247751934459</v>
      </c>
      <c r="L161" s="12">
        <f t="shared" si="13"/>
        <v>1225.0986638506763</v>
      </c>
      <c r="M161" s="12">
        <f t="shared" si="14"/>
        <v>348531.96711675922</v>
      </c>
    </row>
    <row r="162" spans="8:13" ht="14.25" customHeight="1">
      <c r="H162" s="2">
        <v>154</v>
      </c>
      <c r="I162" s="50">
        <f t="shared" si="10"/>
        <v>3.5000000000000003E-2</v>
      </c>
      <c r="J162" s="13">
        <f t="shared" si="11"/>
        <v>2245.2234390441222</v>
      </c>
      <c r="K162" s="13">
        <f t="shared" si="12"/>
        <v>1016.5515707572146</v>
      </c>
      <c r="L162" s="12">
        <f t="shared" si="13"/>
        <v>1228.6718682869077</v>
      </c>
      <c r="M162" s="12">
        <f t="shared" si="14"/>
        <v>347303.29524847231</v>
      </c>
    </row>
    <row r="163" spans="8:13" ht="14.25" customHeight="1">
      <c r="H163" s="2">
        <v>155</v>
      </c>
      <c r="I163" s="50">
        <f t="shared" si="10"/>
        <v>3.5000000000000003E-2</v>
      </c>
      <c r="J163" s="13">
        <f t="shared" si="11"/>
        <v>2245.2234390441222</v>
      </c>
      <c r="K163" s="13">
        <f t="shared" si="12"/>
        <v>1012.9679444747113</v>
      </c>
      <c r="L163" s="12">
        <f t="shared" si="13"/>
        <v>1232.255494569411</v>
      </c>
      <c r="M163" s="12">
        <f t="shared" si="14"/>
        <v>346071.03975390288</v>
      </c>
    </row>
    <row r="164" spans="8:13" ht="14.25" customHeight="1">
      <c r="H164" s="2">
        <v>156</v>
      </c>
      <c r="I164" s="50">
        <f t="shared" si="10"/>
        <v>3.5000000000000003E-2</v>
      </c>
      <c r="J164" s="13">
        <f t="shared" si="11"/>
        <v>2245.2234390441222</v>
      </c>
      <c r="K164" s="13">
        <f t="shared" si="12"/>
        <v>1009.3738659488838</v>
      </c>
      <c r="L164" s="12">
        <f t="shared" si="13"/>
        <v>1235.8495730952384</v>
      </c>
      <c r="M164" s="12">
        <f t="shared" si="14"/>
        <v>344835.19018080767</v>
      </c>
    </row>
    <row r="165" spans="8:13" ht="14.25" customHeight="1">
      <c r="H165" s="2">
        <v>157</v>
      </c>
      <c r="I165" s="50">
        <f t="shared" si="10"/>
        <v>3.5000000000000003E-2</v>
      </c>
      <c r="J165" s="13">
        <f t="shared" si="11"/>
        <v>2245.2234390441222</v>
      </c>
      <c r="K165" s="13">
        <f t="shared" si="12"/>
        <v>1005.7693046940227</v>
      </c>
      <c r="L165" s="12">
        <f t="shared" si="13"/>
        <v>1239.4541343500996</v>
      </c>
      <c r="M165" s="12">
        <f t="shared" si="14"/>
        <v>343595.73604645755</v>
      </c>
    </row>
    <row r="166" spans="8:13" ht="14.25" customHeight="1">
      <c r="H166" s="2">
        <v>158</v>
      </c>
      <c r="I166" s="50">
        <f t="shared" si="10"/>
        <v>3.5000000000000003E-2</v>
      </c>
      <c r="J166" s="13">
        <f t="shared" si="11"/>
        <v>2245.2234390441222</v>
      </c>
      <c r="K166" s="13">
        <f t="shared" si="12"/>
        <v>1002.1542301355014</v>
      </c>
      <c r="L166" s="12">
        <f t="shared" si="13"/>
        <v>1243.0692089086208</v>
      </c>
      <c r="M166" s="12">
        <f t="shared" si="14"/>
        <v>342352.66683754895</v>
      </c>
    </row>
    <row r="167" spans="8:13" ht="14.25" customHeight="1">
      <c r="H167" s="2">
        <v>159</v>
      </c>
      <c r="I167" s="50">
        <f t="shared" si="10"/>
        <v>3.5000000000000003E-2</v>
      </c>
      <c r="J167" s="13">
        <f t="shared" si="11"/>
        <v>2245.2234390441222</v>
      </c>
      <c r="K167" s="13">
        <f t="shared" si="12"/>
        <v>998.52861160951795</v>
      </c>
      <c r="L167" s="12">
        <f t="shared" si="13"/>
        <v>1246.6948274346041</v>
      </c>
      <c r="M167" s="12">
        <f t="shared" si="14"/>
        <v>341105.97201011435</v>
      </c>
    </row>
    <row r="168" spans="8:13" ht="14.25" customHeight="1">
      <c r="H168" s="2">
        <v>160</v>
      </c>
      <c r="I168" s="50">
        <f t="shared" si="10"/>
        <v>3.5000000000000003E-2</v>
      </c>
      <c r="J168" s="13">
        <f t="shared" si="11"/>
        <v>2245.2234390441222</v>
      </c>
      <c r="K168" s="13">
        <f t="shared" si="12"/>
        <v>994.89241836283372</v>
      </c>
      <c r="L168" s="12">
        <f t="shared" si="13"/>
        <v>1250.3310206812885</v>
      </c>
      <c r="M168" s="12">
        <f t="shared" si="14"/>
        <v>339855.64098943304</v>
      </c>
    </row>
    <row r="169" spans="8:13" ht="14.25" customHeight="1">
      <c r="H169" s="2">
        <v>161</v>
      </c>
      <c r="I169" s="50">
        <f t="shared" si="10"/>
        <v>3.5000000000000003E-2</v>
      </c>
      <c r="J169" s="13">
        <f t="shared" si="11"/>
        <v>2245.2234390441222</v>
      </c>
      <c r="K169" s="13">
        <f t="shared" si="12"/>
        <v>991.24561955251329</v>
      </c>
      <c r="L169" s="12">
        <f t="shared" si="13"/>
        <v>1253.9778194916089</v>
      </c>
      <c r="M169" s="12">
        <f t="shared" si="14"/>
        <v>338601.66316994146</v>
      </c>
    </row>
    <row r="170" spans="8:13" ht="14.25" customHeight="1">
      <c r="H170" s="2">
        <v>162</v>
      </c>
      <c r="I170" s="50">
        <f t="shared" si="10"/>
        <v>3.5000000000000003E-2</v>
      </c>
      <c r="J170" s="13">
        <f t="shared" si="11"/>
        <v>2245.2234390441222</v>
      </c>
      <c r="K170" s="13">
        <f t="shared" si="12"/>
        <v>987.58818424566266</v>
      </c>
      <c r="L170" s="12">
        <f t="shared" si="13"/>
        <v>1257.6352547984595</v>
      </c>
      <c r="M170" s="12">
        <f t="shared" si="14"/>
        <v>337344.027915143</v>
      </c>
    </row>
    <row r="171" spans="8:13" ht="14.25" customHeight="1">
      <c r="H171" s="2">
        <v>163</v>
      </c>
      <c r="I171" s="50">
        <f t="shared" si="10"/>
        <v>3.5000000000000003E-2</v>
      </c>
      <c r="J171" s="13">
        <f t="shared" si="11"/>
        <v>2245.2234390441222</v>
      </c>
      <c r="K171" s="13">
        <f t="shared" si="12"/>
        <v>983.9200814191671</v>
      </c>
      <c r="L171" s="12">
        <f t="shared" si="13"/>
        <v>1261.303357624955</v>
      </c>
      <c r="M171" s="12">
        <f t="shared" si="14"/>
        <v>336082.72455751803</v>
      </c>
    </row>
    <row r="172" spans="8:13" ht="14.25" customHeight="1">
      <c r="H172" s="2">
        <v>164</v>
      </c>
      <c r="I172" s="50">
        <f t="shared" si="10"/>
        <v>3.5000000000000003E-2</v>
      </c>
      <c r="J172" s="13">
        <f t="shared" si="11"/>
        <v>2245.2234390441222</v>
      </c>
      <c r="K172" s="13">
        <f t="shared" si="12"/>
        <v>980.24127995942763</v>
      </c>
      <c r="L172" s="12">
        <f t="shared" si="13"/>
        <v>1264.9821590846946</v>
      </c>
      <c r="M172" s="12">
        <f t="shared" si="14"/>
        <v>334817.74239843333</v>
      </c>
    </row>
    <row r="173" spans="8:13" ht="14.25" customHeight="1">
      <c r="H173" s="2">
        <v>165</v>
      </c>
      <c r="I173" s="50">
        <f t="shared" si="10"/>
        <v>3.5000000000000003E-2</v>
      </c>
      <c r="J173" s="13">
        <f t="shared" si="11"/>
        <v>2245.2234390441222</v>
      </c>
      <c r="K173" s="13">
        <f t="shared" si="12"/>
        <v>976.55174866209757</v>
      </c>
      <c r="L173" s="12">
        <f t="shared" si="13"/>
        <v>1268.6716903820247</v>
      </c>
      <c r="M173" s="12">
        <f t="shared" si="14"/>
        <v>333549.07070805132</v>
      </c>
    </row>
    <row r="174" spans="8:13" ht="14.25" customHeight="1">
      <c r="H174" s="2">
        <v>166</v>
      </c>
      <c r="I174" s="50">
        <f t="shared" si="10"/>
        <v>3.5000000000000003E-2</v>
      </c>
      <c r="J174" s="13">
        <f t="shared" si="11"/>
        <v>2245.2234390441222</v>
      </c>
      <c r="K174" s="13">
        <f t="shared" si="12"/>
        <v>972.85145623181654</v>
      </c>
      <c r="L174" s="12">
        <f t="shared" si="13"/>
        <v>1272.3719828123058</v>
      </c>
      <c r="M174" s="12">
        <f t="shared" si="14"/>
        <v>332276.69872523902</v>
      </c>
    </row>
    <row r="175" spans="8:13" ht="14.25" customHeight="1">
      <c r="H175" s="2">
        <v>167</v>
      </c>
      <c r="I175" s="50">
        <f t="shared" si="10"/>
        <v>3.5000000000000003E-2</v>
      </c>
      <c r="J175" s="13">
        <f t="shared" si="11"/>
        <v>2245.2234390441222</v>
      </c>
      <c r="K175" s="13">
        <f t="shared" si="12"/>
        <v>969.14037128194741</v>
      </c>
      <c r="L175" s="12">
        <f t="shared" si="13"/>
        <v>1276.0830677621748</v>
      </c>
      <c r="M175" s="12">
        <f t="shared" si="14"/>
        <v>331000.61565747682</v>
      </c>
    </row>
    <row r="176" spans="8:13" ht="14.25" customHeight="1">
      <c r="H176" s="2">
        <v>168</v>
      </c>
      <c r="I176" s="50">
        <f t="shared" si="10"/>
        <v>3.5000000000000003E-2</v>
      </c>
      <c r="J176" s="13">
        <f t="shared" si="11"/>
        <v>2245.2234390441222</v>
      </c>
      <c r="K176" s="13">
        <f t="shared" si="12"/>
        <v>965.41846233430783</v>
      </c>
      <c r="L176" s="12">
        <f t="shared" si="13"/>
        <v>1279.8049767098144</v>
      </c>
      <c r="M176" s="12">
        <f t="shared" si="14"/>
        <v>329720.810680767</v>
      </c>
    </row>
    <row r="177" spans="8:13" ht="14.25" customHeight="1">
      <c r="H177" s="2">
        <v>169</v>
      </c>
      <c r="I177" s="50">
        <f t="shared" si="10"/>
        <v>3.5000000000000003E-2</v>
      </c>
      <c r="J177" s="13">
        <f t="shared" si="11"/>
        <v>2245.2234390441222</v>
      </c>
      <c r="K177" s="13">
        <f t="shared" si="12"/>
        <v>961.68569781890415</v>
      </c>
      <c r="L177" s="12">
        <f t="shared" si="13"/>
        <v>1283.537741225218</v>
      </c>
      <c r="M177" s="12">
        <f t="shared" si="14"/>
        <v>328437.27293954178</v>
      </c>
    </row>
    <row r="178" spans="8:13" ht="14.25" customHeight="1">
      <c r="H178" s="2">
        <v>170</v>
      </c>
      <c r="I178" s="50">
        <f t="shared" si="10"/>
        <v>3.5000000000000003E-2</v>
      </c>
      <c r="J178" s="13">
        <f t="shared" si="11"/>
        <v>2245.2234390441222</v>
      </c>
      <c r="K178" s="13">
        <f t="shared" si="12"/>
        <v>957.94204607366396</v>
      </c>
      <c r="L178" s="12">
        <f t="shared" si="13"/>
        <v>1287.2813929704582</v>
      </c>
      <c r="M178" s="12">
        <f t="shared" si="14"/>
        <v>327149.99154657131</v>
      </c>
    </row>
    <row r="179" spans="8:13" ht="14.25" customHeight="1">
      <c r="H179" s="2">
        <v>171</v>
      </c>
      <c r="I179" s="50">
        <f t="shared" si="10"/>
        <v>3.5000000000000003E-2</v>
      </c>
      <c r="J179" s="13">
        <f t="shared" si="11"/>
        <v>2245.2234390441222</v>
      </c>
      <c r="K179" s="13">
        <f t="shared" si="12"/>
        <v>954.1874753441665</v>
      </c>
      <c r="L179" s="12">
        <f t="shared" si="13"/>
        <v>1291.0359636999556</v>
      </c>
      <c r="M179" s="12">
        <f t="shared" si="14"/>
        <v>325858.95558287133</v>
      </c>
    </row>
    <row r="180" spans="8:13" ht="14.25" customHeight="1">
      <c r="H180" s="2">
        <v>172</v>
      </c>
      <c r="I180" s="50">
        <f t="shared" si="10"/>
        <v>3.5000000000000003E-2</v>
      </c>
      <c r="J180" s="13">
        <f t="shared" si="11"/>
        <v>2245.2234390441222</v>
      </c>
      <c r="K180" s="13">
        <f t="shared" si="12"/>
        <v>950.4219537833751</v>
      </c>
      <c r="L180" s="12">
        <f t="shared" si="13"/>
        <v>1294.8014852607471</v>
      </c>
      <c r="M180" s="12">
        <f t="shared" si="14"/>
        <v>324564.15409761056</v>
      </c>
    </row>
    <row r="181" spans="8:13" ht="14.25" customHeight="1">
      <c r="H181" s="2">
        <v>173</v>
      </c>
      <c r="I181" s="50">
        <f t="shared" si="10"/>
        <v>3.5000000000000003E-2</v>
      </c>
      <c r="J181" s="13">
        <f t="shared" si="11"/>
        <v>2245.2234390441222</v>
      </c>
      <c r="K181" s="13">
        <f t="shared" si="12"/>
        <v>946.64544945136481</v>
      </c>
      <c r="L181" s="12">
        <f t="shared" si="13"/>
        <v>1298.5779895927574</v>
      </c>
      <c r="M181" s="12">
        <f t="shared" si="14"/>
        <v>323265.57610801782</v>
      </c>
    </row>
    <row r="182" spans="8:13" ht="14.25" customHeight="1">
      <c r="H182" s="2">
        <v>174</v>
      </c>
      <c r="I182" s="50">
        <f t="shared" si="10"/>
        <v>3.5000000000000003E-2</v>
      </c>
      <c r="J182" s="13">
        <f t="shared" si="11"/>
        <v>2245.2234390441222</v>
      </c>
      <c r="K182" s="13">
        <f t="shared" si="12"/>
        <v>942.85793031505239</v>
      </c>
      <c r="L182" s="12">
        <f t="shared" si="13"/>
        <v>1302.3655087290699</v>
      </c>
      <c r="M182" s="12">
        <f t="shared" si="14"/>
        <v>321963.21059928875</v>
      </c>
    </row>
    <row r="183" spans="8:13" ht="14.25" customHeight="1">
      <c r="H183" s="2">
        <v>175</v>
      </c>
      <c r="I183" s="50">
        <f t="shared" si="10"/>
        <v>3.5000000000000003E-2</v>
      </c>
      <c r="J183" s="13">
        <f t="shared" si="11"/>
        <v>2245.2234390441222</v>
      </c>
      <c r="K183" s="13">
        <f t="shared" si="12"/>
        <v>939.05936424792571</v>
      </c>
      <c r="L183" s="12">
        <f t="shared" si="13"/>
        <v>1306.1640747961965</v>
      </c>
      <c r="M183" s="12">
        <f t="shared" si="14"/>
        <v>320657.04652449256</v>
      </c>
    </row>
    <row r="184" spans="8:13" ht="14.25" customHeight="1">
      <c r="H184" s="2">
        <v>176</v>
      </c>
      <c r="I184" s="50">
        <f t="shared" si="10"/>
        <v>3.5000000000000003E-2</v>
      </c>
      <c r="J184" s="13">
        <f t="shared" si="11"/>
        <v>2245.2234390441222</v>
      </c>
      <c r="K184" s="13">
        <f t="shared" si="12"/>
        <v>935.24971902977029</v>
      </c>
      <c r="L184" s="12">
        <f t="shared" si="13"/>
        <v>1309.9737200143518</v>
      </c>
      <c r="M184" s="12">
        <f t="shared" si="14"/>
        <v>319347.07280447823</v>
      </c>
    </row>
    <row r="185" spans="8:13" ht="14.25" customHeight="1">
      <c r="H185" s="2">
        <v>177</v>
      </c>
      <c r="I185" s="50">
        <f t="shared" si="10"/>
        <v>3.5000000000000003E-2</v>
      </c>
      <c r="J185" s="13">
        <f t="shared" si="11"/>
        <v>2245.2234390441222</v>
      </c>
      <c r="K185" s="13">
        <f t="shared" si="12"/>
        <v>931.428962346395</v>
      </c>
      <c r="L185" s="12">
        <f t="shared" si="13"/>
        <v>1313.7944766977271</v>
      </c>
      <c r="M185" s="12">
        <f t="shared" si="14"/>
        <v>318033.27832778048</v>
      </c>
    </row>
    <row r="186" spans="8:13" ht="14.25" customHeight="1">
      <c r="H186" s="2">
        <v>178</v>
      </c>
      <c r="I186" s="50">
        <f t="shared" si="10"/>
        <v>3.5000000000000003E-2</v>
      </c>
      <c r="J186" s="13">
        <f t="shared" si="11"/>
        <v>2245.2234390441222</v>
      </c>
      <c r="K186" s="13">
        <f t="shared" si="12"/>
        <v>927.59706178936017</v>
      </c>
      <c r="L186" s="12">
        <f t="shared" si="13"/>
        <v>1317.626377254762</v>
      </c>
      <c r="M186" s="12">
        <f t="shared" si="14"/>
        <v>316715.6519505257</v>
      </c>
    </row>
    <row r="187" spans="8:13" ht="14.25" customHeight="1">
      <c r="H187" s="2">
        <v>179</v>
      </c>
      <c r="I187" s="50">
        <f t="shared" si="10"/>
        <v>3.5000000000000003E-2</v>
      </c>
      <c r="J187" s="13">
        <f t="shared" si="11"/>
        <v>2245.2234390441222</v>
      </c>
      <c r="K187" s="13">
        <f t="shared" si="12"/>
        <v>923.7539848557002</v>
      </c>
      <c r="L187" s="12">
        <f t="shared" si="13"/>
        <v>1321.4694541884219</v>
      </c>
      <c r="M187" s="12">
        <f t="shared" si="14"/>
        <v>315394.18249633728</v>
      </c>
    </row>
    <row r="188" spans="8:13" ht="14.25" customHeight="1">
      <c r="H188" s="2">
        <v>180</v>
      </c>
      <c r="I188" s="50">
        <f t="shared" si="10"/>
        <v>3.5000000000000003E-2</v>
      </c>
      <c r="J188" s="13">
        <f t="shared" si="11"/>
        <v>2245.2234390441222</v>
      </c>
      <c r="K188" s="13">
        <f t="shared" si="12"/>
        <v>919.8996989476509</v>
      </c>
      <c r="L188" s="12">
        <f t="shared" si="13"/>
        <v>1325.3237400964713</v>
      </c>
      <c r="M188" s="12">
        <f t="shared" si="14"/>
        <v>314068.85875624081</v>
      </c>
    </row>
    <row r="189" spans="8:13" ht="14.25" customHeight="1">
      <c r="H189" s="2">
        <v>181</v>
      </c>
      <c r="I189" s="50">
        <f t="shared" si="10"/>
        <v>3.5000000000000003E-2</v>
      </c>
      <c r="J189" s="13">
        <f t="shared" si="11"/>
        <v>2245.2234390441222</v>
      </c>
      <c r="K189" s="13">
        <f t="shared" si="12"/>
        <v>916.03417137236943</v>
      </c>
      <c r="L189" s="12">
        <f t="shared" si="13"/>
        <v>1329.1892676717528</v>
      </c>
      <c r="M189" s="12">
        <f t="shared" si="14"/>
        <v>312739.66948856908</v>
      </c>
    </row>
    <row r="190" spans="8:13" ht="14.25" customHeight="1">
      <c r="H190" s="2">
        <v>182</v>
      </c>
      <c r="I190" s="50">
        <f t="shared" si="10"/>
        <v>3.5000000000000003E-2</v>
      </c>
      <c r="J190" s="13">
        <f t="shared" si="11"/>
        <v>2245.2234390441222</v>
      </c>
      <c r="K190" s="13">
        <f t="shared" si="12"/>
        <v>912.15736934166034</v>
      </c>
      <c r="L190" s="12">
        <f t="shared" si="13"/>
        <v>1333.0660697024618</v>
      </c>
      <c r="M190" s="12">
        <f t="shared" si="14"/>
        <v>311406.60341886664</v>
      </c>
    </row>
    <row r="191" spans="8:13" ht="14.25" customHeight="1">
      <c r="H191" s="2">
        <v>183</v>
      </c>
      <c r="I191" s="50">
        <f t="shared" si="10"/>
        <v>3.5000000000000003E-2</v>
      </c>
      <c r="J191" s="13">
        <f t="shared" si="11"/>
        <v>2245.2234390441222</v>
      </c>
      <c r="K191" s="13">
        <f t="shared" si="12"/>
        <v>908.26925997169474</v>
      </c>
      <c r="L191" s="12">
        <f t="shared" si="13"/>
        <v>1336.9541790724275</v>
      </c>
      <c r="M191" s="12">
        <f t="shared" si="14"/>
        <v>310069.64923979423</v>
      </c>
    </row>
    <row r="192" spans="8:13" ht="14.25" customHeight="1">
      <c r="H192" s="2">
        <v>184</v>
      </c>
      <c r="I192" s="50">
        <f t="shared" si="10"/>
        <v>3.5000000000000003E-2</v>
      </c>
      <c r="J192" s="13">
        <f t="shared" si="11"/>
        <v>2245.2234390441222</v>
      </c>
      <c r="K192" s="13">
        <f t="shared" si="12"/>
        <v>904.3698102827334</v>
      </c>
      <c r="L192" s="12">
        <f t="shared" si="13"/>
        <v>1340.8536287613888</v>
      </c>
      <c r="M192" s="12">
        <f t="shared" si="14"/>
        <v>308728.79561103287</v>
      </c>
    </row>
    <row r="193" spans="8:13" ht="14.25" customHeight="1">
      <c r="H193" s="2">
        <v>185</v>
      </c>
      <c r="I193" s="50">
        <f t="shared" si="10"/>
        <v>3.5000000000000003E-2</v>
      </c>
      <c r="J193" s="13">
        <f t="shared" si="11"/>
        <v>2245.2234390441222</v>
      </c>
      <c r="K193" s="13">
        <f t="shared" si="12"/>
        <v>900.45898719884588</v>
      </c>
      <c r="L193" s="12">
        <f t="shared" si="13"/>
        <v>1344.7644518452762</v>
      </c>
      <c r="M193" s="12">
        <f t="shared" si="14"/>
        <v>307384.03115918761</v>
      </c>
    </row>
    <row r="194" spans="8:13" ht="14.25" customHeight="1">
      <c r="H194" s="2">
        <v>186</v>
      </c>
      <c r="I194" s="50">
        <f t="shared" si="10"/>
        <v>3.5000000000000003E-2</v>
      </c>
      <c r="J194" s="13">
        <f t="shared" si="11"/>
        <v>2245.2234390441222</v>
      </c>
      <c r="K194" s="13">
        <f t="shared" si="12"/>
        <v>896.53675754763071</v>
      </c>
      <c r="L194" s="12">
        <f t="shared" si="13"/>
        <v>1348.6866814964915</v>
      </c>
      <c r="M194" s="12">
        <f t="shared" si="14"/>
        <v>306035.34447769111</v>
      </c>
    </row>
    <row r="195" spans="8:13" ht="14.25" customHeight="1">
      <c r="H195" s="2">
        <v>187</v>
      </c>
      <c r="I195" s="50">
        <f t="shared" si="10"/>
        <v>3.5000000000000003E-2</v>
      </c>
      <c r="J195" s="13">
        <f t="shared" si="11"/>
        <v>2245.2234390441222</v>
      </c>
      <c r="K195" s="13">
        <f t="shared" si="12"/>
        <v>892.60308805993259</v>
      </c>
      <c r="L195" s="12">
        <f t="shared" si="13"/>
        <v>1352.6203509841896</v>
      </c>
      <c r="M195" s="12">
        <f t="shared" si="14"/>
        <v>304682.72412670689</v>
      </c>
    </row>
    <row r="196" spans="8:13" ht="14.25" customHeight="1">
      <c r="H196" s="2">
        <v>188</v>
      </c>
      <c r="I196" s="50">
        <f t="shared" si="10"/>
        <v>3.5000000000000003E-2</v>
      </c>
      <c r="J196" s="13">
        <f t="shared" si="11"/>
        <v>2245.2234390441222</v>
      </c>
      <c r="K196" s="13">
        <f t="shared" si="12"/>
        <v>888.65794536956196</v>
      </c>
      <c r="L196" s="12">
        <f t="shared" si="13"/>
        <v>1356.5654936745602</v>
      </c>
      <c r="M196" s="12">
        <f t="shared" si="14"/>
        <v>303326.15863303235</v>
      </c>
    </row>
    <row r="197" spans="8:13" ht="14.25" customHeight="1">
      <c r="H197" s="2">
        <v>189</v>
      </c>
      <c r="I197" s="50">
        <f t="shared" si="10"/>
        <v>3.5000000000000003E-2</v>
      </c>
      <c r="J197" s="13">
        <f t="shared" si="11"/>
        <v>2245.2234390441222</v>
      </c>
      <c r="K197" s="13">
        <f t="shared" si="12"/>
        <v>884.70129601301142</v>
      </c>
      <c r="L197" s="12">
        <f t="shared" si="13"/>
        <v>1360.5221430311108</v>
      </c>
      <c r="M197" s="12">
        <f t="shared" si="14"/>
        <v>301965.63649000123</v>
      </c>
    </row>
    <row r="198" spans="8:13" ht="14.25" customHeight="1">
      <c r="H198" s="2">
        <v>190</v>
      </c>
      <c r="I198" s="50">
        <f t="shared" si="10"/>
        <v>3.5000000000000003E-2</v>
      </c>
      <c r="J198" s="13">
        <f t="shared" si="11"/>
        <v>2245.2234390441222</v>
      </c>
      <c r="K198" s="13">
        <f t="shared" si="12"/>
        <v>880.73310642917045</v>
      </c>
      <c r="L198" s="12">
        <f t="shared" si="13"/>
        <v>1364.4903326149517</v>
      </c>
      <c r="M198" s="12">
        <f t="shared" si="14"/>
        <v>300601.14615738625</v>
      </c>
    </row>
    <row r="199" spans="8:13" ht="14.25" customHeight="1">
      <c r="H199" s="2">
        <v>191</v>
      </c>
      <c r="I199" s="50">
        <f t="shared" si="10"/>
        <v>3.5000000000000003E-2</v>
      </c>
      <c r="J199" s="13">
        <f t="shared" si="11"/>
        <v>2245.2234390441222</v>
      </c>
      <c r="K199" s="13">
        <f t="shared" si="12"/>
        <v>876.75334295904338</v>
      </c>
      <c r="L199" s="12">
        <f t="shared" si="13"/>
        <v>1368.4700960850787</v>
      </c>
      <c r="M199" s="12">
        <f t="shared" si="14"/>
        <v>299232.67606130114</v>
      </c>
    </row>
    <row r="200" spans="8:13" ht="14.25" customHeight="1">
      <c r="H200" s="2">
        <v>192</v>
      </c>
      <c r="I200" s="50">
        <f t="shared" si="10"/>
        <v>3.5000000000000003E-2</v>
      </c>
      <c r="J200" s="13">
        <f t="shared" si="11"/>
        <v>2245.2234390441222</v>
      </c>
      <c r="K200" s="13">
        <f t="shared" si="12"/>
        <v>872.76197184546186</v>
      </c>
      <c r="L200" s="12">
        <f t="shared" si="13"/>
        <v>1372.4614671986603</v>
      </c>
      <c r="M200" s="12">
        <f t="shared" si="14"/>
        <v>297860.21459410246</v>
      </c>
    </row>
    <row r="201" spans="8:13" ht="14.25" customHeight="1">
      <c r="H201" s="2">
        <v>193</v>
      </c>
      <c r="I201" s="50">
        <f t="shared" si="10"/>
        <v>3.5000000000000003E-2</v>
      </c>
      <c r="J201" s="13">
        <f t="shared" si="11"/>
        <v>2245.2234390441222</v>
      </c>
      <c r="K201" s="13">
        <f t="shared" si="12"/>
        <v>868.75895923279927</v>
      </c>
      <c r="L201" s="12">
        <f t="shared" si="13"/>
        <v>1376.4644798113229</v>
      </c>
      <c r="M201" s="12">
        <f t="shared" si="14"/>
        <v>296483.75011429115</v>
      </c>
    </row>
    <row r="202" spans="8:13" ht="14.25" customHeight="1">
      <c r="H202" s="2">
        <v>194</v>
      </c>
      <c r="I202" s="50">
        <f t="shared" ref="I202:I265" si="15">$F$10</f>
        <v>3.5000000000000003E-2</v>
      </c>
      <c r="J202" s="13">
        <f t="shared" ref="J202:J265" si="16">$F$13</f>
        <v>2245.2234390441222</v>
      </c>
      <c r="K202" s="13">
        <f t="shared" ref="K202:K265" si="17">IPMT(I202/12,H202,$F$12,-$F$9,0)</f>
        <v>864.74427116668289</v>
      </c>
      <c r="L202" s="12">
        <f t="shared" ref="L202:L265" si="18">J202-K202</f>
        <v>1380.4791678774393</v>
      </c>
      <c r="M202" s="12">
        <f t="shared" ref="M202:M265" si="19">M201-L202</f>
        <v>295103.27094641369</v>
      </c>
    </row>
    <row r="203" spans="8:13" ht="14.25" customHeight="1">
      <c r="H203" s="2">
        <v>195</v>
      </c>
      <c r="I203" s="50">
        <f t="shared" si="15"/>
        <v>3.5000000000000003E-2</v>
      </c>
      <c r="J203" s="13">
        <f t="shared" si="16"/>
        <v>2245.2234390441222</v>
      </c>
      <c r="K203" s="13">
        <f t="shared" si="17"/>
        <v>860.71787359370717</v>
      </c>
      <c r="L203" s="12">
        <f t="shared" si="18"/>
        <v>1384.5055654504149</v>
      </c>
      <c r="M203" s="12">
        <f t="shared" si="19"/>
        <v>293718.76538096328</v>
      </c>
    </row>
    <row r="204" spans="8:13" ht="14.25" customHeight="1">
      <c r="H204" s="2">
        <v>196</v>
      </c>
      <c r="I204" s="50">
        <f t="shared" si="15"/>
        <v>3.5000000000000003E-2</v>
      </c>
      <c r="J204" s="13">
        <f t="shared" si="16"/>
        <v>2245.2234390441222</v>
      </c>
      <c r="K204" s="13">
        <f t="shared" si="17"/>
        <v>856.67973236114324</v>
      </c>
      <c r="L204" s="12">
        <f t="shared" si="18"/>
        <v>1388.5437066829791</v>
      </c>
      <c r="M204" s="12">
        <f t="shared" si="19"/>
        <v>292330.2216742803</v>
      </c>
    </row>
    <row r="205" spans="8:13" ht="14.25" customHeight="1">
      <c r="H205" s="2">
        <v>197</v>
      </c>
      <c r="I205" s="50">
        <f t="shared" si="15"/>
        <v>3.5000000000000003E-2</v>
      </c>
      <c r="J205" s="13">
        <f t="shared" si="16"/>
        <v>2245.2234390441222</v>
      </c>
      <c r="K205" s="13">
        <f t="shared" si="17"/>
        <v>852.62981321665143</v>
      </c>
      <c r="L205" s="12">
        <f t="shared" si="18"/>
        <v>1392.5936258274708</v>
      </c>
      <c r="M205" s="12">
        <f t="shared" si="19"/>
        <v>290937.62804845284</v>
      </c>
    </row>
    <row r="206" spans="8:13" ht="14.25" customHeight="1">
      <c r="H206" s="2">
        <v>198</v>
      </c>
      <c r="I206" s="50">
        <f t="shared" si="15"/>
        <v>3.5000000000000003E-2</v>
      </c>
      <c r="J206" s="13">
        <f t="shared" si="16"/>
        <v>2245.2234390441222</v>
      </c>
      <c r="K206" s="13">
        <f t="shared" si="17"/>
        <v>848.56808180798782</v>
      </c>
      <c r="L206" s="12">
        <f t="shared" si="18"/>
        <v>1396.6553572361345</v>
      </c>
      <c r="M206" s="12">
        <f t="shared" si="19"/>
        <v>289540.97269121668</v>
      </c>
    </row>
    <row r="207" spans="8:13" ht="14.25" customHeight="1">
      <c r="H207" s="2">
        <v>199</v>
      </c>
      <c r="I207" s="50">
        <f t="shared" si="15"/>
        <v>3.5000000000000003E-2</v>
      </c>
      <c r="J207" s="13">
        <f t="shared" si="16"/>
        <v>2245.2234390441222</v>
      </c>
      <c r="K207" s="13">
        <f t="shared" si="17"/>
        <v>844.49450368271573</v>
      </c>
      <c r="L207" s="12">
        <f t="shared" si="18"/>
        <v>1400.7289353614065</v>
      </c>
      <c r="M207" s="12">
        <f t="shared" si="19"/>
        <v>288140.24375585525</v>
      </c>
    </row>
    <row r="208" spans="8:13" ht="14.25" customHeight="1">
      <c r="H208" s="2">
        <v>200</v>
      </c>
      <c r="I208" s="50">
        <f t="shared" si="15"/>
        <v>3.5000000000000003E-2</v>
      </c>
      <c r="J208" s="13">
        <f t="shared" si="16"/>
        <v>2245.2234390441222</v>
      </c>
      <c r="K208" s="13">
        <f t="shared" si="17"/>
        <v>840.40904428791157</v>
      </c>
      <c r="L208" s="12">
        <f t="shared" si="18"/>
        <v>1404.8143947562107</v>
      </c>
      <c r="M208" s="12">
        <f t="shared" si="19"/>
        <v>286735.42936109903</v>
      </c>
    </row>
    <row r="209" spans="8:13" ht="14.25" customHeight="1">
      <c r="H209" s="2">
        <v>201</v>
      </c>
      <c r="I209" s="50">
        <f t="shared" si="15"/>
        <v>3.5000000000000003E-2</v>
      </c>
      <c r="J209" s="13">
        <f t="shared" si="16"/>
        <v>2245.2234390441222</v>
      </c>
      <c r="K209" s="13">
        <f t="shared" si="17"/>
        <v>836.3116689698727</v>
      </c>
      <c r="L209" s="12">
        <f t="shared" si="18"/>
        <v>1408.9117700742495</v>
      </c>
      <c r="M209" s="12">
        <f t="shared" si="19"/>
        <v>285326.51759102481</v>
      </c>
    </row>
    <row r="210" spans="8:13" ht="14.25" customHeight="1">
      <c r="H210" s="2">
        <v>202</v>
      </c>
      <c r="I210" s="50">
        <f t="shared" si="15"/>
        <v>3.5000000000000003E-2</v>
      </c>
      <c r="J210" s="13">
        <f t="shared" si="16"/>
        <v>2245.2234390441222</v>
      </c>
      <c r="K210" s="13">
        <f t="shared" si="17"/>
        <v>832.20234297382285</v>
      </c>
      <c r="L210" s="12">
        <f t="shared" si="18"/>
        <v>1413.0210960702993</v>
      </c>
      <c r="M210" s="12">
        <f t="shared" si="19"/>
        <v>283913.49649495451</v>
      </c>
    </row>
    <row r="211" spans="8:13" ht="14.25" customHeight="1">
      <c r="H211" s="2">
        <v>203</v>
      </c>
      <c r="I211" s="50">
        <f t="shared" si="15"/>
        <v>3.5000000000000003E-2</v>
      </c>
      <c r="J211" s="13">
        <f t="shared" si="16"/>
        <v>2245.2234390441222</v>
      </c>
      <c r="K211" s="13">
        <f t="shared" si="17"/>
        <v>828.08103144361792</v>
      </c>
      <c r="L211" s="12">
        <f t="shared" si="18"/>
        <v>1417.1424076005042</v>
      </c>
      <c r="M211" s="12">
        <f t="shared" si="19"/>
        <v>282496.35408735403</v>
      </c>
    </row>
    <row r="212" spans="8:13" ht="14.25" customHeight="1">
      <c r="H212" s="2">
        <v>204</v>
      </c>
      <c r="I212" s="50">
        <f t="shared" si="15"/>
        <v>3.5000000000000003E-2</v>
      </c>
      <c r="J212" s="13">
        <f t="shared" si="16"/>
        <v>2245.2234390441222</v>
      </c>
      <c r="K212" s="13">
        <f t="shared" si="17"/>
        <v>823.94769942144967</v>
      </c>
      <c r="L212" s="12">
        <f t="shared" si="18"/>
        <v>1421.2757396226725</v>
      </c>
      <c r="M212" s="12">
        <f t="shared" si="19"/>
        <v>281075.07834773138</v>
      </c>
    </row>
    <row r="213" spans="8:13" ht="14.25" customHeight="1">
      <c r="H213" s="2">
        <v>205</v>
      </c>
      <c r="I213" s="50">
        <f t="shared" si="15"/>
        <v>3.5000000000000003E-2</v>
      </c>
      <c r="J213" s="13">
        <f t="shared" si="16"/>
        <v>2245.2234390441222</v>
      </c>
      <c r="K213" s="13">
        <f t="shared" si="17"/>
        <v>819.80231184755007</v>
      </c>
      <c r="L213" s="12">
        <f t="shared" si="18"/>
        <v>1425.4211271965721</v>
      </c>
      <c r="M213" s="12">
        <f t="shared" si="19"/>
        <v>279649.65722053481</v>
      </c>
    </row>
    <row r="214" spans="8:13" ht="14.25" customHeight="1">
      <c r="H214" s="2">
        <v>206</v>
      </c>
      <c r="I214" s="50">
        <f t="shared" si="15"/>
        <v>3.5000000000000003E-2</v>
      </c>
      <c r="J214" s="13">
        <f t="shared" si="16"/>
        <v>2245.2234390441222</v>
      </c>
      <c r="K214" s="13">
        <f t="shared" si="17"/>
        <v>815.64483355989341</v>
      </c>
      <c r="L214" s="12">
        <f t="shared" si="18"/>
        <v>1429.5786054842288</v>
      </c>
      <c r="M214" s="12">
        <f t="shared" si="19"/>
        <v>278220.07861505059</v>
      </c>
    </row>
    <row r="215" spans="8:13" ht="14.25" customHeight="1">
      <c r="H215" s="2">
        <v>207</v>
      </c>
      <c r="I215" s="50">
        <f t="shared" si="15"/>
        <v>3.5000000000000003E-2</v>
      </c>
      <c r="J215" s="13">
        <f t="shared" si="16"/>
        <v>2245.2234390441222</v>
      </c>
      <c r="K215" s="13">
        <f t="shared" si="17"/>
        <v>811.47522929389777</v>
      </c>
      <c r="L215" s="12">
        <f t="shared" si="18"/>
        <v>1433.7482097502243</v>
      </c>
      <c r="M215" s="12">
        <f t="shared" si="19"/>
        <v>276786.33040530037</v>
      </c>
    </row>
    <row r="216" spans="8:13" ht="14.25" customHeight="1">
      <c r="H216" s="2">
        <v>208</v>
      </c>
      <c r="I216" s="50">
        <f t="shared" si="15"/>
        <v>3.5000000000000003E-2</v>
      </c>
      <c r="J216" s="13">
        <f t="shared" si="16"/>
        <v>2245.2234390441222</v>
      </c>
      <c r="K216" s="13">
        <f t="shared" si="17"/>
        <v>807.29346368212623</v>
      </c>
      <c r="L216" s="12">
        <f t="shared" si="18"/>
        <v>1437.929975361996</v>
      </c>
      <c r="M216" s="12">
        <f t="shared" si="19"/>
        <v>275348.4004299384</v>
      </c>
    </row>
    <row r="217" spans="8:13" ht="14.25" customHeight="1">
      <c r="H217" s="2">
        <v>209</v>
      </c>
      <c r="I217" s="50">
        <f t="shared" si="15"/>
        <v>3.5000000000000003E-2</v>
      </c>
      <c r="J217" s="13">
        <f t="shared" si="16"/>
        <v>2245.2234390441222</v>
      </c>
      <c r="K217" s="13">
        <f t="shared" si="17"/>
        <v>803.09950125398723</v>
      </c>
      <c r="L217" s="12">
        <f t="shared" si="18"/>
        <v>1442.123937790135</v>
      </c>
      <c r="M217" s="12">
        <f t="shared" si="19"/>
        <v>273906.27649214829</v>
      </c>
    </row>
    <row r="218" spans="8:13" ht="14.25" customHeight="1">
      <c r="H218" s="2">
        <v>210</v>
      </c>
      <c r="I218" s="50">
        <f t="shared" si="15"/>
        <v>3.5000000000000003E-2</v>
      </c>
      <c r="J218" s="13">
        <f t="shared" si="16"/>
        <v>2245.2234390441222</v>
      </c>
      <c r="K218" s="13">
        <f t="shared" si="17"/>
        <v>798.89330643543258</v>
      </c>
      <c r="L218" s="12">
        <f t="shared" si="18"/>
        <v>1446.3301326086896</v>
      </c>
      <c r="M218" s="12">
        <f t="shared" si="19"/>
        <v>272459.94635953958</v>
      </c>
    </row>
    <row r="219" spans="8:13" ht="14.25" customHeight="1">
      <c r="H219" s="2">
        <v>211</v>
      </c>
      <c r="I219" s="50">
        <f t="shared" si="15"/>
        <v>3.5000000000000003E-2</v>
      </c>
      <c r="J219" s="13">
        <f t="shared" si="16"/>
        <v>2245.2234390441222</v>
      </c>
      <c r="K219" s="13">
        <f t="shared" si="17"/>
        <v>794.67484354865735</v>
      </c>
      <c r="L219" s="12">
        <f t="shared" si="18"/>
        <v>1450.5485954954647</v>
      </c>
      <c r="M219" s="12">
        <f t="shared" si="19"/>
        <v>271009.39776404412</v>
      </c>
    </row>
    <row r="220" spans="8:13" ht="14.25" customHeight="1">
      <c r="H220" s="2">
        <v>212</v>
      </c>
      <c r="I220" s="50">
        <f t="shared" si="15"/>
        <v>3.5000000000000003E-2</v>
      </c>
      <c r="J220" s="13">
        <f t="shared" si="16"/>
        <v>2245.2234390441222</v>
      </c>
      <c r="K220" s="13">
        <f t="shared" si="17"/>
        <v>790.44407681179553</v>
      </c>
      <c r="L220" s="12">
        <f t="shared" si="18"/>
        <v>1454.7793622323265</v>
      </c>
      <c r="M220" s="12">
        <f t="shared" si="19"/>
        <v>269554.61840181181</v>
      </c>
    </row>
    <row r="221" spans="8:13" ht="14.25" customHeight="1">
      <c r="H221" s="2">
        <v>213</v>
      </c>
      <c r="I221" s="50">
        <f t="shared" si="15"/>
        <v>3.5000000000000003E-2</v>
      </c>
      <c r="J221" s="13">
        <f t="shared" si="16"/>
        <v>2245.2234390441222</v>
      </c>
      <c r="K221" s="13">
        <f t="shared" si="17"/>
        <v>786.20097033861782</v>
      </c>
      <c r="L221" s="12">
        <f t="shared" si="18"/>
        <v>1459.0224687055043</v>
      </c>
      <c r="M221" s="12">
        <f t="shared" si="19"/>
        <v>268095.59593310632</v>
      </c>
    </row>
    <row r="222" spans="8:13" ht="14.25" customHeight="1">
      <c r="H222" s="2">
        <v>214</v>
      </c>
      <c r="I222" s="50">
        <f t="shared" si="15"/>
        <v>3.5000000000000003E-2</v>
      </c>
      <c r="J222" s="13">
        <f t="shared" si="16"/>
        <v>2245.2234390441222</v>
      </c>
      <c r="K222" s="13">
        <f t="shared" si="17"/>
        <v>781.94548813822678</v>
      </c>
      <c r="L222" s="12">
        <f t="shared" si="18"/>
        <v>1463.2779509058955</v>
      </c>
      <c r="M222" s="12">
        <f t="shared" si="19"/>
        <v>266632.31798220042</v>
      </c>
    </row>
    <row r="223" spans="8:13" ht="14.25" customHeight="1">
      <c r="H223" s="2">
        <v>215</v>
      </c>
      <c r="I223" s="50">
        <f t="shared" si="15"/>
        <v>3.5000000000000003E-2</v>
      </c>
      <c r="J223" s="13">
        <f t="shared" si="16"/>
        <v>2245.2234390441222</v>
      </c>
      <c r="K223" s="13">
        <f t="shared" si="17"/>
        <v>777.67759411475106</v>
      </c>
      <c r="L223" s="12">
        <f t="shared" si="18"/>
        <v>1467.545844929371</v>
      </c>
      <c r="M223" s="12">
        <f t="shared" si="19"/>
        <v>265164.77213727107</v>
      </c>
    </row>
    <row r="224" spans="8:13" ht="14.25" customHeight="1">
      <c r="H224" s="2">
        <v>216</v>
      </c>
      <c r="I224" s="50">
        <f t="shared" si="15"/>
        <v>3.5000000000000003E-2</v>
      </c>
      <c r="J224" s="13">
        <f t="shared" si="16"/>
        <v>2245.2234390441222</v>
      </c>
      <c r="K224" s="13">
        <f t="shared" si="17"/>
        <v>773.39725206704065</v>
      </c>
      <c r="L224" s="12">
        <f t="shared" si="18"/>
        <v>1471.8261869770815</v>
      </c>
      <c r="M224" s="12">
        <f t="shared" si="19"/>
        <v>263692.94595029397</v>
      </c>
    </row>
    <row r="225" spans="8:13" ht="14.25" customHeight="1">
      <c r="H225" s="2">
        <v>217</v>
      </c>
      <c r="I225" s="50">
        <f t="shared" si="15"/>
        <v>3.5000000000000003E-2</v>
      </c>
      <c r="J225" s="13">
        <f t="shared" si="16"/>
        <v>2245.2234390441222</v>
      </c>
      <c r="K225" s="13">
        <f t="shared" si="17"/>
        <v>769.10442568835765</v>
      </c>
      <c r="L225" s="12">
        <f t="shared" si="18"/>
        <v>1476.1190133557645</v>
      </c>
      <c r="M225" s="12">
        <f t="shared" si="19"/>
        <v>262216.82693693822</v>
      </c>
    </row>
    <row r="226" spans="8:13" ht="14.25" customHeight="1">
      <c r="H226" s="2">
        <v>218</v>
      </c>
      <c r="I226" s="50">
        <f t="shared" si="15"/>
        <v>3.5000000000000003E-2</v>
      </c>
      <c r="J226" s="13">
        <f t="shared" si="16"/>
        <v>2245.2234390441222</v>
      </c>
      <c r="K226" s="13">
        <f t="shared" si="17"/>
        <v>764.79907856606985</v>
      </c>
      <c r="L226" s="12">
        <f t="shared" si="18"/>
        <v>1480.4243604780522</v>
      </c>
      <c r="M226" s="12">
        <f t="shared" si="19"/>
        <v>260736.40257646015</v>
      </c>
    </row>
    <row r="227" spans="8:13" ht="14.25" customHeight="1">
      <c r="H227" s="2">
        <v>219</v>
      </c>
      <c r="I227" s="50">
        <f t="shared" si="15"/>
        <v>3.5000000000000003E-2</v>
      </c>
      <c r="J227" s="13">
        <f t="shared" si="16"/>
        <v>2245.2234390441222</v>
      </c>
      <c r="K227" s="13">
        <f t="shared" si="17"/>
        <v>760.48117418134211</v>
      </c>
      <c r="L227" s="12">
        <f t="shared" si="18"/>
        <v>1484.7422648627801</v>
      </c>
      <c r="M227" s="12">
        <f t="shared" si="19"/>
        <v>259251.66031159737</v>
      </c>
    </row>
    <row r="228" spans="8:13" ht="14.25" customHeight="1">
      <c r="H228" s="2">
        <v>220</v>
      </c>
      <c r="I228" s="50">
        <f t="shared" si="15"/>
        <v>3.5000000000000003E-2</v>
      </c>
      <c r="J228" s="13">
        <f t="shared" si="16"/>
        <v>2245.2234390441222</v>
      </c>
      <c r="K228" s="13">
        <f t="shared" si="17"/>
        <v>756.15067590882575</v>
      </c>
      <c r="L228" s="12">
        <f t="shared" si="18"/>
        <v>1489.0727631352966</v>
      </c>
      <c r="M228" s="12">
        <f t="shared" si="19"/>
        <v>257762.58754846206</v>
      </c>
    </row>
    <row r="229" spans="8:13" ht="14.25" customHeight="1">
      <c r="H229" s="2">
        <v>221</v>
      </c>
      <c r="I229" s="50">
        <f t="shared" si="15"/>
        <v>3.5000000000000003E-2</v>
      </c>
      <c r="J229" s="13">
        <f t="shared" si="16"/>
        <v>2245.2234390441222</v>
      </c>
      <c r="K229" s="13">
        <f t="shared" si="17"/>
        <v>751.80754701634783</v>
      </c>
      <c r="L229" s="12">
        <f t="shared" si="18"/>
        <v>1493.4158920277744</v>
      </c>
      <c r="M229" s="12">
        <f t="shared" si="19"/>
        <v>256269.17165643428</v>
      </c>
    </row>
    <row r="230" spans="8:13" ht="14.25" customHeight="1">
      <c r="H230" s="2">
        <v>222</v>
      </c>
      <c r="I230" s="50">
        <f t="shared" si="15"/>
        <v>3.5000000000000003E-2</v>
      </c>
      <c r="J230" s="13">
        <f t="shared" si="16"/>
        <v>2245.2234390441222</v>
      </c>
      <c r="K230" s="13">
        <f t="shared" si="17"/>
        <v>747.45175066460013</v>
      </c>
      <c r="L230" s="12">
        <f t="shared" si="18"/>
        <v>1497.7716883795219</v>
      </c>
      <c r="M230" s="12">
        <f t="shared" si="19"/>
        <v>254771.39996805476</v>
      </c>
    </row>
    <row r="231" spans="8:13" ht="14.25" customHeight="1">
      <c r="H231" s="2">
        <v>223</v>
      </c>
      <c r="I231" s="50">
        <f t="shared" si="15"/>
        <v>3.5000000000000003E-2</v>
      </c>
      <c r="J231" s="13">
        <f t="shared" si="16"/>
        <v>2245.2234390441222</v>
      </c>
      <c r="K231" s="13">
        <f t="shared" si="17"/>
        <v>743.08324990682661</v>
      </c>
      <c r="L231" s="12">
        <f t="shared" si="18"/>
        <v>1502.1401891372957</v>
      </c>
      <c r="M231" s="12">
        <f t="shared" si="19"/>
        <v>253269.25977891745</v>
      </c>
    </row>
    <row r="232" spans="8:13" ht="14.25" customHeight="1">
      <c r="H232" s="2">
        <v>224</v>
      </c>
      <c r="I232" s="50">
        <f t="shared" si="15"/>
        <v>3.5000000000000003E-2</v>
      </c>
      <c r="J232" s="13">
        <f t="shared" si="16"/>
        <v>2245.2234390441222</v>
      </c>
      <c r="K232" s="13">
        <f t="shared" si="17"/>
        <v>738.70200768850952</v>
      </c>
      <c r="L232" s="12">
        <f t="shared" si="18"/>
        <v>1506.5214313556125</v>
      </c>
      <c r="M232" s="12">
        <f t="shared" si="19"/>
        <v>251762.73834756183</v>
      </c>
    </row>
    <row r="233" spans="8:13" ht="14.25" customHeight="1">
      <c r="H233" s="2">
        <v>225</v>
      </c>
      <c r="I233" s="50">
        <f t="shared" si="15"/>
        <v>3.5000000000000003E-2</v>
      </c>
      <c r="J233" s="13">
        <f t="shared" si="16"/>
        <v>2245.2234390441222</v>
      </c>
      <c r="K233" s="13">
        <f t="shared" si="17"/>
        <v>734.30798684705542</v>
      </c>
      <c r="L233" s="12">
        <f t="shared" si="18"/>
        <v>1510.9154521970668</v>
      </c>
      <c r="M233" s="12">
        <f t="shared" si="19"/>
        <v>250251.82289536475</v>
      </c>
    </row>
    <row r="234" spans="8:13" ht="14.25" customHeight="1">
      <c r="H234" s="2">
        <v>226</v>
      </c>
      <c r="I234" s="50">
        <f t="shared" si="15"/>
        <v>3.5000000000000003E-2</v>
      </c>
      <c r="J234" s="13">
        <f t="shared" si="16"/>
        <v>2245.2234390441222</v>
      </c>
      <c r="K234" s="13">
        <f t="shared" si="17"/>
        <v>729.90115011148077</v>
      </c>
      <c r="L234" s="12">
        <f t="shared" si="18"/>
        <v>1515.3222889326414</v>
      </c>
      <c r="M234" s="12">
        <f t="shared" si="19"/>
        <v>248736.50060643212</v>
      </c>
    </row>
    <row r="235" spans="8:13" ht="14.25" customHeight="1">
      <c r="H235" s="2">
        <v>227</v>
      </c>
      <c r="I235" s="50">
        <f t="shared" si="15"/>
        <v>3.5000000000000003E-2</v>
      </c>
      <c r="J235" s="13">
        <f t="shared" si="16"/>
        <v>2245.2234390441222</v>
      </c>
      <c r="K235" s="13">
        <f t="shared" si="17"/>
        <v>725.48146010209393</v>
      </c>
      <c r="L235" s="12">
        <f t="shared" si="18"/>
        <v>1519.7419789420283</v>
      </c>
      <c r="M235" s="12">
        <f t="shared" si="19"/>
        <v>247216.75862749008</v>
      </c>
    </row>
    <row r="236" spans="8:13" ht="14.25" customHeight="1">
      <c r="H236" s="2">
        <v>228</v>
      </c>
      <c r="I236" s="50">
        <f t="shared" si="15"/>
        <v>3.5000000000000003E-2</v>
      </c>
      <c r="J236" s="13">
        <f t="shared" si="16"/>
        <v>2245.2234390441222</v>
      </c>
      <c r="K236" s="13">
        <f t="shared" si="17"/>
        <v>721.0488793301796</v>
      </c>
      <c r="L236" s="12">
        <f t="shared" si="18"/>
        <v>1524.1745597139425</v>
      </c>
      <c r="M236" s="12">
        <f t="shared" si="19"/>
        <v>245692.58406777613</v>
      </c>
    </row>
    <row r="237" spans="8:13" ht="14.25" customHeight="1">
      <c r="H237" s="2">
        <v>229</v>
      </c>
      <c r="I237" s="50">
        <f t="shared" si="15"/>
        <v>3.5000000000000003E-2</v>
      </c>
      <c r="J237" s="13">
        <f t="shared" si="16"/>
        <v>2245.2234390441222</v>
      </c>
      <c r="K237" s="13">
        <f t="shared" si="17"/>
        <v>716.60337019768053</v>
      </c>
      <c r="L237" s="12">
        <f t="shared" si="18"/>
        <v>1528.6200688464417</v>
      </c>
      <c r="M237" s="12">
        <f t="shared" si="19"/>
        <v>244163.96399892968</v>
      </c>
    </row>
    <row r="238" spans="8:13" ht="14.25" customHeight="1">
      <c r="H238" s="2">
        <v>230</v>
      </c>
      <c r="I238" s="50">
        <f t="shared" si="15"/>
        <v>3.5000000000000003E-2</v>
      </c>
      <c r="J238" s="13">
        <f t="shared" si="16"/>
        <v>2245.2234390441222</v>
      </c>
      <c r="K238" s="13">
        <f t="shared" si="17"/>
        <v>712.14489499687852</v>
      </c>
      <c r="L238" s="12">
        <f t="shared" si="18"/>
        <v>1533.0785440472437</v>
      </c>
      <c r="M238" s="12">
        <f t="shared" si="19"/>
        <v>242630.88545488243</v>
      </c>
    </row>
    <row r="239" spans="8:13" ht="14.25" customHeight="1">
      <c r="H239" s="2">
        <v>231</v>
      </c>
      <c r="I239" s="50">
        <f t="shared" si="15"/>
        <v>3.5000000000000003E-2</v>
      </c>
      <c r="J239" s="13">
        <f t="shared" si="16"/>
        <v>2245.2234390441222</v>
      </c>
      <c r="K239" s="13">
        <f t="shared" si="17"/>
        <v>707.67341591007403</v>
      </c>
      <c r="L239" s="12">
        <f t="shared" si="18"/>
        <v>1537.5500231340482</v>
      </c>
      <c r="M239" s="12">
        <f t="shared" si="19"/>
        <v>241093.33543174839</v>
      </c>
    </row>
    <row r="240" spans="8:13" ht="14.25" customHeight="1">
      <c r="H240" s="2">
        <v>232</v>
      </c>
      <c r="I240" s="50">
        <f t="shared" si="15"/>
        <v>3.5000000000000003E-2</v>
      </c>
      <c r="J240" s="13">
        <f t="shared" si="16"/>
        <v>2245.2234390441222</v>
      </c>
      <c r="K240" s="13">
        <f t="shared" si="17"/>
        <v>703.18889500926639</v>
      </c>
      <c r="L240" s="12">
        <f t="shared" si="18"/>
        <v>1542.0345440348558</v>
      </c>
      <c r="M240" s="12">
        <f t="shared" si="19"/>
        <v>239551.30088771353</v>
      </c>
    </row>
    <row r="241" spans="8:13" ht="14.25" customHeight="1">
      <c r="H241" s="2">
        <v>233</v>
      </c>
      <c r="I241" s="50">
        <f t="shared" si="15"/>
        <v>3.5000000000000003E-2</v>
      </c>
      <c r="J241" s="13">
        <f t="shared" si="16"/>
        <v>2245.2234390441222</v>
      </c>
      <c r="K241" s="13">
        <f t="shared" si="17"/>
        <v>698.69129425583139</v>
      </c>
      <c r="L241" s="12">
        <f t="shared" si="18"/>
        <v>1546.5321447882907</v>
      </c>
      <c r="M241" s="12">
        <f t="shared" si="19"/>
        <v>238004.76874292523</v>
      </c>
    </row>
    <row r="242" spans="8:13" ht="14.25" customHeight="1">
      <c r="H242" s="2">
        <v>234</v>
      </c>
      <c r="I242" s="50">
        <f t="shared" si="15"/>
        <v>3.5000000000000003E-2</v>
      </c>
      <c r="J242" s="13">
        <f t="shared" si="16"/>
        <v>2245.2234390441222</v>
      </c>
      <c r="K242" s="13">
        <f t="shared" si="17"/>
        <v>694.18057550019898</v>
      </c>
      <c r="L242" s="12">
        <f t="shared" si="18"/>
        <v>1551.0428635439232</v>
      </c>
      <c r="M242" s="12">
        <f t="shared" si="19"/>
        <v>236453.72587938129</v>
      </c>
    </row>
    <row r="243" spans="8:13" ht="14.25" customHeight="1">
      <c r="H243" s="2">
        <v>235</v>
      </c>
      <c r="I243" s="50">
        <f t="shared" si="15"/>
        <v>3.5000000000000003E-2</v>
      </c>
      <c r="J243" s="13">
        <f t="shared" si="16"/>
        <v>2245.2234390441222</v>
      </c>
      <c r="K243" s="13">
        <f t="shared" si="17"/>
        <v>689.65670048152901</v>
      </c>
      <c r="L243" s="12">
        <f t="shared" si="18"/>
        <v>1555.5667385625932</v>
      </c>
      <c r="M243" s="12">
        <f t="shared" si="19"/>
        <v>234898.15914081869</v>
      </c>
    </row>
    <row r="244" spans="8:13" ht="14.25" customHeight="1">
      <c r="H244" s="2">
        <v>236</v>
      </c>
      <c r="I244" s="50">
        <f t="shared" si="15"/>
        <v>3.5000000000000003E-2</v>
      </c>
      <c r="J244" s="13">
        <f t="shared" si="16"/>
        <v>2245.2234390441222</v>
      </c>
      <c r="K244" s="13">
        <f t="shared" si="17"/>
        <v>685.11963082738828</v>
      </c>
      <c r="L244" s="12">
        <f t="shared" si="18"/>
        <v>1560.1038082167338</v>
      </c>
      <c r="M244" s="12">
        <f t="shared" si="19"/>
        <v>233338.05533260197</v>
      </c>
    </row>
    <row r="245" spans="8:13" ht="14.25" customHeight="1">
      <c r="H245" s="2">
        <v>237</v>
      </c>
      <c r="I245" s="50">
        <f t="shared" si="15"/>
        <v>3.5000000000000003E-2</v>
      </c>
      <c r="J245" s="13">
        <f t="shared" si="16"/>
        <v>2245.2234390441222</v>
      </c>
      <c r="K245" s="13">
        <f t="shared" si="17"/>
        <v>680.56932805342274</v>
      </c>
      <c r="L245" s="12">
        <f t="shared" si="18"/>
        <v>1564.6541109906993</v>
      </c>
      <c r="M245" s="12">
        <f t="shared" si="19"/>
        <v>231773.40122161128</v>
      </c>
    </row>
    <row r="246" spans="8:13" ht="14.25" customHeight="1">
      <c r="H246" s="2">
        <v>238</v>
      </c>
      <c r="I246" s="50">
        <f t="shared" si="15"/>
        <v>3.5000000000000003E-2</v>
      </c>
      <c r="J246" s="13">
        <f t="shared" si="16"/>
        <v>2245.2234390441222</v>
      </c>
      <c r="K246" s="13">
        <f t="shared" si="17"/>
        <v>676.00575356303318</v>
      </c>
      <c r="L246" s="12">
        <f t="shared" si="18"/>
        <v>1569.2176854810891</v>
      </c>
      <c r="M246" s="12">
        <f t="shared" si="19"/>
        <v>230204.18353613018</v>
      </c>
    </row>
    <row r="247" spans="8:13" ht="14.25" customHeight="1">
      <c r="H247" s="2">
        <v>239</v>
      </c>
      <c r="I247" s="50">
        <f t="shared" si="15"/>
        <v>3.5000000000000003E-2</v>
      </c>
      <c r="J247" s="13">
        <f t="shared" si="16"/>
        <v>2245.2234390441222</v>
      </c>
      <c r="K247" s="13">
        <f t="shared" si="17"/>
        <v>671.42886864704667</v>
      </c>
      <c r="L247" s="12">
        <f t="shared" si="18"/>
        <v>1573.7945703970754</v>
      </c>
      <c r="M247" s="12">
        <f t="shared" si="19"/>
        <v>228630.38896573312</v>
      </c>
    </row>
    <row r="248" spans="8:13" ht="14.25" customHeight="1">
      <c r="H248" s="2">
        <v>240</v>
      </c>
      <c r="I248" s="50">
        <f t="shared" si="15"/>
        <v>3.5000000000000003E-2</v>
      </c>
      <c r="J248" s="13">
        <f t="shared" si="16"/>
        <v>2245.2234390441222</v>
      </c>
      <c r="K248" s="13">
        <f t="shared" si="17"/>
        <v>666.83863448338855</v>
      </c>
      <c r="L248" s="12">
        <f t="shared" si="18"/>
        <v>1578.3848045607338</v>
      </c>
      <c r="M248" s="12">
        <f t="shared" si="19"/>
        <v>227052.00416117237</v>
      </c>
    </row>
    <row r="249" spans="8:13" ht="14.25" customHeight="1">
      <c r="H249" s="2">
        <v>241</v>
      </c>
      <c r="I249" s="50">
        <f t="shared" si="15"/>
        <v>3.5000000000000003E-2</v>
      </c>
      <c r="J249" s="13">
        <f t="shared" si="16"/>
        <v>2245.2234390441222</v>
      </c>
      <c r="K249" s="13">
        <f t="shared" si="17"/>
        <v>662.23501213675308</v>
      </c>
      <c r="L249" s="12">
        <f t="shared" si="18"/>
        <v>1582.9884269073691</v>
      </c>
      <c r="M249" s="12">
        <f t="shared" si="19"/>
        <v>225469.01573426501</v>
      </c>
    </row>
    <row r="250" spans="8:13" ht="14.25" customHeight="1">
      <c r="H250" s="2">
        <v>242</v>
      </c>
      <c r="I250" s="50">
        <f t="shared" si="15"/>
        <v>3.5000000000000003E-2</v>
      </c>
      <c r="J250" s="13">
        <f t="shared" si="16"/>
        <v>2245.2234390441222</v>
      </c>
      <c r="K250" s="13">
        <f t="shared" si="17"/>
        <v>657.61796255827335</v>
      </c>
      <c r="L250" s="12">
        <f t="shared" si="18"/>
        <v>1587.6054764858488</v>
      </c>
      <c r="M250" s="12">
        <f t="shared" si="19"/>
        <v>223881.41025777915</v>
      </c>
    </row>
    <row r="251" spans="8:13" ht="14.25" customHeight="1">
      <c r="H251" s="2">
        <v>243</v>
      </c>
      <c r="I251" s="50">
        <f t="shared" si="15"/>
        <v>3.5000000000000003E-2</v>
      </c>
      <c r="J251" s="13">
        <f t="shared" si="16"/>
        <v>2245.2234390441222</v>
      </c>
      <c r="K251" s="13">
        <f t="shared" si="17"/>
        <v>652.98744658518945</v>
      </c>
      <c r="L251" s="12">
        <f t="shared" si="18"/>
        <v>1592.2359924589327</v>
      </c>
      <c r="M251" s="12">
        <f t="shared" si="19"/>
        <v>222289.17426532021</v>
      </c>
    </row>
    <row r="252" spans="8:13" ht="14.25" customHeight="1">
      <c r="H252" s="2">
        <v>244</v>
      </c>
      <c r="I252" s="50">
        <f t="shared" si="15"/>
        <v>3.5000000000000003E-2</v>
      </c>
      <c r="J252" s="13">
        <f t="shared" si="16"/>
        <v>2245.2234390441222</v>
      </c>
      <c r="K252" s="13">
        <f t="shared" si="17"/>
        <v>648.34342494051759</v>
      </c>
      <c r="L252" s="12">
        <f t="shared" si="18"/>
        <v>1596.8800141036045</v>
      </c>
      <c r="M252" s="12">
        <f t="shared" si="19"/>
        <v>220692.2942512166</v>
      </c>
    </row>
    <row r="253" spans="8:13" ht="14.25" customHeight="1">
      <c r="H253" s="2">
        <v>245</v>
      </c>
      <c r="I253" s="50">
        <f t="shared" si="15"/>
        <v>3.5000000000000003E-2</v>
      </c>
      <c r="J253" s="13">
        <f t="shared" si="16"/>
        <v>2245.2234390441222</v>
      </c>
      <c r="K253" s="13">
        <f t="shared" si="17"/>
        <v>643.68585823271542</v>
      </c>
      <c r="L253" s="12">
        <f t="shared" si="18"/>
        <v>1601.5375808114068</v>
      </c>
      <c r="M253" s="12">
        <f t="shared" si="19"/>
        <v>219090.75667040519</v>
      </c>
    </row>
    <row r="254" spans="8:13" ht="14.25" customHeight="1">
      <c r="H254" s="2">
        <v>246</v>
      </c>
      <c r="I254" s="50">
        <f t="shared" si="15"/>
        <v>3.5000000000000003E-2</v>
      </c>
      <c r="J254" s="13">
        <f t="shared" si="16"/>
        <v>2245.2234390441222</v>
      </c>
      <c r="K254" s="13">
        <f t="shared" si="17"/>
        <v>639.01470695534886</v>
      </c>
      <c r="L254" s="12">
        <f t="shared" si="18"/>
        <v>1606.2087320887733</v>
      </c>
      <c r="M254" s="12">
        <f t="shared" si="19"/>
        <v>217484.54793831642</v>
      </c>
    </row>
    <row r="255" spans="8:13" ht="14.25" customHeight="1">
      <c r="H255" s="2">
        <v>247</v>
      </c>
      <c r="I255" s="50">
        <f t="shared" si="15"/>
        <v>3.5000000000000003E-2</v>
      </c>
      <c r="J255" s="13">
        <f t="shared" si="16"/>
        <v>2245.2234390441222</v>
      </c>
      <c r="K255" s="13">
        <f t="shared" si="17"/>
        <v>634.32993148675655</v>
      </c>
      <c r="L255" s="12">
        <f t="shared" si="18"/>
        <v>1610.8935075573656</v>
      </c>
      <c r="M255" s="12">
        <f t="shared" si="19"/>
        <v>215873.65443075905</v>
      </c>
    </row>
    <row r="256" spans="8:13" ht="14.25" customHeight="1">
      <c r="H256" s="2">
        <v>248</v>
      </c>
      <c r="I256" s="50">
        <f t="shared" si="15"/>
        <v>3.5000000000000003E-2</v>
      </c>
      <c r="J256" s="13">
        <f t="shared" si="16"/>
        <v>2245.2234390441222</v>
      </c>
      <c r="K256" s="13">
        <f t="shared" si="17"/>
        <v>629.63149208971424</v>
      </c>
      <c r="L256" s="12">
        <f t="shared" si="18"/>
        <v>1615.5919469544078</v>
      </c>
      <c r="M256" s="12">
        <f t="shared" si="19"/>
        <v>214258.06248380465</v>
      </c>
    </row>
    <row r="257" spans="8:13" ht="14.25" customHeight="1">
      <c r="H257" s="2">
        <v>249</v>
      </c>
      <c r="I257" s="50">
        <f t="shared" si="15"/>
        <v>3.5000000000000003E-2</v>
      </c>
      <c r="J257" s="13">
        <f t="shared" si="16"/>
        <v>2245.2234390441222</v>
      </c>
      <c r="K257" s="13">
        <f t="shared" si="17"/>
        <v>624.91934891109725</v>
      </c>
      <c r="L257" s="12">
        <f t="shared" si="18"/>
        <v>1620.3040901330251</v>
      </c>
      <c r="M257" s="12">
        <f t="shared" si="19"/>
        <v>212637.75839367163</v>
      </c>
    </row>
    <row r="258" spans="8:13" ht="14.25" customHeight="1">
      <c r="H258" s="2">
        <v>250</v>
      </c>
      <c r="I258" s="50">
        <f t="shared" si="15"/>
        <v>3.5000000000000003E-2</v>
      </c>
      <c r="J258" s="13">
        <f t="shared" si="16"/>
        <v>2245.2234390441222</v>
      </c>
      <c r="K258" s="13">
        <f t="shared" si="17"/>
        <v>620.19346198154267</v>
      </c>
      <c r="L258" s="12">
        <f t="shared" si="18"/>
        <v>1625.0299770625795</v>
      </c>
      <c r="M258" s="12">
        <f t="shared" si="19"/>
        <v>211012.72841660905</v>
      </c>
    </row>
    <row r="259" spans="8:13" ht="14.25" customHeight="1">
      <c r="H259" s="2">
        <v>251</v>
      </c>
      <c r="I259" s="50">
        <f t="shared" si="15"/>
        <v>3.5000000000000003E-2</v>
      </c>
      <c r="J259" s="13">
        <f t="shared" si="16"/>
        <v>2245.2234390441222</v>
      </c>
      <c r="K259" s="13">
        <f t="shared" si="17"/>
        <v>615.45379121511007</v>
      </c>
      <c r="L259" s="12">
        <f t="shared" si="18"/>
        <v>1629.7696478290122</v>
      </c>
      <c r="M259" s="12">
        <f t="shared" si="19"/>
        <v>209382.95876878005</v>
      </c>
    </row>
    <row r="260" spans="8:13" ht="14.25" customHeight="1">
      <c r="H260" s="2">
        <v>252</v>
      </c>
      <c r="I260" s="50">
        <f t="shared" si="15"/>
        <v>3.5000000000000003E-2</v>
      </c>
      <c r="J260" s="13">
        <f t="shared" si="16"/>
        <v>2245.2234390441222</v>
      </c>
      <c r="K260" s="13">
        <f t="shared" si="17"/>
        <v>610.70029640894222</v>
      </c>
      <c r="L260" s="12">
        <f t="shared" si="18"/>
        <v>1634.52314263518</v>
      </c>
      <c r="M260" s="12">
        <f t="shared" si="19"/>
        <v>207748.43562614487</v>
      </c>
    </row>
    <row r="261" spans="8:13" ht="14.25" customHeight="1">
      <c r="H261" s="2">
        <v>253</v>
      </c>
      <c r="I261" s="50">
        <f t="shared" si="15"/>
        <v>3.5000000000000003E-2</v>
      </c>
      <c r="J261" s="13">
        <f t="shared" si="16"/>
        <v>2245.2234390441222</v>
      </c>
      <c r="K261" s="13">
        <f t="shared" si="17"/>
        <v>605.93293724292289</v>
      </c>
      <c r="L261" s="12">
        <f t="shared" si="18"/>
        <v>1639.2905018011993</v>
      </c>
      <c r="M261" s="12">
        <f t="shared" si="19"/>
        <v>206109.14512434366</v>
      </c>
    </row>
    <row r="262" spans="8:13" ht="14.25" customHeight="1">
      <c r="H262" s="2">
        <v>254</v>
      </c>
      <c r="I262" s="50">
        <f t="shared" si="15"/>
        <v>3.5000000000000003E-2</v>
      </c>
      <c r="J262" s="13">
        <f t="shared" si="16"/>
        <v>2245.2234390441222</v>
      </c>
      <c r="K262" s="13">
        <f t="shared" si="17"/>
        <v>601.15167327933602</v>
      </c>
      <c r="L262" s="12">
        <f t="shared" si="18"/>
        <v>1644.0717657647861</v>
      </c>
      <c r="M262" s="12">
        <f t="shared" si="19"/>
        <v>204465.07335857887</v>
      </c>
    </row>
    <row r="263" spans="8:13" ht="14.25" customHeight="1">
      <c r="H263" s="2">
        <v>255</v>
      </c>
      <c r="I263" s="50">
        <f t="shared" si="15"/>
        <v>3.5000000000000003E-2</v>
      </c>
      <c r="J263" s="13">
        <f t="shared" si="16"/>
        <v>2245.2234390441222</v>
      </c>
      <c r="K263" s="13">
        <f t="shared" si="17"/>
        <v>596.35646396252196</v>
      </c>
      <c r="L263" s="12">
        <f t="shared" si="18"/>
        <v>1648.8669750816002</v>
      </c>
      <c r="M263" s="12">
        <f t="shared" si="19"/>
        <v>202816.20638349728</v>
      </c>
    </row>
    <row r="264" spans="8:13" ht="14.25" customHeight="1">
      <c r="H264" s="2">
        <v>256</v>
      </c>
      <c r="I264" s="50">
        <f t="shared" si="15"/>
        <v>3.5000000000000003E-2</v>
      </c>
      <c r="J264" s="13">
        <f t="shared" si="16"/>
        <v>2245.2234390441222</v>
      </c>
      <c r="K264" s="13">
        <f t="shared" si="17"/>
        <v>591.54726861853408</v>
      </c>
      <c r="L264" s="12">
        <f t="shared" si="18"/>
        <v>1653.6761704255882</v>
      </c>
      <c r="M264" s="12">
        <f t="shared" si="19"/>
        <v>201162.5302130717</v>
      </c>
    </row>
    <row r="265" spans="8:13" ht="14.25" customHeight="1">
      <c r="H265" s="2">
        <v>257</v>
      </c>
      <c r="I265" s="50">
        <f t="shared" si="15"/>
        <v>3.5000000000000003E-2</v>
      </c>
      <c r="J265" s="13">
        <f t="shared" si="16"/>
        <v>2245.2234390441222</v>
      </c>
      <c r="K265" s="13">
        <f t="shared" si="17"/>
        <v>586.72404645479287</v>
      </c>
      <c r="L265" s="12">
        <f t="shared" si="18"/>
        <v>1658.4993925893293</v>
      </c>
      <c r="M265" s="12">
        <f t="shared" si="19"/>
        <v>199504.03082048238</v>
      </c>
    </row>
    <row r="266" spans="8:13" ht="14.25" customHeight="1">
      <c r="H266" s="2">
        <v>258</v>
      </c>
      <c r="I266" s="50">
        <f t="shared" ref="I266:I329" si="20">$F$10</f>
        <v>3.5000000000000003E-2</v>
      </c>
      <c r="J266" s="13">
        <f t="shared" ref="J266:J329" si="21">$F$13</f>
        <v>2245.2234390441222</v>
      </c>
      <c r="K266" s="13">
        <f t="shared" ref="K266:K329" si="22">IPMT(I266/12,H266,$F$12,-$F$9,0)</f>
        <v>581.88675655974055</v>
      </c>
      <c r="L266" s="12">
        <f t="shared" ref="L266:L329" si="23">J266-K266</f>
        <v>1663.3366824843815</v>
      </c>
      <c r="M266" s="12">
        <f t="shared" ref="M266:M329" si="24">M265-L266</f>
        <v>197840.69413799801</v>
      </c>
    </row>
    <row r="267" spans="8:13" ht="14.25" customHeight="1">
      <c r="H267" s="2">
        <v>259</v>
      </c>
      <c r="I267" s="50">
        <f t="shared" si="20"/>
        <v>3.5000000000000003E-2</v>
      </c>
      <c r="J267" s="13">
        <f t="shared" si="21"/>
        <v>2245.2234390441222</v>
      </c>
      <c r="K267" s="13">
        <f t="shared" si="22"/>
        <v>577.03535790249441</v>
      </c>
      <c r="L267" s="12">
        <f t="shared" si="23"/>
        <v>1668.1880811416277</v>
      </c>
      <c r="M267" s="12">
        <f t="shared" si="24"/>
        <v>196172.50605685639</v>
      </c>
    </row>
    <row r="268" spans="8:13" ht="14.25" customHeight="1">
      <c r="H268" s="2">
        <v>260</v>
      </c>
      <c r="I268" s="50">
        <f t="shared" si="20"/>
        <v>3.5000000000000003E-2</v>
      </c>
      <c r="J268" s="13">
        <f t="shared" si="21"/>
        <v>2245.2234390441222</v>
      </c>
      <c r="K268" s="13">
        <f t="shared" si="22"/>
        <v>572.16980933249806</v>
      </c>
      <c r="L268" s="12">
        <f t="shared" si="23"/>
        <v>1673.0536297116241</v>
      </c>
      <c r="M268" s="12">
        <f t="shared" si="24"/>
        <v>194499.45242714477</v>
      </c>
    </row>
    <row r="269" spans="8:13" ht="14.25" customHeight="1">
      <c r="H269" s="2">
        <v>261</v>
      </c>
      <c r="I269" s="50">
        <f t="shared" si="20"/>
        <v>3.5000000000000003E-2</v>
      </c>
      <c r="J269" s="13">
        <f t="shared" si="21"/>
        <v>2245.2234390441222</v>
      </c>
      <c r="K269" s="13">
        <f t="shared" si="22"/>
        <v>567.2900695791725</v>
      </c>
      <c r="L269" s="12">
        <f t="shared" si="23"/>
        <v>1677.9333694649497</v>
      </c>
      <c r="M269" s="12">
        <f t="shared" si="24"/>
        <v>192821.51905767983</v>
      </c>
    </row>
    <row r="270" spans="8:13" ht="14.25" customHeight="1">
      <c r="H270" s="2">
        <v>262</v>
      </c>
      <c r="I270" s="50">
        <f t="shared" si="20"/>
        <v>3.5000000000000003E-2</v>
      </c>
      <c r="J270" s="13">
        <f t="shared" si="21"/>
        <v>2245.2234390441222</v>
      </c>
      <c r="K270" s="13">
        <f t="shared" si="22"/>
        <v>562.3960972515664</v>
      </c>
      <c r="L270" s="12">
        <f t="shared" si="23"/>
        <v>1682.8273417925557</v>
      </c>
      <c r="M270" s="12">
        <f t="shared" si="24"/>
        <v>191138.69171588728</v>
      </c>
    </row>
    <row r="271" spans="8:13" ht="14.25" customHeight="1">
      <c r="H271" s="2">
        <v>263</v>
      </c>
      <c r="I271" s="50">
        <f t="shared" si="20"/>
        <v>3.5000000000000003E-2</v>
      </c>
      <c r="J271" s="13">
        <f t="shared" si="21"/>
        <v>2245.2234390441222</v>
      </c>
      <c r="K271" s="13">
        <f t="shared" si="22"/>
        <v>557.48785083800465</v>
      </c>
      <c r="L271" s="12">
        <f t="shared" si="23"/>
        <v>1687.7355882061174</v>
      </c>
      <c r="M271" s="12">
        <f t="shared" si="24"/>
        <v>189450.95612768116</v>
      </c>
    </row>
    <row r="272" spans="8:13" ht="14.25" customHeight="1">
      <c r="H272" s="2">
        <v>264</v>
      </c>
      <c r="I272" s="50">
        <f t="shared" si="20"/>
        <v>3.5000000000000003E-2</v>
      </c>
      <c r="J272" s="13">
        <f t="shared" si="21"/>
        <v>2245.2234390441222</v>
      </c>
      <c r="K272" s="13">
        <f t="shared" si="22"/>
        <v>552.56528870573686</v>
      </c>
      <c r="L272" s="12">
        <f t="shared" si="23"/>
        <v>1692.6581503383854</v>
      </c>
      <c r="M272" s="12">
        <f t="shared" si="24"/>
        <v>187758.29797734277</v>
      </c>
    </row>
    <row r="273" spans="8:13" ht="14.25" customHeight="1">
      <c r="H273" s="2">
        <v>265</v>
      </c>
      <c r="I273" s="50">
        <f t="shared" si="20"/>
        <v>3.5000000000000003E-2</v>
      </c>
      <c r="J273" s="13">
        <f t="shared" si="21"/>
        <v>2245.2234390441222</v>
      </c>
      <c r="K273" s="13">
        <f t="shared" si="22"/>
        <v>547.6283691005832</v>
      </c>
      <c r="L273" s="12">
        <f t="shared" si="23"/>
        <v>1697.5950699435389</v>
      </c>
      <c r="M273" s="12">
        <f t="shared" si="24"/>
        <v>186060.70290739922</v>
      </c>
    </row>
    <row r="274" spans="8:13" ht="14.25" customHeight="1">
      <c r="H274" s="2">
        <v>266</v>
      </c>
      <c r="I274" s="50">
        <f t="shared" si="20"/>
        <v>3.5000000000000003E-2</v>
      </c>
      <c r="J274" s="13">
        <f t="shared" si="21"/>
        <v>2245.2234390441222</v>
      </c>
      <c r="K274" s="13">
        <f t="shared" si="22"/>
        <v>542.67705014658122</v>
      </c>
      <c r="L274" s="12">
        <f t="shared" si="23"/>
        <v>1702.546388897541</v>
      </c>
      <c r="M274" s="12">
        <f t="shared" si="24"/>
        <v>184358.15651850167</v>
      </c>
    </row>
    <row r="275" spans="8:13" ht="14.25" customHeight="1">
      <c r="H275" s="2">
        <v>267</v>
      </c>
      <c r="I275" s="50">
        <f t="shared" si="20"/>
        <v>3.5000000000000003E-2</v>
      </c>
      <c r="J275" s="13">
        <f t="shared" si="21"/>
        <v>2245.2234390441222</v>
      </c>
      <c r="K275" s="13">
        <f t="shared" si="22"/>
        <v>537.71128984563006</v>
      </c>
      <c r="L275" s="12">
        <f t="shared" si="23"/>
        <v>1707.5121491984921</v>
      </c>
      <c r="M275" s="12">
        <f t="shared" si="24"/>
        <v>182650.64436930316</v>
      </c>
    </row>
    <row r="276" spans="8:13" ht="14.25" customHeight="1">
      <c r="H276" s="2">
        <v>268</v>
      </c>
      <c r="I276" s="50">
        <f t="shared" si="20"/>
        <v>3.5000000000000003E-2</v>
      </c>
      <c r="J276" s="13">
        <f t="shared" si="21"/>
        <v>2245.2234390441222</v>
      </c>
      <c r="K276" s="13">
        <f t="shared" si="22"/>
        <v>532.73104607713458</v>
      </c>
      <c r="L276" s="12">
        <f t="shared" si="23"/>
        <v>1712.4923929669876</v>
      </c>
      <c r="M276" s="12">
        <f t="shared" si="24"/>
        <v>180938.15197633617</v>
      </c>
    </row>
    <row r="277" spans="8:13" ht="14.25" customHeight="1">
      <c r="H277" s="2">
        <v>269</v>
      </c>
      <c r="I277" s="50">
        <f t="shared" si="20"/>
        <v>3.5000000000000003E-2</v>
      </c>
      <c r="J277" s="13">
        <f t="shared" si="21"/>
        <v>2245.2234390441222</v>
      </c>
      <c r="K277" s="13">
        <f t="shared" si="22"/>
        <v>527.73627659764747</v>
      </c>
      <c r="L277" s="12">
        <f t="shared" si="23"/>
        <v>1717.4871624464747</v>
      </c>
      <c r="M277" s="12">
        <f t="shared" si="24"/>
        <v>179220.66481388969</v>
      </c>
    </row>
    <row r="278" spans="8:13" ht="14.25" customHeight="1">
      <c r="H278" s="2">
        <v>270</v>
      </c>
      <c r="I278" s="50">
        <f t="shared" si="20"/>
        <v>3.5000000000000003E-2</v>
      </c>
      <c r="J278" s="13">
        <f t="shared" si="21"/>
        <v>2245.2234390441222</v>
      </c>
      <c r="K278" s="13">
        <f t="shared" si="22"/>
        <v>522.72693904051198</v>
      </c>
      <c r="L278" s="12">
        <f t="shared" si="23"/>
        <v>1722.4965000036102</v>
      </c>
      <c r="M278" s="12">
        <f t="shared" si="24"/>
        <v>177498.16831388607</v>
      </c>
    </row>
    <row r="279" spans="8:13" ht="14.25" customHeight="1">
      <c r="H279" s="2">
        <v>271</v>
      </c>
      <c r="I279" s="50">
        <f t="shared" si="20"/>
        <v>3.5000000000000003E-2</v>
      </c>
      <c r="J279" s="13">
        <f t="shared" si="21"/>
        <v>2245.2234390441222</v>
      </c>
      <c r="K279" s="13">
        <f t="shared" si="22"/>
        <v>517.70299091550135</v>
      </c>
      <c r="L279" s="12">
        <f t="shared" si="23"/>
        <v>1727.520448128621</v>
      </c>
      <c r="M279" s="12">
        <f t="shared" si="24"/>
        <v>175770.64786575743</v>
      </c>
    </row>
    <row r="280" spans="8:13" ht="14.25" customHeight="1">
      <c r="H280" s="2">
        <v>272</v>
      </c>
      <c r="I280" s="50">
        <f t="shared" si="20"/>
        <v>3.5000000000000003E-2</v>
      </c>
      <c r="J280" s="13">
        <f t="shared" si="21"/>
        <v>2245.2234390441222</v>
      </c>
      <c r="K280" s="13">
        <f t="shared" si="22"/>
        <v>512.6643896084596</v>
      </c>
      <c r="L280" s="12">
        <f t="shared" si="23"/>
        <v>1732.5590494356625</v>
      </c>
      <c r="M280" s="12">
        <f t="shared" si="24"/>
        <v>174038.08881632178</v>
      </c>
    </row>
    <row r="281" spans="8:13" ht="14.25" customHeight="1">
      <c r="H281" s="2">
        <v>273</v>
      </c>
      <c r="I281" s="50">
        <f t="shared" si="20"/>
        <v>3.5000000000000003E-2</v>
      </c>
      <c r="J281" s="13">
        <f t="shared" si="21"/>
        <v>2245.2234390441222</v>
      </c>
      <c r="K281" s="13">
        <f t="shared" si="22"/>
        <v>507.61109238093889</v>
      </c>
      <c r="L281" s="12">
        <f t="shared" si="23"/>
        <v>1737.6123466631834</v>
      </c>
      <c r="M281" s="12">
        <f t="shared" si="24"/>
        <v>172300.47646965861</v>
      </c>
    </row>
    <row r="282" spans="8:13" ht="14.25" customHeight="1">
      <c r="H282" s="2">
        <v>274</v>
      </c>
      <c r="I282" s="50">
        <f t="shared" si="20"/>
        <v>3.5000000000000003E-2</v>
      </c>
      <c r="J282" s="13">
        <f t="shared" si="21"/>
        <v>2245.2234390441222</v>
      </c>
      <c r="K282" s="13">
        <f t="shared" si="22"/>
        <v>502.54305636983787</v>
      </c>
      <c r="L282" s="12">
        <f t="shared" si="23"/>
        <v>1742.6803826742844</v>
      </c>
      <c r="M282" s="12">
        <f t="shared" si="24"/>
        <v>170557.79608698431</v>
      </c>
    </row>
    <row r="283" spans="8:13" ht="14.25" customHeight="1">
      <c r="H283" s="2">
        <v>275</v>
      </c>
      <c r="I283" s="50">
        <f t="shared" si="20"/>
        <v>3.5000000000000003E-2</v>
      </c>
      <c r="J283" s="13">
        <f t="shared" si="21"/>
        <v>2245.2234390441222</v>
      </c>
      <c r="K283" s="13">
        <f t="shared" si="22"/>
        <v>497.46023858703791</v>
      </c>
      <c r="L283" s="12">
        <f t="shared" si="23"/>
        <v>1747.7632004570842</v>
      </c>
      <c r="M283" s="12">
        <f t="shared" si="24"/>
        <v>168810.03288652722</v>
      </c>
    </row>
    <row r="284" spans="8:13" ht="14.25" customHeight="1">
      <c r="H284" s="2">
        <v>276</v>
      </c>
      <c r="I284" s="50">
        <f t="shared" si="20"/>
        <v>3.5000000000000003E-2</v>
      </c>
      <c r="J284" s="13">
        <f t="shared" si="21"/>
        <v>2245.2234390441222</v>
      </c>
      <c r="K284" s="13">
        <f t="shared" si="22"/>
        <v>492.36259591903797</v>
      </c>
      <c r="L284" s="12">
        <f t="shared" si="23"/>
        <v>1752.8608431250841</v>
      </c>
      <c r="M284" s="12">
        <f t="shared" si="24"/>
        <v>167057.17204340213</v>
      </c>
    </row>
    <row r="285" spans="8:13" ht="14.25" customHeight="1">
      <c r="H285" s="2">
        <v>277</v>
      </c>
      <c r="I285" s="50">
        <f t="shared" si="20"/>
        <v>3.5000000000000003E-2</v>
      </c>
      <c r="J285" s="13">
        <f t="shared" si="21"/>
        <v>2245.2234390441222</v>
      </c>
      <c r="K285" s="13">
        <f t="shared" si="22"/>
        <v>487.25008512658991</v>
      </c>
      <c r="L285" s="12">
        <f t="shared" si="23"/>
        <v>1757.9733539175322</v>
      </c>
      <c r="M285" s="12">
        <f t="shared" si="24"/>
        <v>165299.19868948459</v>
      </c>
    </row>
    <row r="286" spans="8:13" ht="14.25" customHeight="1">
      <c r="H286" s="2">
        <v>278</v>
      </c>
      <c r="I286" s="50">
        <f t="shared" si="20"/>
        <v>3.5000000000000003E-2</v>
      </c>
      <c r="J286" s="13">
        <f t="shared" si="21"/>
        <v>2245.2234390441222</v>
      </c>
      <c r="K286" s="13">
        <f t="shared" si="22"/>
        <v>482.12266284433042</v>
      </c>
      <c r="L286" s="12">
        <f t="shared" si="23"/>
        <v>1763.1007761997917</v>
      </c>
      <c r="M286" s="12">
        <f t="shared" si="24"/>
        <v>163536.09791328479</v>
      </c>
    </row>
    <row r="287" spans="8:13" ht="14.25" customHeight="1">
      <c r="H287" s="2">
        <v>279</v>
      </c>
      <c r="I287" s="50">
        <f t="shared" si="20"/>
        <v>3.5000000000000003E-2</v>
      </c>
      <c r="J287" s="13">
        <f t="shared" si="21"/>
        <v>2245.2234390441222</v>
      </c>
      <c r="K287" s="13">
        <f t="shared" si="22"/>
        <v>476.98028558041443</v>
      </c>
      <c r="L287" s="12">
        <f t="shared" si="23"/>
        <v>1768.2431534637078</v>
      </c>
      <c r="M287" s="12">
        <f t="shared" si="24"/>
        <v>161767.85475982109</v>
      </c>
    </row>
    <row r="288" spans="8:13" ht="14.25" customHeight="1">
      <c r="H288" s="2">
        <v>280</v>
      </c>
      <c r="I288" s="50">
        <f t="shared" si="20"/>
        <v>3.5000000000000003E-2</v>
      </c>
      <c r="J288" s="13">
        <f t="shared" si="21"/>
        <v>2245.2234390441222</v>
      </c>
      <c r="K288" s="13">
        <f t="shared" si="22"/>
        <v>471.8229097161452</v>
      </c>
      <c r="L288" s="12">
        <f t="shared" si="23"/>
        <v>1773.400529327977</v>
      </c>
      <c r="M288" s="12">
        <f t="shared" si="24"/>
        <v>159994.45423049311</v>
      </c>
    </row>
    <row r="289" spans="8:13" ht="14.25" customHeight="1">
      <c r="H289" s="2">
        <v>281</v>
      </c>
      <c r="I289" s="50">
        <f t="shared" si="20"/>
        <v>3.5000000000000003E-2</v>
      </c>
      <c r="J289" s="13">
        <f t="shared" si="21"/>
        <v>2245.2234390441222</v>
      </c>
      <c r="K289" s="13">
        <f t="shared" si="22"/>
        <v>466.65049150560537</v>
      </c>
      <c r="L289" s="12">
        <f t="shared" si="23"/>
        <v>1778.5729475385169</v>
      </c>
      <c r="M289" s="12">
        <f t="shared" si="24"/>
        <v>158215.88128295459</v>
      </c>
    </row>
    <row r="290" spans="8:13" ht="14.25" customHeight="1">
      <c r="H290" s="2">
        <v>282</v>
      </c>
      <c r="I290" s="50">
        <f t="shared" si="20"/>
        <v>3.5000000000000003E-2</v>
      </c>
      <c r="J290" s="13">
        <f t="shared" si="21"/>
        <v>2245.2234390441222</v>
      </c>
      <c r="K290" s="13">
        <f t="shared" si="22"/>
        <v>461.46298707528462</v>
      </c>
      <c r="L290" s="12">
        <f t="shared" si="23"/>
        <v>1783.7604519688375</v>
      </c>
      <c r="M290" s="12">
        <f t="shared" si="24"/>
        <v>156432.12083098575</v>
      </c>
    </row>
    <row r="291" spans="8:13" ht="14.25" customHeight="1">
      <c r="H291" s="2">
        <v>283</v>
      </c>
      <c r="I291" s="50">
        <f t="shared" si="20"/>
        <v>3.5000000000000003E-2</v>
      </c>
      <c r="J291" s="13">
        <f t="shared" si="21"/>
        <v>2245.2234390441222</v>
      </c>
      <c r="K291" s="13">
        <f t="shared" si="22"/>
        <v>456.26035242370887</v>
      </c>
      <c r="L291" s="12">
        <f t="shared" si="23"/>
        <v>1788.9630866204134</v>
      </c>
      <c r="M291" s="12">
        <f t="shared" si="24"/>
        <v>154643.15774436534</v>
      </c>
    </row>
    <row r="292" spans="8:13" ht="14.25" customHeight="1">
      <c r="H292" s="2">
        <v>284</v>
      </c>
      <c r="I292" s="50">
        <f t="shared" si="20"/>
        <v>3.5000000000000003E-2</v>
      </c>
      <c r="J292" s="13">
        <f t="shared" si="21"/>
        <v>2245.2234390441222</v>
      </c>
      <c r="K292" s="13">
        <f t="shared" si="22"/>
        <v>451.042543421066</v>
      </c>
      <c r="L292" s="12">
        <f t="shared" si="23"/>
        <v>1794.1808956230561</v>
      </c>
      <c r="M292" s="12">
        <f t="shared" si="24"/>
        <v>152848.97684874228</v>
      </c>
    </row>
    <row r="293" spans="8:13" ht="14.25" customHeight="1">
      <c r="H293" s="2">
        <v>285</v>
      </c>
      <c r="I293" s="50">
        <f t="shared" si="20"/>
        <v>3.5000000000000003E-2</v>
      </c>
      <c r="J293" s="13">
        <f t="shared" si="21"/>
        <v>2245.2234390441222</v>
      </c>
      <c r="K293" s="13">
        <f t="shared" si="22"/>
        <v>445.80951580883203</v>
      </c>
      <c r="L293" s="12">
        <f t="shared" si="23"/>
        <v>1799.4139232352902</v>
      </c>
      <c r="M293" s="12">
        <f t="shared" si="24"/>
        <v>151049.56292550699</v>
      </c>
    </row>
    <row r="294" spans="8:13" ht="14.25" customHeight="1">
      <c r="H294" s="2">
        <v>286</v>
      </c>
      <c r="I294" s="50">
        <f t="shared" si="20"/>
        <v>3.5000000000000003E-2</v>
      </c>
      <c r="J294" s="13">
        <f t="shared" si="21"/>
        <v>2245.2234390441222</v>
      </c>
      <c r="K294" s="13">
        <f t="shared" si="22"/>
        <v>440.56122519939578</v>
      </c>
      <c r="L294" s="12">
        <f t="shared" si="23"/>
        <v>1804.6622138447265</v>
      </c>
      <c r="M294" s="12">
        <f t="shared" si="24"/>
        <v>149244.90071166228</v>
      </c>
    </row>
    <row r="295" spans="8:13" ht="14.25" customHeight="1">
      <c r="H295" s="2">
        <v>287</v>
      </c>
      <c r="I295" s="50">
        <f t="shared" si="20"/>
        <v>3.5000000000000003E-2</v>
      </c>
      <c r="J295" s="13">
        <f t="shared" si="21"/>
        <v>2245.2234390441222</v>
      </c>
      <c r="K295" s="13">
        <f t="shared" si="22"/>
        <v>435.29762707568199</v>
      </c>
      <c r="L295" s="12">
        <f t="shared" si="23"/>
        <v>1809.9258119684403</v>
      </c>
      <c r="M295" s="12">
        <f t="shared" si="24"/>
        <v>147434.97489969383</v>
      </c>
    </row>
    <row r="296" spans="8:13" ht="14.25" customHeight="1">
      <c r="H296" s="2">
        <v>288</v>
      </c>
      <c r="I296" s="50">
        <f t="shared" si="20"/>
        <v>3.5000000000000003E-2</v>
      </c>
      <c r="J296" s="13">
        <f t="shared" si="21"/>
        <v>2245.2234390441222</v>
      </c>
      <c r="K296" s="13">
        <f t="shared" si="22"/>
        <v>430.01867679077412</v>
      </c>
      <c r="L296" s="12">
        <f t="shared" si="23"/>
        <v>1815.204762253348</v>
      </c>
      <c r="M296" s="12">
        <f t="shared" si="24"/>
        <v>145619.77013744047</v>
      </c>
    </row>
    <row r="297" spans="8:13" ht="14.25" customHeight="1">
      <c r="H297" s="2">
        <v>289</v>
      </c>
      <c r="I297" s="50">
        <f t="shared" si="20"/>
        <v>3.5000000000000003E-2</v>
      </c>
      <c r="J297" s="13">
        <f t="shared" si="21"/>
        <v>2245.2234390441222</v>
      </c>
      <c r="K297" s="13">
        <f t="shared" si="22"/>
        <v>424.72432956753516</v>
      </c>
      <c r="L297" s="12">
        <f t="shared" si="23"/>
        <v>1820.4991094765869</v>
      </c>
      <c r="M297" s="12">
        <f t="shared" si="24"/>
        <v>143799.27102796387</v>
      </c>
    </row>
    <row r="298" spans="8:13" ht="14.25" customHeight="1">
      <c r="H298" s="2">
        <v>290</v>
      </c>
      <c r="I298" s="50">
        <f t="shared" si="20"/>
        <v>3.5000000000000003E-2</v>
      </c>
      <c r="J298" s="13">
        <f t="shared" si="21"/>
        <v>2245.2234390441222</v>
      </c>
      <c r="K298" s="13">
        <f t="shared" si="22"/>
        <v>419.4145404982284</v>
      </c>
      <c r="L298" s="12">
        <f t="shared" si="23"/>
        <v>1825.8088985458937</v>
      </c>
      <c r="M298" s="12">
        <f t="shared" si="24"/>
        <v>141973.46212941798</v>
      </c>
    </row>
    <row r="299" spans="8:13" ht="14.25" customHeight="1">
      <c r="H299" s="2">
        <v>291</v>
      </c>
      <c r="I299" s="50">
        <f t="shared" si="20"/>
        <v>3.5000000000000003E-2</v>
      </c>
      <c r="J299" s="13">
        <f t="shared" si="21"/>
        <v>2245.2234390441222</v>
      </c>
      <c r="K299" s="13">
        <f t="shared" si="22"/>
        <v>414.0892645441362</v>
      </c>
      <c r="L299" s="12">
        <f t="shared" si="23"/>
        <v>1831.1341744999859</v>
      </c>
      <c r="M299" s="12">
        <f t="shared" si="24"/>
        <v>140142.327954918</v>
      </c>
    </row>
    <row r="300" spans="8:13" ht="14.25" customHeight="1">
      <c r="H300" s="2">
        <v>292</v>
      </c>
      <c r="I300" s="50">
        <f t="shared" si="20"/>
        <v>3.5000000000000003E-2</v>
      </c>
      <c r="J300" s="13">
        <f t="shared" si="21"/>
        <v>2245.2234390441222</v>
      </c>
      <c r="K300" s="13">
        <f t="shared" si="22"/>
        <v>408.74845653517787</v>
      </c>
      <c r="L300" s="12">
        <f t="shared" si="23"/>
        <v>1836.4749825089443</v>
      </c>
      <c r="M300" s="12">
        <f t="shared" si="24"/>
        <v>138305.85297240905</v>
      </c>
    </row>
    <row r="301" spans="8:13" ht="14.25" customHeight="1">
      <c r="H301" s="2">
        <v>293</v>
      </c>
      <c r="I301" s="50">
        <f t="shared" si="20"/>
        <v>3.5000000000000003E-2</v>
      </c>
      <c r="J301" s="13">
        <f t="shared" si="21"/>
        <v>2245.2234390441222</v>
      </c>
      <c r="K301" s="13">
        <f t="shared" si="22"/>
        <v>403.39207116952684</v>
      </c>
      <c r="L301" s="12">
        <f t="shared" si="23"/>
        <v>1841.8313678745953</v>
      </c>
      <c r="M301" s="12">
        <f t="shared" si="24"/>
        <v>136464.02160453444</v>
      </c>
    </row>
    <row r="302" spans="8:13" ht="14.25" customHeight="1">
      <c r="H302" s="2">
        <v>294</v>
      </c>
      <c r="I302" s="50">
        <f t="shared" si="20"/>
        <v>3.5000000000000003E-2</v>
      </c>
      <c r="J302" s="13">
        <f t="shared" si="21"/>
        <v>2245.2234390441222</v>
      </c>
      <c r="K302" s="13">
        <f t="shared" si="22"/>
        <v>398.02006301322598</v>
      </c>
      <c r="L302" s="12">
        <f t="shared" si="23"/>
        <v>1847.2033760308962</v>
      </c>
      <c r="M302" s="12">
        <f t="shared" si="24"/>
        <v>134616.81822850354</v>
      </c>
    </row>
    <row r="303" spans="8:13" ht="14.25" customHeight="1">
      <c r="H303" s="2">
        <v>295</v>
      </c>
      <c r="I303" s="50">
        <f t="shared" si="20"/>
        <v>3.5000000000000003E-2</v>
      </c>
      <c r="J303" s="13">
        <f t="shared" si="21"/>
        <v>2245.2234390441222</v>
      </c>
      <c r="K303" s="13">
        <f t="shared" si="22"/>
        <v>392.63238649980246</v>
      </c>
      <c r="L303" s="12">
        <f t="shared" si="23"/>
        <v>1852.5910525443196</v>
      </c>
      <c r="M303" s="12">
        <f t="shared" si="24"/>
        <v>132764.22717595921</v>
      </c>
    </row>
    <row r="304" spans="8:13" ht="14.25" customHeight="1">
      <c r="H304" s="2">
        <v>296</v>
      </c>
      <c r="I304" s="50">
        <f t="shared" si="20"/>
        <v>3.5000000000000003E-2</v>
      </c>
      <c r="J304" s="13">
        <f t="shared" si="21"/>
        <v>2245.2234390441222</v>
      </c>
      <c r="K304" s="13">
        <f t="shared" si="22"/>
        <v>387.22899592988148</v>
      </c>
      <c r="L304" s="12">
        <f t="shared" si="23"/>
        <v>1857.9944431142408</v>
      </c>
      <c r="M304" s="12">
        <f t="shared" si="24"/>
        <v>130906.23273284498</v>
      </c>
    </row>
    <row r="305" spans="8:13" ht="14.25" customHeight="1">
      <c r="H305" s="2">
        <v>297</v>
      </c>
      <c r="I305" s="50">
        <f t="shared" si="20"/>
        <v>3.5000000000000003E-2</v>
      </c>
      <c r="J305" s="13">
        <f t="shared" si="21"/>
        <v>2245.2234390441222</v>
      </c>
      <c r="K305" s="13">
        <f t="shared" si="22"/>
        <v>381.80984547079834</v>
      </c>
      <c r="L305" s="12">
        <f t="shared" si="23"/>
        <v>1863.4135935733239</v>
      </c>
      <c r="M305" s="12">
        <f t="shared" si="24"/>
        <v>129042.81913927165</v>
      </c>
    </row>
    <row r="306" spans="8:13" ht="14.25" customHeight="1">
      <c r="H306" s="2">
        <v>298</v>
      </c>
      <c r="I306" s="50">
        <f t="shared" si="20"/>
        <v>3.5000000000000003E-2</v>
      </c>
      <c r="J306" s="13">
        <f t="shared" si="21"/>
        <v>2245.2234390441222</v>
      </c>
      <c r="K306" s="13">
        <f t="shared" si="22"/>
        <v>376.37488915620946</v>
      </c>
      <c r="L306" s="12">
        <f t="shared" si="23"/>
        <v>1868.8485498879127</v>
      </c>
      <c r="M306" s="12">
        <f t="shared" si="24"/>
        <v>127173.97058938374</v>
      </c>
    </row>
    <row r="307" spans="8:13" ht="14.25" customHeight="1">
      <c r="H307" s="2">
        <v>299</v>
      </c>
      <c r="I307" s="50">
        <f t="shared" si="20"/>
        <v>3.5000000000000003E-2</v>
      </c>
      <c r="J307" s="13">
        <f t="shared" si="21"/>
        <v>2245.2234390441222</v>
      </c>
      <c r="K307" s="13">
        <f t="shared" si="22"/>
        <v>370.92408088570312</v>
      </c>
      <c r="L307" s="12">
        <f t="shared" si="23"/>
        <v>1874.2993581584192</v>
      </c>
      <c r="M307" s="12">
        <f t="shared" si="24"/>
        <v>125299.67123122532</v>
      </c>
    </row>
    <row r="308" spans="8:13" ht="14.25" customHeight="1">
      <c r="H308" s="2">
        <v>300</v>
      </c>
      <c r="I308" s="50">
        <f t="shared" si="20"/>
        <v>3.5000000000000003E-2</v>
      </c>
      <c r="J308" s="13">
        <f t="shared" si="21"/>
        <v>2245.2234390441222</v>
      </c>
      <c r="K308" s="13">
        <f t="shared" si="22"/>
        <v>365.4573744244077</v>
      </c>
      <c r="L308" s="12">
        <f t="shared" si="23"/>
        <v>1879.7660646197146</v>
      </c>
      <c r="M308" s="12">
        <f t="shared" si="24"/>
        <v>123419.9051666056</v>
      </c>
    </row>
    <row r="309" spans="8:13" ht="14.25" customHeight="1">
      <c r="H309" s="2">
        <v>301</v>
      </c>
      <c r="I309" s="50">
        <f t="shared" si="20"/>
        <v>3.5000000000000003E-2</v>
      </c>
      <c r="J309" s="13">
        <f t="shared" si="21"/>
        <v>2245.2234390441222</v>
      </c>
      <c r="K309" s="13">
        <f t="shared" si="22"/>
        <v>359.97472340260015</v>
      </c>
      <c r="L309" s="12">
        <f t="shared" si="23"/>
        <v>1885.248715641522</v>
      </c>
      <c r="M309" s="12">
        <f t="shared" si="24"/>
        <v>121534.65645096409</v>
      </c>
    </row>
    <row r="310" spans="8:13" ht="14.25" customHeight="1">
      <c r="H310" s="2">
        <v>302</v>
      </c>
      <c r="I310" s="50">
        <f t="shared" si="20"/>
        <v>3.5000000000000003E-2</v>
      </c>
      <c r="J310" s="13">
        <f t="shared" si="21"/>
        <v>2245.2234390441222</v>
      </c>
      <c r="K310" s="13">
        <f t="shared" si="22"/>
        <v>354.47608131531234</v>
      </c>
      <c r="L310" s="12">
        <f t="shared" si="23"/>
        <v>1890.7473577288099</v>
      </c>
      <c r="M310" s="12">
        <f t="shared" si="24"/>
        <v>119643.90909323528</v>
      </c>
    </row>
    <row r="311" spans="8:13" ht="14.25" customHeight="1">
      <c r="H311" s="2">
        <v>303</v>
      </c>
      <c r="I311" s="50">
        <f t="shared" si="20"/>
        <v>3.5000000000000003E-2</v>
      </c>
      <c r="J311" s="13">
        <f t="shared" si="21"/>
        <v>2245.2234390441222</v>
      </c>
      <c r="K311" s="13">
        <f t="shared" si="22"/>
        <v>348.96140152193675</v>
      </c>
      <c r="L311" s="12">
        <f t="shared" si="23"/>
        <v>1896.2620375221854</v>
      </c>
      <c r="M311" s="12">
        <f t="shared" si="24"/>
        <v>117747.6470557131</v>
      </c>
    </row>
    <row r="312" spans="8:13" ht="14.25" customHeight="1">
      <c r="H312" s="2">
        <v>304</v>
      </c>
      <c r="I312" s="50">
        <f t="shared" si="20"/>
        <v>3.5000000000000003E-2</v>
      </c>
      <c r="J312" s="13">
        <f t="shared" si="21"/>
        <v>2245.2234390441222</v>
      </c>
      <c r="K312" s="13">
        <f t="shared" si="22"/>
        <v>343.43063724583033</v>
      </c>
      <c r="L312" s="12">
        <f t="shared" si="23"/>
        <v>1901.7928017982917</v>
      </c>
      <c r="M312" s="12">
        <f t="shared" si="24"/>
        <v>115845.8542539148</v>
      </c>
    </row>
    <row r="313" spans="8:13" ht="14.25" customHeight="1">
      <c r="H313" s="2">
        <v>305</v>
      </c>
      <c r="I313" s="50">
        <f t="shared" si="20"/>
        <v>3.5000000000000003E-2</v>
      </c>
      <c r="J313" s="13">
        <f t="shared" si="21"/>
        <v>2245.2234390441222</v>
      </c>
      <c r="K313" s="13">
        <f t="shared" si="22"/>
        <v>337.8837415739186</v>
      </c>
      <c r="L313" s="12">
        <f t="shared" si="23"/>
        <v>1907.3396974702036</v>
      </c>
      <c r="M313" s="12">
        <f t="shared" si="24"/>
        <v>113938.5145564446</v>
      </c>
    </row>
    <row r="314" spans="8:13" ht="14.25" customHeight="1">
      <c r="H314" s="2">
        <v>306</v>
      </c>
      <c r="I314" s="50">
        <f t="shared" si="20"/>
        <v>3.5000000000000003E-2</v>
      </c>
      <c r="J314" s="13">
        <f t="shared" si="21"/>
        <v>2245.2234390441222</v>
      </c>
      <c r="K314" s="13">
        <f t="shared" si="22"/>
        <v>332.32066745629726</v>
      </c>
      <c r="L314" s="12">
        <f t="shared" si="23"/>
        <v>1912.9027715878249</v>
      </c>
      <c r="M314" s="12">
        <f t="shared" si="24"/>
        <v>112025.61178485678</v>
      </c>
    </row>
    <row r="315" spans="8:13" ht="14.25" customHeight="1">
      <c r="H315" s="2">
        <v>307</v>
      </c>
      <c r="I315" s="50">
        <f t="shared" si="20"/>
        <v>3.5000000000000003E-2</v>
      </c>
      <c r="J315" s="13">
        <f t="shared" si="21"/>
        <v>2245.2234390441222</v>
      </c>
      <c r="K315" s="13">
        <f t="shared" si="22"/>
        <v>326.74136770583277</v>
      </c>
      <c r="L315" s="12">
        <f t="shared" si="23"/>
        <v>1918.4820713382894</v>
      </c>
      <c r="M315" s="12">
        <f t="shared" si="24"/>
        <v>110107.12971351849</v>
      </c>
    </row>
    <row r="316" spans="8:13" ht="14.25" customHeight="1">
      <c r="H316" s="2">
        <v>308</v>
      </c>
      <c r="I316" s="50">
        <f t="shared" si="20"/>
        <v>3.5000000000000003E-2</v>
      </c>
      <c r="J316" s="13">
        <f t="shared" si="21"/>
        <v>2245.2234390441222</v>
      </c>
      <c r="K316" s="13">
        <f t="shared" si="22"/>
        <v>321.14579499776266</v>
      </c>
      <c r="L316" s="12">
        <f t="shared" si="23"/>
        <v>1924.0776440463596</v>
      </c>
      <c r="M316" s="12">
        <f t="shared" si="24"/>
        <v>108183.05206947212</v>
      </c>
    </row>
    <row r="317" spans="8:13" ht="14.25" customHeight="1">
      <c r="H317" s="2">
        <v>309</v>
      </c>
      <c r="I317" s="50">
        <f t="shared" si="20"/>
        <v>3.5000000000000003E-2</v>
      </c>
      <c r="J317" s="13">
        <f t="shared" si="21"/>
        <v>2245.2234390441222</v>
      </c>
      <c r="K317" s="13">
        <f t="shared" si="22"/>
        <v>315.53390186929414</v>
      </c>
      <c r="L317" s="12">
        <f t="shared" si="23"/>
        <v>1929.689537174828</v>
      </c>
      <c r="M317" s="12">
        <f t="shared" si="24"/>
        <v>106253.36253229729</v>
      </c>
    </row>
    <row r="318" spans="8:13" ht="14.25" customHeight="1">
      <c r="H318" s="2">
        <v>310</v>
      </c>
      <c r="I318" s="50">
        <f t="shared" si="20"/>
        <v>3.5000000000000003E-2</v>
      </c>
      <c r="J318" s="13">
        <f t="shared" si="21"/>
        <v>2245.2234390441222</v>
      </c>
      <c r="K318" s="13">
        <f t="shared" si="22"/>
        <v>309.90564071920096</v>
      </c>
      <c r="L318" s="12">
        <f t="shared" si="23"/>
        <v>1935.3177983249211</v>
      </c>
      <c r="M318" s="12">
        <f t="shared" si="24"/>
        <v>104318.04473397238</v>
      </c>
    </row>
    <row r="319" spans="8:13" ht="14.25" customHeight="1">
      <c r="H319" s="2">
        <v>311</v>
      </c>
      <c r="I319" s="50">
        <f t="shared" si="20"/>
        <v>3.5000000000000003E-2</v>
      </c>
      <c r="J319" s="13">
        <f t="shared" si="21"/>
        <v>2245.2234390441222</v>
      </c>
      <c r="K319" s="13">
        <f t="shared" si="22"/>
        <v>304.26096380741984</v>
      </c>
      <c r="L319" s="12">
        <f t="shared" si="23"/>
        <v>1940.9624752367024</v>
      </c>
      <c r="M319" s="12">
        <f t="shared" si="24"/>
        <v>102377.08225873567</v>
      </c>
    </row>
    <row r="320" spans="8:13" ht="14.25" customHeight="1">
      <c r="H320" s="2">
        <v>312</v>
      </c>
      <c r="I320" s="50">
        <f t="shared" si="20"/>
        <v>3.5000000000000003E-2</v>
      </c>
      <c r="J320" s="13">
        <f t="shared" si="21"/>
        <v>2245.2234390441222</v>
      </c>
      <c r="K320" s="13">
        <f t="shared" si="22"/>
        <v>298.5998232546462</v>
      </c>
      <c r="L320" s="12">
        <f t="shared" si="23"/>
        <v>1946.6236157894759</v>
      </c>
      <c r="M320" s="12">
        <f t="shared" si="24"/>
        <v>100430.45864294619</v>
      </c>
    </row>
    <row r="321" spans="8:13" ht="14.25" customHeight="1">
      <c r="H321" s="2">
        <v>313</v>
      </c>
      <c r="I321" s="50">
        <f t="shared" si="20"/>
        <v>3.5000000000000003E-2</v>
      </c>
      <c r="J321" s="13">
        <f t="shared" si="21"/>
        <v>2245.2234390441222</v>
      </c>
      <c r="K321" s="13">
        <f t="shared" si="22"/>
        <v>292.9221710419269</v>
      </c>
      <c r="L321" s="12">
        <f t="shared" si="23"/>
        <v>1952.3012680021952</v>
      </c>
      <c r="M321" s="12">
        <f t="shared" si="24"/>
        <v>98478.157374943999</v>
      </c>
    </row>
    <row r="322" spans="8:13" ht="14.25" customHeight="1">
      <c r="H322" s="2">
        <v>314</v>
      </c>
      <c r="I322" s="50">
        <f t="shared" si="20"/>
        <v>3.5000000000000003E-2</v>
      </c>
      <c r="J322" s="13">
        <f t="shared" si="21"/>
        <v>2245.2234390441222</v>
      </c>
      <c r="K322" s="13">
        <f t="shared" si="22"/>
        <v>287.22795901025381</v>
      </c>
      <c r="L322" s="12">
        <f t="shared" si="23"/>
        <v>1957.9954800338683</v>
      </c>
      <c r="M322" s="12">
        <f t="shared" si="24"/>
        <v>96520.161894910125</v>
      </c>
    </row>
    <row r="323" spans="8:13" ht="14.25" customHeight="1">
      <c r="H323" s="2">
        <v>315</v>
      </c>
      <c r="I323" s="50">
        <f t="shared" si="20"/>
        <v>3.5000000000000003E-2</v>
      </c>
      <c r="J323" s="13">
        <f t="shared" si="21"/>
        <v>2245.2234390441222</v>
      </c>
      <c r="K323" s="13">
        <f t="shared" si="22"/>
        <v>281.51713886015506</v>
      </c>
      <c r="L323" s="12">
        <f t="shared" si="23"/>
        <v>1963.7063001839672</v>
      </c>
      <c r="M323" s="12">
        <f t="shared" si="24"/>
        <v>94556.455594726154</v>
      </c>
    </row>
    <row r="324" spans="8:13" ht="14.25" customHeight="1">
      <c r="H324" s="2">
        <v>316</v>
      </c>
      <c r="I324" s="50">
        <f t="shared" si="20"/>
        <v>3.5000000000000003E-2</v>
      </c>
      <c r="J324" s="13">
        <f t="shared" si="21"/>
        <v>2245.2234390441222</v>
      </c>
      <c r="K324" s="13">
        <f t="shared" si="22"/>
        <v>275.78966215128509</v>
      </c>
      <c r="L324" s="12">
        <f t="shared" si="23"/>
        <v>1969.4337768928372</v>
      </c>
      <c r="M324" s="12">
        <f t="shared" si="24"/>
        <v>92587.021817833316</v>
      </c>
    </row>
    <row r="325" spans="8:13" ht="14.25" customHeight="1">
      <c r="H325" s="2">
        <v>317</v>
      </c>
      <c r="I325" s="50">
        <f t="shared" si="20"/>
        <v>3.5000000000000003E-2</v>
      </c>
      <c r="J325" s="13">
        <f t="shared" si="21"/>
        <v>2245.2234390441222</v>
      </c>
      <c r="K325" s="13">
        <f t="shared" si="22"/>
        <v>270.04548030201431</v>
      </c>
      <c r="L325" s="12">
        <f t="shared" si="23"/>
        <v>1975.1779587421079</v>
      </c>
      <c r="M325" s="12">
        <f t="shared" si="24"/>
        <v>90611.843859091212</v>
      </c>
    </row>
    <row r="326" spans="8:13" ht="14.25" customHeight="1">
      <c r="H326" s="2">
        <v>318</v>
      </c>
      <c r="I326" s="50">
        <f t="shared" si="20"/>
        <v>3.5000000000000003E-2</v>
      </c>
      <c r="J326" s="13">
        <f t="shared" si="21"/>
        <v>2245.2234390441222</v>
      </c>
      <c r="K326" s="13">
        <f t="shared" si="22"/>
        <v>264.28454458901655</v>
      </c>
      <c r="L326" s="12">
        <f t="shared" si="23"/>
        <v>1980.9388944551056</v>
      </c>
      <c r="M326" s="12">
        <f t="shared" si="24"/>
        <v>88630.904964636109</v>
      </c>
    </row>
    <row r="327" spans="8:13" ht="14.25" customHeight="1">
      <c r="H327" s="2">
        <v>319</v>
      </c>
      <c r="I327" s="50">
        <f t="shared" si="20"/>
        <v>3.5000000000000003E-2</v>
      </c>
      <c r="J327" s="13">
        <f t="shared" si="21"/>
        <v>2245.2234390441222</v>
      </c>
      <c r="K327" s="13">
        <f t="shared" si="22"/>
        <v>258.50680614685581</v>
      </c>
      <c r="L327" s="12">
        <f t="shared" si="23"/>
        <v>1986.7166328972664</v>
      </c>
      <c r="M327" s="12">
        <f t="shared" si="24"/>
        <v>86644.188331738842</v>
      </c>
    </row>
    <row r="328" spans="8:13" ht="14.25" customHeight="1">
      <c r="H328" s="2">
        <v>320</v>
      </c>
      <c r="I328" s="50">
        <f t="shared" si="20"/>
        <v>3.5000000000000003E-2</v>
      </c>
      <c r="J328" s="13">
        <f t="shared" si="21"/>
        <v>2245.2234390441222</v>
      </c>
      <c r="K328" s="13">
        <f t="shared" si="22"/>
        <v>252.71221596757209</v>
      </c>
      <c r="L328" s="12">
        <f t="shared" si="23"/>
        <v>1992.5112230765501</v>
      </c>
      <c r="M328" s="12">
        <f t="shared" si="24"/>
        <v>84651.67710866229</v>
      </c>
    </row>
    <row r="329" spans="8:13" ht="14.25" customHeight="1">
      <c r="H329" s="2">
        <v>321</v>
      </c>
      <c r="I329" s="50">
        <f t="shared" si="20"/>
        <v>3.5000000000000003E-2</v>
      </c>
      <c r="J329" s="13">
        <f t="shared" si="21"/>
        <v>2245.2234390441222</v>
      </c>
      <c r="K329" s="13">
        <f t="shared" si="22"/>
        <v>246.90072490026546</v>
      </c>
      <c r="L329" s="12">
        <f t="shared" si="23"/>
        <v>1998.3227141438567</v>
      </c>
      <c r="M329" s="12">
        <f t="shared" si="24"/>
        <v>82653.354394518436</v>
      </c>
    </row>
    <row r="330" spans="8:13" ht="14.25" customHeight="1">
      <c r="H330" s="2">
        <v>322</v>
      </c>
      <c r="I330" s="50">
        <f t="shared" ref="I330:I368" si="25">$F$10</f>
        <v>3.5000000000000003E-2</v>
      </c>
      <c r="J330" s="13">
        <f t="shared" ref="J330:J368" si="26">$F$13</f>
        <v>2245.2234390441222</v>
      </c>
      <c r="K330" s="13">
        <f t="shared" ref="K330:K368" si="27">IPMT(I330/12,H330,$F$12,-$F$9,0)</f>
        <v>241.0722836506792</v>
      </c>
      <c r="L330" s="12">
        <f t="shared" ref="L330:L368" si="28">J330-K330</f>
        <v>2004.1511553934429</v>
      </c>
      <c r="M330" s="12">
        <f t="shared" ref="M330:M368" si="29">M329-L330</f>
        <v>80649.203239124996</v>
      </c>
    </row>
    <row r="331" spans="8:13" ht="14.25" customHeight="1">
      <c r="H331" s="2">
        <v>323</v>
      </c>
      <c r="I331" s="50">
        <f t="shared" si="25"/>
        <v>3.5000000000000003E-2</v>
      </c>
      <c r="J331" s="13">
        <f t="shared" si="26"/>
        <v>2245.2234390441222</v>
      </c>
      <c r="K331" s="13">
        <f t="shared" si="27"/>
        <v>235.22684278078168</v>
      </c>
      <c r="L331" s="12">
        <f t="shared" si="28"/>
        <v>2009.9965962633405</v>
      </c>
      <c r="M331" s="12">
        <f t="shared" si="29"/>
        <v>78639.206642861653</v>
      </c>
    </row>
    <row r="332" spans="8:13" ht="14.25" customHeight="1">
      <c r="H332" s="2">
        <v>324</v>
      </c>
      <c r="I332" s="50">
        <f t="shared" si="25"/>
        <v>3.5000000000000003E-2</v>
      </c>
      <c r="J332" s="13">
        <f t="shared" si="26"/>
        <v>2245.2234390441222</v>
      </c>
      <c r="K332" s="13">
        <f t="shared" si="27"/>
        <v>229.36435270834693</v>
      </c>
      <c r="L332" s="12">
        <f t="shared" si="28"/>
        <v>2015.8590863357754</v>
      </c>
      <c r="M332" s="12">
        <f t="shared" si="29"/>
        <v>76623.34755652587</v>
      </c>
    </row>
    <row r="333" spans="8:13" ht="14.25" customHeight="1">
      <c r="H333" s="2">
        <v>325</v>
      </c>
      <c r="I333" s="50">
        <f t="shared" si="25"/>
        <v>3.5000000000000003E-2</v>
      </c>
      <c r="J333" s="13">
        <f t="shared" si="26"/>
        <v>2245.2234390441222</v>
      </c>
      <c r="K333" s="13">
        <f t="shared" si="27"/>
        <v>223.48476370653427</v>
      </c>
      <c r="L333" s="12">
        <f t="shared" si="28"/>
        <v>2021.7386753375879</v>
      </c>
      <c r="M333" s="12">
        <f t="shared" si="29"/>
        <v>74601.60888118828</v>
      </c>
    </row>
    <row r="334" spans="8:13" ht="14.25" customHeight="1">
      <c r="H334" s="2">
        <v>326</v>
      </c>
      <c r="I334" s="50">
        <f t="shared" si="25"/>
        <v>3.5000000000000003E-2</v>
      </c>
      <c r="J334" s="13">
        <f t="shared" si="26"/>
        <v>2245.2234390441222</v>
      </c>
      <c r="K334" s="13">
        <f t="shared" si="27"/>
        <v>217.5880259034663</v>
      </c>
      <c r="L334" s="12">
        <f t="shared" si="28"/>
        <v>2027.6354131406558</v>
      </c>
      <c r="M334" s="12">
        <f t="shared" si="29"/>
        <v>72573.973468047625</v>
      </c>
    </row>
    <row r="335" spans="8:13" ht="14.25" customHeight="1">
      <c r="H335" s="2">
        <v>327</v>
      </c>
      <c r="I335" s="50">
        <f t="shared" si="25"/>
        <v>3.5000000000000003E-2</v>
      </c>
      <c r="J335" s="13">
        <f t="shared" si="26"/>
        <v>2245.2234390441222</v>
      </c>
      <c r="K335" s="13">
        <f t="shared" si="27"/>
        <v>211.67408928180606</v>
      </c>
      <c r="L335" s="12">
        <f t="shared" si="28"/>
        <v>2033.5493497623161</v>
      </c>
      <c r="M335" s="12">
        <f t="shared" si="29"/>
        <v>70540.424118285315</v>
      </c>
    </row>
    <row r="336" spans="8:13" ht="14.25" customHeight="1">
      <c r="H336" s="2">
        <v>328</v>
      </c>
      <c r="I336" s="50">
        <f t="shared" si="25"/>
        <v>3.5000000000000003E-2</v>
      </c>
      <c r="J336" s="13">
        <f t="shared" si="26"/>
        <v>2245.2234390441222</v>
      </c>
      <c r="K336" s="13">
        <f t="shared" si="27"/>
        <v>205.74290367833265</v>
      </c>
      <c r="L336" s="12">
        <f t="shared" si="28"/>
        <v>2039.4805353657896</v>
      </c>
      <c r="M336" s="12">
        <f t="shared" si="29"/>
        <v>68500.943582919528</v>
      </c>
    </row>
    <row r="337" spans="8:13" ht="14.25" customHeight="1">
      <c r="H337" s="2">
        <v>329</v>
      </c>
      <c r="I337" s="50">
        <f t="shared" si="25"/>
        <v>3.5000000000000003E-2</v>
      </c>
      <c r="J337" s="13">
        <f t="shared" si="26"/>
        <v>2245.2234390441222</v>
      </c>
      <c r="K337" s="13">
        <f t="shared" si="27"/>
        <v>199.79441878351577</v>
      </c>
      <c r="L337" s="12">
        <f t="shared" si="28"/>
        <v>2045.4290202606064</v>
      </c>
      <c r="M337" s="12">
        <f t="shared" si="29"/>
        <v>66455.514562658922</v>
      </c>
    </row>
    <row r="338" spans="8:13" ht="14.25" customHeight="1">
      <c r="H338" s="2">
        <v>330</v>
      </c>
      <c r="I338" s="50">
        <f t="shared" si="25"/>
        <v>3.5000000000000003E-2</v>
      </c>
      <c r="J338" s="13">
        <f t="shared" si="26"/>
        <v>2245.2234390441222</v>
      </c>
      <c r="K338" s="13">
        <f t="shared" si="27"/>
        <v>193.82858414108895</v>
      </c>
      <c r="L338" s="12">
        <f t="shared" si="28"/>
        <v>2051.3948549030333</v>
      </c>
      <c r="M338" s="12">
        <f t="shared" si="29"/>
        <v>64404.11970775589</v>
      </c>
    </row>
    <row r="339" spans="8:13" ht="14.25" customHeight="1">
      <c r="H339" s="2">
        <v>331</v>
      </c>
      <c r="I339" s="50">
        <f t="shared" si="25"/>
        <v>3.5000000000000003E-2</v>
      </c>
      <c r="J339" s="13">
        <f t="shared" si="26"/>
        <v>2245.2234390441222</v>
      </c>
      <c r="K339" s="13">
        <f t="shared" si="27"/>
        <v>187.84534914762179</v>
      </c>
      <c r="L339" s="12">
        <f t="shared" si="28"/>
        <v>2057.3780898965006</v>
      </c>
      <c r="M339" s="12">
        <f t="shared" si="29"/>
        <v>62346.741617859392</v>
      </c>
    </row>
    <row r="340" spans="8:13" ht="14.25" customHeight="1">
      <c r="H340" s="2">
        <v>332</v>
      </c>
      <c r="I340" s="50">
        <f t="shared" si="25"/>
        <v>3.5000000000000003E-2</v>
      </c>
      <c r="J340" s="13">
        <f t="shared" si="26"/>
        <v>2245.2234390441222</v>
      </c>
      <c r="K340" s="13">
        <f t="shared" si="27"/>
        <v>181.84466305209034</v>
      </c>
      <c r="L340" s="12">
        <f t="shared" si="28"/>
        <v>2063.3787759920319</v>
      </c>
      <c r="M340" s="12">
        <f t="shared" si="29"/>
        <v>60283.362841867362</v>
      </c>
    </row>
    <row r="341" spans="8:13" ht="14.25" customHeight="1">
      <c r="H341" s="2">
        <v>333</v>
      </c>
      <c r="I341" s="50">
        <f t="shared" si="25"/>
        <v>3.5000000000000003E-2</v>
      </c>
      <c r="J341" s="13">
        <f t="shared" si="26"/>
        <v>2245.2234390441222</v>
      </c>
      <c r="K341" s="13">
        <f t="shared" si="27"/>
        <v>175.82647495544691</v>
      </c>
      <c r="L341" s="12">
        <f t="shared" si="28"/>
        <v>2069.3969640886753</v>
      </c>
      <c r="M341" s="12">
        <f t="shared" si="29"/>
        <v>58213.965877778683</v>
      </c>
    </row>
    <row r="342" spans="8:13" ht="14.25" customHeight="1">
      <c r="H342" s="2">
        <v>334</v>
      </c>
      <c r="I342" s="50">
        <f t="shared" si="25"/>
        <v>3.5000000000000003E-2</v>
      </c>
      <c r="J342" s="13">
        <f t="shared" si="26"/>
        <v>2245.2234390441222</v>
      </c>
      <c r="K342" s="13">
        <f t="shared" si="27"/>
        <v>169.79073381018827</v>
      </c>
      <c r="L342" s="12">
        <f t="shared" si="28"/>
        <v>2075.432705233934</v>
      </c>
      <c r="M342" s="12">
        <f t="shared" si="29"/>
        <v>56138.533172544747</v>
      </c>
    </row>
    <row r="343" spans="8:13" ht="14.25" customHeight="1">
      <c r="H343" s="2">
        <v>335</v>
      </c>
      <c r="I343" s="50">
        <f t="shared" si="25"/>
        <v>3.5000000000000003E-2</v>
      </c>
      <c r="J343" s="13">
        <f t="shared" si="26"/>
        <v>2245.2234390441222</v>
      </c>
      <c r="K343" s="13">
        <f t="shared" si="27"/>
        <v>163.73738841992264</v>
      </c>
      <c r="L343" s="12">
        <f t="shared" si="28"/>
        <v>2081.4860506241994</v>
      </c>
      <c r="M343" s="12">
        <f t="shared" si="29"/>
        <v>54057.04712192055</v>
      </c>
    </row>
    <row r="344" spans="8:13" ht="14.25" customHeight="1">
      <c r="H344" s="2">
        <v>336</v>
      </c>
      <c r="I344" s="50">
        <f t="shared" si="25"/>
        <v>3.5000000000000003E-2</v>
      </c>
      <c r="J344" s="13">
        <f t="shared" si="26"/>
        <v>2245.2234390441222</v>
      </c>
      <c r="K344" s="13">
        <f t="shared" si="27"/>
        <v>157.6663874389354</v>
      </c>
      <c r="L344" s="12">
        <f t="shared" si="28"/>
        <v>2087.5570516051866</v>
      </c>
      <c r="M344" s="12">
        <f t="shared" si="29"/>
        <v>51969.490070315362</v>
      </c>
    </row>
    <row r="345" spans="8:13" ht="14.25" customHeight="1">
      <c r="H345" s="2">
        <v>337</v>
      </c>
      <c r="I345" s="50">
        <f t="shared" si="25"/>
        <v>3.5000000000000003E-2</v>
      </c>
      <c r="J345" s="13">
        <f t="shared" si="26"/>
        <v>2245.2234390441222</v>
      </c>
      <c r="K345" s="13">
        <f t="shared" si="27"/>
        <v>151.57767937175356</v>
      </c>
      <c r="L345" s="12">
        <f t="shared" si="28"/>
        <v>2093.6457596723685</v>
      </c>
      <c r="M345" s="12">
        <f t="shared" si="29"/>
        <v>49875.844310642991</v>
      </c>
    </row>
    <row r="346" spans="8:13" ht="14.25" customHeight="1">
      <c r="H346" s="2">
        <v>338</v>
      </c>
      <c r="I346" s="50">
        <f t="shared" si="25"/>
        <v>3.5000000000000003E-2</v>
      </c>
      <c r="J346" s="13">
        <f t="shared" si="26"/>
        <v>2245.2234390441222</v>
      </c>
      <c r="K346" s="13">
        <f t="shared" si="27"/>
        <v>145.47121257270916</v>
      </c>
      <c r="L346" s="12">
        <f t="shared" si="28"/>
        <v>2099.752226471413</v>
      </c>
      <c r="M346" s="12">
        <f t="shared" si="29"/>
        <v>47776.092084171578</v>
      </c>
    </row>
    <row r="347" spans="8:13" ht="14.25" customHeight="1">
      <c r="H347" s="2">
        <v>339</v>
      </c>
      <c r="I347" s="50">
        <f t="shared" si="25"/>
        <v>3.5000000000000003E-2</v>
      </c>
      <c r="J347" s="13">
        <f t="shared" si="26"/>
        <v>2245.2234390441222</v>
      </c>
      <c r="K347" s="13">
        <f t="shared" si="27"/>
        <v>139.3469352455009</v>
      </c>
      <c r="L347" s="12">
        <f t="shared" si="28"/>
        <v>2105.8765037986213</v>
      </c>
      <c r="M347" s="12">
        <f t="shared" si="29"/>
        <v>45670.215580372955</v>
      </c>
    </row>
    <row r="348" spans="8:13" ht="14.25" customHeight="1">
      <c r="H348" s="2">
        <v>340</v>
      </c>
      <c r="I348" s="50">
        <f t="shared" si="25"/>
        <v>3.5000000000000003E-2</v>
      </c>
      <c r="J348" s="13">
        <f t="shared" si="26"/>
        <v>2245.2234390441222</v>
      </c>
      <c r="K348" s="13">
        <f t="shared" si="27"/>
        <v>133.20479544275489</v>
      </c>
      <c r="L348" s="12">
        <f t="shared" si="28"/>
        <v>2112.0186436013673</v>
      </c>
      <c r="M348" s="12">
        <f t="shared" si="29"/>
        <v>43558.196936771586</v>
      </c>
    </row>
    <row r="349" spans="8:13" ht="14.25" customHeight="1">
      <c r="H349" s="2">
        <v>341</v>
      </c>
      <c r="I349" s="50">
        <f t="shared" si="25"/>
        <v>3.5000000000000003E-2</v>
      </c>
      <c r="J349" s="13">
        <f t="shared" si="26"/>
        <v>2245.2234390441222</v>
      </c>
      <c r="K349" s="13">
        <f t="shared" si="27"/>
        <v>127.04474106558425</v>
      </c>
      <c r="L349" s="12">
        <f t="shared" si="28"/>
        <v>2118.1786979785379</v>
      </c>
      <c r="M349" s="12">
        <f t="shared" si="29"/>
        <v>41440.018238793047</v>
      </c>
    </row>
    <row r="350" spans="8:13" ht="14.25" customHeight="1">
      <c r="H350" s="2">
        <v>342</v>
      </c>
      <c r="I350" s="50">
        <f t="shared" si="25"/>
        <v>3.5000000000000003E-2</v>
      </c>
      <c r="J350" s="13">
        <f t="shared" si="26"/>
        <v>2245.2234390441222</v>
      </c>
      <c r="K350" s="13">
        <f t="shared" si="27"/>
        <v>120.86671986314686</v>
      </c>
      <c r="L350" s="12">
        <f t="shared" si="28"/>
        <v>2124.3567191809752</v>
      </c>
      <c r="M350" s="12">
        <f t="shared" si="29"/>
        <v>39315.661519612069</v>
      </c>
    </row>
    <row r="351" spans="8:13" ht="14.25" customHeight="1">
      <c r="H351" s="2">
        <v>343</v>
      </c>
      <c r="I351" s="50">
        <f t="shared" si="25"/>
        <v>3.5000000000000003E-2</v>
      </c>
      <c r="J351" s="13">
        <f t="shared" si="26"/>
        <v>2245.2234390441222</v>
      </c>
      <c r="K351" s="13">
        <f t="shared" si="27"/>
        <v>114.67067943220233</v>
      </c>
      <c r="L351" s="12">
        <f t="shared" si="28"/>
        <v>2130.55275961192</v>
      </c>
      <c r="M351" s="12">
        <f t="shared" si="29"/>
        <v>37185.108760000148</v>
      </c>
    </row>
    <row r="352" spans="8:13" ht="14.25" customHeight="1">
      <c r="H352" s="2">
        <v>344</v>
      </c>
      <c r="I352" s="50">
        <f t="shared" si="25"/>
        <v>3.5000000000000003E-2</v>
      </c>
      <c r="J352" s="13">
        <f t="shared" si="26"/>
        <v>2245.2234390441222</v>
      </c>
      <c r="K352" s="13">
        <f t="shared" si="27"/>
        <v>108.45656721666755</v>
      </c>
      <c r="L352" s="12">
        <f t="shared" si="28"/>
        <v>2136.7668718274545</v>
      </c>
      <c r="M352" s="12">
        <f t="shared" si="29"/>
        <v>35048.341888172698</v>
      </c>
    </row>
    <row r="353" spans="8:13" ht="14.25" customHeight="1">
      <c r="H353" s="2">
        <v>345</v>
      </c>
      <c r="I353" s="50">
        <f t="shared" si="25"/>
        <v>3.5000000000000003E-2</v>
      </c>
      <c r="J353" s="13">
        <f t="shared" si="26"/>
        <v>2245.2234390441222</v>
      </c>
      <c r="K353" s="13">
        <f t="shared" si="27"/>
        <v>102.22433050717082</v>
      </c>
      <c r="L353" s="12">
        <f t="shared" si="28"/>
        <v>2142.9991085369516</v>
      </c>
      <c r="M353" s="12">
        <f t="shared" si="29"/>
        <v>32905.342779635743</v>
      </c>
    </row>
    <row r="354" spans="8:13" ht="14.25" customHeight="1">
      <c r="H354" s="2">
        <v>346</v>
      </c>
      <c r="I354" s="50">
        <f t="shared" si="25"/>
        <v>3.5000000000000003E-2</v>
      </c>
      <c r="J354" s="13">
        <f t="shared" si="26"/>
        <v>2245.2234390441222</v>
      </c>
      <c r="K354" s="13">
        <f t="shared" si="27"/>
        <v>95.973916440604697</v>
      </c>
      <c r="L354" s="12">
        <f t="shared" si="28"/>
        <v>2149.2495226035176</v>
      </c>
      <c r="M354" s="12">
        <f t="shared" si="29"/>
        <v>30756.093257032226</v>
      </c>
    </row>
    <row r="355" spans="8:13" ht="14.25" customHeight="1">
      <c r="H355" s="2">
        <v>347</v>
      </c>
      <c r="I355" s="50">
        <f t="shared" si="25"/>
        <v>3.5000000000000003E-2</v>
      </c>
      <c r="J355" s="13">
        <f t="shared" si="26"/>
        <v>2245.2234390441222</v>
      </c>
      <c r="K355" s="13">
        <f t="shared" si="27"/>
        <v>89.705271999677777</v>
      </c>
      <c r="L355" s="12">
        <f t="shared" si="28"/>
        <v>2155.5181670444445</v>
      </c>
      <c r="M355" s="12">
        <f t="shared" si="29"/>
        <v>28600.575089987782</v>
      </c>
    </row>
    <row r="356" spans="8:13" ht="14.25" customHeight="1">
      <c r="H356" s="2">
        <v>348</v>
      </c>
      <c r="I356" s="50">
        <f t="shared" si="25"/>
        <v>3.5000000000000003E-2</v>
      </c>
      <c r="J356" s="13">
        <f t="shared" si="26"/>
        <v>2245.2234390441222</v>
      </c>
      <c r="K356" s="13">
        <f t="shared" si="27"/>
        <v>83.418344012464814</v>
      </c>
      <c r="L356" s="12">
        <f t="shared" si="28"/>
        <v>2161.8050950316574</v>
      </c>
      <c r="M356" s="12">
        <f t="shared" si="29"/>
        <v>26438.769994956125</v>
      </c>
    </row>
    <row r="357" spans="8:13" ht="14.25" customHeight="1">
      <c r="H357" s="2">
        <v>349</v>
      </c>
      <c r="I357" s="50">
        <f t="shared" si="25"/>
        <v>3.5000000000000003E-2</v>
      </c>
      <c r="J357" s="13">
        <f t="shared" si="26"/>
        <v>2245.2234390441222</v>
      </c>
      <c r="K357" s="13">
        <f t="shared" si="27"/>
        <v>77.113079151955816</v>
      </c>
      <c r="L357" s="12">
        <f t="shared" si="28"/>
        <v>2168.1103598921663</v>
      </c>
      <c r="M357" s="12">
        <f t="shared" si="29"/>
        <v>24270.659635063959</v>
      </c>
    </row>
    <row r="358" spans="8:13" ht="14.25" customHeight="1">
      <c r="H358" s="2">
        <v>350</v>
      </c>
      <c r="I358" s="50">
        <f t="shared" si="25"/>
        <v>3.5000000000000003E-2</v>
      </c>
      <c r="J358" s="13">
        <f t="shared" si="26"/>
        <v>2245.2234390441222</v>
      </c>
      <c r="K358" s="13">
        <f t="shared" si="27"/>
        <v>70.789423935603665</v>
      </c>
      <c r="L358" s="12">
        <f t="shared" si="28"/>
        <v>2174.4340151085185</v>
      </c>
      <c r="M358" s="12">
        <f t="shared" si="29"/>
        <v>22096.225619955439</v>
      </c>
    </row>
    <row r="359" spans="8:13" ht="14.25" customHeight="1">
      <c r="H359" s="2">
        <v>351</v>
      </c>
      <c r="I359" s="50">
        <f t="shared" si="25"/>
        <v>3.5000000000000003E-2</v>
      </c>
      <c r="J359" s="13">
        <f t="shared" si="26"/>
        <v>2245.2234390441222</v>
      </c>
      <c r="K359" s="13">
        <f t="shared" si="27"/>
        <v>64.447324724870498</v>
      </c>
      <c r="L359" s="12">
        <f t="shared" si="28"/>
        <v>2180.7761143192515</v>
      </c>
      <c r="M359" s="12">
        <f t="shared" si="29"/>
        <v>19915.449505636188</v>
      </c>
    </row>
    <row r="360" spans="8:13" ht="14.25" customHeight="1">
      <c r="H360" s="2">
        <v>352</v>
      </c>
      <c r="I360" s="50">
        <f t="shared" si="25"/>
        <v>3.5000000000000003E-2</v>
      </c>
      <c r="J360" s="13">
        <f t="shared" si="26"/>
        <v>2245.2234390441222</v>
      </c>
      <c r="K360" s="13">
        <f t="shared" si="27"/>
        <v>58.086727724772665</v>
      </c>
      <c r="L360" s="12">
        <f t="shared" si="28"/>
        <v>2187.1367113193496</v>
      </c>
      <c r="M360" s="12">
        <f t="shared" si="29"/>
        <v>17728.31279431684</v>
      </c>
    </row>
    <row r="361" spans="8:13" ht="14.25" customHeight="1">
      <c r="H361" s="2">
        <v>353</v>
      </c>
      <c r="I361" s="50">
        <f t="shared" si="25"/>
        <v>3.5000000000000003E-2</v>
      </c>
      <c r="J361" s="13">
        <f t="shared" si="26"/>
        <v>2245.2234390441222</v>
      </c>
      <c r="K361" s="13">
        <f t="shared" si="27"/>
        <v>51.707578983424554</v>
      </c>
      <c r="L361" s="12">
        <f t="shared" si="28"/>
        <v>2193.5158600606978</v>
      </c>
      <c r="M361" s="12">
        <f t="shared" si="29"/>
        <v>15534.796934256143</v>
      </c>
    </row>
    <row r="362" spans="8:13" ht="14.25" customHeight="1">
      <c r="H362" s="2">
        <v>354</v>
      </c>
      <c r="I362" s="50">
        <f t="shared" si="25"/>
        <v>3.5000000000000003E-2</v>
      </c>
      <c r="J362" s="13">
        <f t="shared" si="26"/>
        <v>2245.2234390441222</v>
      </c>
      <c r="K362" s="13">
        <f t="shared" si="27"/>
        <v>45.309824391580861</v>
      </c>
      <c r="L362" s="12">
        <f t="shared" si="28"/>
        <v>2199.9136146525411</v>
      </c>
      <c r="M362" s="12">
        <f t="shared" si="29"/>
        <v>13334.883319603601</v>
      </c>
    </row>
    <row r="363" spans="8:13" ht="14.25" customHeight="1">
      <c r="H363" s="2">
        <v>355</v>
      </c>
      <c r="I363" s="50">
        <f t="shared" si="25"/>
        <v>3.5000000000000003E-2</v>
      </c>
      <c r="J363" s="13">
        <f t="shared" si="26"/>
        <v>2245.2234390441222</v>
      </c>
      <c r="K363" s="13">
        <f t="shared" si="27"/>
        <v>38.893409682177612</v>
      </c>
      <c r="L363" s="12">
        <f t="shared" si="28"/>
        <v>2206.3300293619445</v>
      </c>
      <c r="M363" s="12">
        <f t="shared" si="29"/>
        <v>11128.553290241656</v>
      </c>
    </row>
    <row r="364" spans="8:13" ht="14.25" customHeight="1">
      <c r="H364" s="2">
        <v>356</v>
      </c>
      <c r="I364" s="50">
        <f t="shared" si="25"/>
        <v>3.5000000000000003E-2</v>
      </c>
      <c r="J364" s="13">
        <f t="shared" si="26"/>
        <v>2245.2234390441222</v>
      </c>
      <c r="K364" s="13">
        <f t="shared" si="27"/>
        <v>32.458280429871934</v>
      </c>
      <c r="L364" s="12">
        <f t="shared" si="28"/>
        <v>2212.7651586142501</v>
      </c>
      <c r="M364" s="12">
        <f t="shared" si="29"/>
        <v>8915.788131627407</v>
      </c>
    </row>
    <row r="365" spans="8:13" ht="14.25" customHeight="1">
      <c r="H365" s="2">
        <v>357</v>
      </c>
      <c r="I365" s="50">
        <f t="shared" si="25"/>
        <v>3.5000000000000003E-2</v>
      </c>
      <c r="J365" s="13">
        <f t="shared" si="26"/>
        <v>2245.2234390441222</v>
      </c>
      <c r="K365" s="13">
        <f t="shared" si="27"/>
        <v>26.004382050580372</v>
      </c>
      <c r="L365" s="12">
        <f t="shared" si="28"/>
        <v>2219.2190569935419</v>
      </c>
      <c r="M365" s="12">
        <f t="shared" si="29"/>
        <v>6696.5690746338651</v>
      </c>
    </row>
    <row r="366" spans="8:13" ht="14.25" customHeight="1">
      <c r="H366" s="2">
        <v>358</v>
      </c>
      <c r="I366" s="50">
        <f t="shared" si="25"/>
        <v>3.5000000000000003E-2</v>
      </c>
      <c r="J366" s="13">
        <f t="shared" si="26"/>
        <v>2245.2234390441222</v>
      </c>
      <c r="K366" s="13">
        <f t="shared" si="27"/>
        <v>19.531659801015877</v>
      </c>
      <c r="L366" s="12">
        <f t="shared" si="28"/>
        <v>2225.6917792431063</v>
      </c>
      <c r="M366" s="12">
        <f t="shared" si="29"/>
        <v>4470.8772953907592</v>
      </c>
    </row>
    <row r="367" spans="8:13" ht="14.25" customHeight="1">
      <c r="H367" s="2">
        <v>359</v>
      </c>
      <c r="I367" s="50">
        <f t="shared" si="25"/>
        <v>3.5000000000000003E-2</v>
      </c>
      <c r="J367" s="13">
        <f t="shared" si="26"/>
        <v>2245.2234390441222</v>
      </c>
      <c r="K367" s="13">
        <f t="shared" si="27"/>
        <v>13.040058778223484</v>
      </c>
      <c r="L367" s="12">
        <f t="shared" si="28"/>
        <v>2232.1833802658989</v>
      </c>
      <c r="M367" s="12">
        <f t="shared" si="29"/>
        <v>2238.6939151248603</v>
      </c>
    </row>
    <row r="368" spans="8:13" ht="14.25" customHeight="1">
      <c r="H368" s="2">
        <v>360</v>
      </c>
      <c r="I368" s="50">
        <f t="shared" si="25"/>
        <v>3.5000000000000003E-2</v>
      </c>
      <c r="J368" s="13">
        <f t="shared" si="26"/>
        <v>2245.2234390441222</v>
      </c>
      <c r="K368" s="13">
        <f t="shared" si="27"/>
        <v>6.5295239191146059</v>
      </c>
      <c r="L368" s="12">
        <f t="shared" si="28"/>
        <v>2238.6939151250076</v>
      </c>
      <c r="M368" s="12">
        <f t="shared" si="29"/>
        <v>-1.4733814168721437E-10</v>
      </c>
    </row>
  </sheetData>
  <mergeCells count="6">
    <mergeCell ref="E39:F39"/>
    <mergeCell ref="E3:M3"/>
    <mergeCell ref="E7:F7"/>
    <mergeCell ref="C13:C14"/>
    <mergeCell ref="C16:C17"/>
    <mergeCell ref="E29:F29"/>
  </mergeCells>
  <pageMargins left="0.7" right="0.7" top="0.75" bottom="0.75" header="0" footer="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C4:K30"/>
  <sheetViews>
    <sheetView zoomScale="175" zoomScaleNormal="175" workbookViewId="0">
      <selection activeCell="I6" sqref="I6"/>
    </sheetView>
  </sheetViews>
  <sheetFormatPr defaultColWidth="12.6640625" defaultRowHeight="15" customHeight="1"/>
  <cols>
    <col min="1" max="1" width="8.6640625" customWidth="1"/>
    <col min="2" max="11" width="14.44140625" customWidth="1"/>
    <col min="12" max="26" width="8.6640625" customWidth="1"/>
  </cols>
  <sheetData>
    <row r="4" spans="3:11" ht="14.25" customHeight="1">
      <c r="C4" s="53" t="s">
        <v>340</v>
      </c>
      <c r="D4" s="54" t="s">
        <v>341</v>
      </c>
      <c r="E4" s="54" t="s">
        <v>342</v>
      </c>
      <c r="F4" s="53" t="s">
        <v>9</v>
      </c>
      <c r="G4" s="53" t="s">
        <v>343</v>
      </c>
      <c r="H4" s="54" t="s">
        <v>344</v>
      </c>
      <c r="I4" s="53" t="s">
        <v>115</v>
      </c>
      <c r="J4" s="54" t="s">
        <v>345</v>
      </c>
      <c r="K4" s="54" t="s">
        <v>346</v>
      </c>
    </row>
    <row r="5" spans="3:11" ht="14.25" customHeight="1">
      <c r="C5" s="55">
        <v>1</v>
      </c>
      <c r="D5" s="56" t="s">
        <v>347</v>
      </c>
      <c r="E5" s="57" t="s">
        <v>348</v>
      </c>
      <c r="F5" s="56" t="str">
        <f>_xlfn.XLOOKUP(LEFT(E5,3),$D$15:$F$15,$D$16:$F$16,,0)</f>
        <v>Business</v>
      </c>
      <c r="G5" s="56" t="str">
        <f>_xlfn.XLOOKUP(RIGHT(E5,1),$C$19:$C$22,$D$19:$D$22,,0)</f>
        <v>Child</v>
      </c>
      <c r="H5" s="57">
        <v>1991</v>
      </c>
      <c r="I5" s="58">
        <f>VLOOKUP(G5,$D$19:$G$22,MATCH(F5,$D$19:$G$19,0),FALSE)</f>
        <v>35000</v>
      </c>
      <c r="J5" s="59"/>
      <c r="K5" s="59"/>
    </row>
    <row r="6" spans="3:11" ht="14.25" customHeight="1">
      <c r="C6" s="55">
        <v>2</v>
      </c>
      <c r="D6" s="56" t="s">
        <v>349</v>
      </c>
      <c r="E6" s="57" t="s">
        <v>350</v>
      </c>
      <c r="F6" s="56" t="str">
        <f t="shared" ref="F6:F12" si="0">_xlfn.XLOOKUP(LEFT(E6,3),$D$15:$F$15,$D$16:$F$16,,0)</f>
        <v>Economy</v>
      </c>
      <c r="G6" s="56" t="str">
        <f t="shared" ref="G6:G12" si="1">_xlfn.XLOOKUP(RIGHT(E6,1),$C$19:$C$22,$D$19:$D$22,,0)</f>
        <v>Adult</v>
      </c>
      <c r="H6" s="57">
        <v>1998</v>
      </c>
      <c r="I6" s="58">
        <f t="shared" ref="I6:I12" si="2">VLOOKUP(G6,$D$19:$G$22,MATCH(F6,$D$19:$G$19,0),0)</f>
        <v>50000</v>
      </c>
      <c r="J6" s="59"/>
      <c r="K6" s="59"/>
    </row>
    <row r="7" spans="3:11" ht="14.25" customHeight="1">
      <c r="C7" s="55">
        <v>3</v>
      </c>
      <c r="D7" s="56" t="s">
        <v>351</v>
      </c>
      <c r="E7" s="57" t="s">
        <v>352</v>
      </c>
      <c r="F7" s="56" t="str">
        <f t="shared" si="0"/>
        <v>Executive</v>
      </c>
      <c r="G7" s="56" t="str">
        <f t="shared" si="1"/>
        <v>Child</v>
      </c>
      <c r="H7" s="57">
        <v>2001</v>
      </c>
      <c r="I7" s="58">
        <f t="shared" si="2"/>
        <v>45000</v>
      </c>
      <c r="J7" s="59"/>
      <c r="K7" s="59"/>
    </row>
    <row r="8" spans="3:11" ht="14.25" customHeight="1">
      <c r="C8" s="55">
        <v>4</v>
      </c>
      <c r="D8" s="56" t="s">
        <v>353</v>
      </c>
      <c r="E8" s="57" t="s">
        <v>354</v>
      </c>
      <c r="F8" s="56" t="str">
        <f t="shared" si="0"/>
        <v>Executive</v>
      </c>
      <c r="G8" s="56" t="str">
        <f t="shared" si="1"/>
        <v>Adult</v>
      </c>
      <c r="H8" s="57">
        <v>1987</v>
      </c>
      <c r="I8" s="58">
        <f t="shared" si="2"/>
        <v>70000</v>
      </c>
      <c r="J8" s="59"/>
      <c r="K8" s="59"/>
    </row>
    <row r="9" spans="3:11" ht="14.25" customHeight="1">
      <c r="C9" s="55">
        <v>5</v>
      </c>
      <c r="D9" s="56" t="s">
        <v>355</v>
      </c>
      <c r="E9" s="57" t="s">
        <v>356</v>
      </c>
      <c r="F9" s="56" t="str">
        <f t="shared" si="0"/>
        <v>Economy</v>
      </c>
      <c r="G9" s="56" t="str">
        <f t="shared" si="1"/>
        <v>Senior Citizen</v>
      </c>
      <c r="H9" s="57">
        <v>1995</v>
      </c>
      <c r="I9" s="58">
        <f t="shared" si="2"/>
        <v>30000</v>
      </c>
      <c r="J9" s="59"/>
      <c r="K9" s="59"/>
    </row>
    <row r="10" spans="3:11" ht="14.25" customHeight="1">
      <c r="C10" s="55">
        <v>6</v>
      </c>
      <c r="D10" s="56" t="s">
        <v>357</v>
      </c>
      <c r="E10" s="57" t="s">
        <v>358</v>
      </c>
      <c r="F10" s="56" t="str">
        <f t="shared" si="0"/>
        <v>Business</v>
      </c>
      <c r="G10" s="56" t="str">
        <f t="shared" si="1"/>
        <v>Adult</v>
      </c>
      <c r="H10" s="57">
        <v>1992</v>
      </c>
      <c r="I10" s="58">
        <f t="shared" si="2"/>
        <v>60000</v>
      </c>
      <c r="J10" s="59"/>
      <c r="K10" s="59"/>
    </row>
    <row r="11" spans="3:11" ht="14.25" customHeight="1">
      <c r="C11" s="55">
        <v>7</v>
      </c>
      <c r="D11" s="56" t="s">
        <v>359</v>
      </c>
      <c r="E11" s="57" t="s">
        <v>360</v>
      </c>
      <c r="F11" s="56" t="str">
        <f t="shared" si="0"/>
        <v>Economy</v>
      </c>
      <c r="G11" s="56" t="str">
        <f t="shared" si="1"/>
        <v>Child</v>
      </c>
      <c r="H11" s="57">
        <v>1994</v>
      </c>
      <c r="I11" s="58">
        <f t="shared" si="2"/>
        <v>25000</v>
      </c>
      <c r="J11" s="59"/>
      <c r="K11" s="59"/>
    </row>
    <row r="12" spans="3:11" ht="14.25" customHeight="1">
      <c r="C12" s="55">
        <v>8</v>
      </c>
      <c r="D12" s="56" t="s">
        <v>361</v>
      </c>
      <c r="E12" s="57" t="s">
        <v>362</v>
      </c>
      <c r="F12" s="56" t="str">
        <f t="shared" si="0"/>
        <v>Executive</v>
      </c>
      <c r="G12" s="56" t="str">
        <f t="shared" si="1"/>
        <v>Senior Citizen</v>
      </c>
      <c r="H12" s="57">
        <v>1970</v>
      </c>
      <c r="I12" s="58">
        <f t="shared" si="2"/>
        <v>52500</v>
      </c>
      <c r="J12" s="59"/>
      <c r="K12" s="59"/>
    </row>
    <row r="13" spans="3:11" ht="14.25" customHeight="1">
      <c r="C13" s="129"/>
      <c r="D13" s="129"/>
      <c r="E13" s="130"/>
      <c r="F13" s="129"/>
      <c r="G13" s="129"/>
      <c r="H13" s="130"/>
      <c r="I13" s="129"/>
      <c r="J13" s="130"/>
      <c r="K13" s="130"/>
    </row>
    <row r="14" spans="3:11" ht="14.25" customHeight="1">
      <c r="C14" s="131" t="s">
        <v>363</v>
      </c>
      <c r="D14" s="129"/>
      <c r="E14" s="130"/>
      <c r="F14" s="129"/>
      <c r="G14" s="129"/>
      <c r="H14" s="130"/>
      <c r="I14" s="129"/>
      <c r="J14" s="130"/>
      <c r="K14" s="130"/>
    </row>
    <row r="15" spans="3:11" ht="14.25" customHeight="1">
      <c r="C15" s="24" t="s">
        <v>196</v>
      </c>
      <c r="D15" s="56" t="s">
        <v>364</v>
      </c>
      <c r="E15" s="57" t="s">
        <v>365</v>
      </c>
      <c r="F15" s="56" t="s">
        <v>366</v>
      </c>
      <c r="G15" s="129"/>
      <c r="H15" s="130"/>
      <c r="I15" s="129"/>
      <c r="J15" s="130"/>
      <c r="K15" s="130"/>
    </row>
    <row r="16" spans="3:11" ht="14.25" customHeight="1">
      <c r="C16" s="24" t="s">
        <v>9</v>
      </c>
      <c r="D16" s="56" t="s">
        <v>367</v>
      </c>
      <c r="E16" s="57" t="s">
        <v>368</v>
      </c>
      <c r="F16" s="56" t="s">
        <v>369</v>
      </c>
      <c r="G16" s="129"/>
      <c r="H16" s="130"/>
      <c r="I16" s="129"/>
      <c r="J16" s="130"/>
      <c r="K16" s="130"/>
    </row>
    <row r="18" spans="3:7" ht="14.25" customHeight="1">
      <c r="C18" s="131" t="s">
        <v>343</v>
      </c>
      <c r="D18" s="129"/>
      <c r="E18" s="130"/>
      <c r="F18" s="129"/>
      <c r="G18" s="129"/>
    </row>
    <row r="19" spans="3:7" ht="14.25" customHeight="1">
      <c r="C19" s="60" t="s">
        <v>342</v>
      </c>
      <c r="D19" s="61" t="s">
        <v>343</v>
      </c>
      <c r="E19" s="62" t="s">
        <v>367</v>
      </c>
      <c r="F19" s="61" t="s">
        <v>368</v>
      </c>
      <c r="G19" s="61" t="s">
        <v>369</v>
      </c>
    </row>
    <row r="20" spans="3:7" ht="14.25" customHeight="1">
      <c r="C20" s="55" t="s">
        <v>23</v>
      </c>
      <c r="D20" s="56" t="s">
        <v>370</v>
      </c>
      <c r="E20" s="59">
        <v>25000</v>
      </c>
      <c r="F20" s="58">
        <v>35000</v>
      </c>
      <c r="G20" s="58">
        <v>45000</v>
      </c>
    </row>
    <row r="21" spans="3:7" ht="14.25" customHeight="1">
      <c r="C21" s="55" t="s">
        <v>222</v>
      </c>
      <c r="D21" s="56" t="s">
        <v>371</v>
      </c>
      <c r="E21" s="59">
        <v>50000</v>
      </c>
      <c r="F21" s="58">
        <v>60000</v>
      </c>
      <c r="G21" s="58">
        <v>70000</v>
      </c>
    </row>
    <row r="22" spans="3:7" ht="14.25" customHeight="1">
      <c r="C22" s="55" t="s">
        <v>83</v>
      </c>
      <c r="D22" s="56" t="s">
        <v>372</v>
      </c>
      <c r="E22" s="59">
        <v>30000</v>
      </c>
      <c r="F22" s="58">
        <v>40000</v>
      </c>
      <c r="G22" s="58">
        <v>52500</v>
      </c>
    </row>
    <row r="23" spans="3:7" ht="14.25" customHeight="1">
      <c r="C23" s="129"/>
      <c r="D23" s="129"/>
      <c r="E23" s="130"/>
      <c r="F23" s="129"/>
      <c r="G23" s="129"/>
    </row>
    <row r="24" spans="3:7" ht="14.25" customHeight="1">
      <c r="C24" s="132" t="s">
        <v>31</v>
      </c>
      <c r="D24" s="129"/>
      <c r="E24" s="130"/>
      <c r="F24" s="129"/>
      <c r="G24" s="129"/>
    </row>
    <row r="25" spans="3:7" ht="14.25" customHeight="1">
      <c r="C25" s="132" t="s">
        <v>373</v>
      </c>
      <c r="D25" s="129"/>
      <c r="E25" s="130"/>
      <c r="F25" s="129"/>
      <c r="G25" s="129"/>
    </row>
    <row r="26" spans="3:7" ht="14.25" customHeight="1">
      <c r="C26" s="132" t="s">
        <v>374</v>
      </c>
      <c r="D26" s="129"/>
      <c r="E26" s="130"/>
      <c r="F26" s="129"/>
      <c r="G26" s="129"/>
    </row>
    <row r="27" spans="3:7" ht="14.25" customHeight="1">
      <c r="C27" s="132" t="s">
        <v>375</v>
      </c>
      <c r="D27" s="129"/>
      <c r="E27" s="130"/>
      <c r="F27" s="129"/>
      <c r="G27" s="129"/>
    </row>
    <row r="28" spans="3:7" ht="14.25" customHeight="1">
      <c r="C28" s="132" t="s">
        <v>376</v>
      </c>
      <c r="D28" s="129"/>
      <c r="E28" s="130"/>
      <c r="F28" s="129"/>
      <c r="G28" s="129"/>
    </row>
    <row r="29" spans="3:7" ht="14.25" customHeight="1">
      <c r="C29" s="132" t="s">
        <v>377</v>
      </c>
      <c r="D29" s="129"/>
      <c r="E29" s="130"/>
      <c r="F29" s="129"/>
      <c r="G29" s="129"/>
    </row>
    <row r="30" spans="3:7" ht="14.25" customHeight="1">
      <c r="C30" s="132" t="s">
        <v>378</v>
      </c>
      <c r="D30" s="129"/>
      <c r="E30" s="130"/>
      <c r="F30" s="129"/>
      <c r="G30" s="129"/>
    </row>
  </sheetData>
  <pageMargins left="0.7" right="0.7" top="0.75" bottom="0.75" header="0" footer="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K201"/>
  <sheetViews>
    <sheetView zoomScale="85" zoomScaleNormal="85" workbookViewId="0">
      <selection activeCell="C8" sqref="B2:K201"/>
    </sheetView>
  </sheetViews>
  <sheetFormatPr defaultColWidth="12.6640625" defaultRowHeight="15" customHeight="1"/>
  <cols>
    <col min="1" max="1" width="8.6640625" customWidth="1"/>
    <col min="2" max="2" width="10.33203125" customWidth="1"/>
    <col min="3" max="3" width="21" customWidth="1"/>
    <col min="4" max="4" width="11.109375" customWidth="1"/>
    <col min="5" max="6" width="12.6640625" customWidth="1"/>
    <col min="7" max="24" width="8.6640625" customWidth="1"/>
  </cols>
  <sheetData>
    <row r="2" spans="2:11" ht="14.25" customHeight="1">
      <c r="B2" s="63" t="s">
        <v>379</v>
      </c>
      <c r="C2" s="104" t="s">
        <v>267</v>
      </c>
      <c r="D2" s="63" t="s">
        <v>264</v>
      </c>
      <c r="E2" s="63" t="s">
        <v>237</v>
      </c>
      <c r="F2" s="63" t="s">
        <v>380</v>
      </c>
      <c r="G2" s="63" t="s">
        <v>381</v>
      </c>
      <c r="H2" s="63" t="s">
        <v>382</v>
      </c>
      <c r="I2" s="63" t="s">
        <v>383</v>
      </c>
      <c r="J2" s="63" t="s">
        <v>384</v>
      </c>
      <c r="K2" s="63" t="s">
        <v>385</v>
      </c>
    </row>
    <row r="3" spans="2:11" ht="14.25" customHeight="1">
      <c r="B3" s="64">
        <v>10010</v>
      </c>
      <c r="C3" s="100">
        <v>44562</v>
      </c>
      <c r="D3" s="65" t="s">
        <v>386</v>
      </c>
      <c r="E3" s="65" t="s">
        <v>387</v>
      </c>
      <c r="F3" s="65" t="s">
        <v>388</v>
      </c>
      <c r="G3" s="66">
        <v>1099</v>
      </c>
      <c r="H3" s="67">
        <v>289</v>
      </c>
      <c r="I3" s="68">
        <v>314</v>
      </c>
      <c r="J3" s="69">
        <v>344537</v>
      </c>
      <c r="K3" s="69">
        <v>90602</v>
      </c>
    </row>
    <row r="4" spans="2:11" ht="14.25" customHeight="1">
      <c r="B4" s="70">
        <v>10011</v>
      </c>
      <c r="C4" s="101">
        <v>44562</v>
      </c>
      <c r="D4" s="71" t="s">
        <v>386</v>
      </c>
      <c r="E4" s="72" t="s">
        <v>389</v>
      </c>
      <c r="F4" s="71" t="s">
        <v>390</v>
      </c>
      <c r="G4" s="73">
        <v>1099</v>
      </c>
      <c r="H4" s="74">
        <v>289</v>
      </c>
      <c r="I4" s="75">
        <v>301</v>
      </c>
      <c r="J4" s="76">
        <v>330469</v>
      </c>
      <c r="K4" s="76">
        <v>86902</v>
      </c>
    </row>
    <row r="5" spans="2:11" ht="14.25" customHeight="1">
      <c r="B5" s="77">
        <v>10012</v>
      </c>
      <c r="C5" s="102">
        <v>44562</v>
      </c>
      <c r="D5" s="78" t="s">
        <v>391</v>
      </c>
      <c r="E5" s="79" t="s">
        <v>392</v>
      </c>
      <c r="F5" s="78" t="s">
        <v>393</v>
      </c>
      <c r="G5" s="80">
        <v>1299</v>
      </c>
      <c r="H5" s="81">
        <v>459</v>
      </c>
      <c r="I5" s="82">
        <v>482</v>
      </c>
      <c r="J5" s="83">
        <v>626378</v>
      </c>
      <c r="K5" s="83">
        <v>221330</v>
      </c>
    </row>
    <row r="6" spans="2:11" ht="14.25" customHeight="1">
      <c r="B6" s="70">
        <v>10013</v>
      </c>
      <c r="C6" s="101">
        <v>44562</v>
      </c>
      <c r="D6" s="71" t="s">
        <v>394</v>
      </c>
      <c r="E6" s="72" t="s">
        <v>395</v>
      </c>
      <c r="F6" s="71" t="s">
        <v>396</v>
      </c>
      <c r="G6" s="73">
        <v>599</v>
      </c>
      <c r="H6" s="74">
        <v>299</v>
      </c>
      <c r="I6" s="75">
        <v>109</v>
      </c>
      <c r="J6" s="76">
        <v>65291</v>
      </c>
      <c r="K6" s="76">
        <v>32591</v>
      </c>
    </row>
    <row r="7" spans="2:11" ht="14.25" customHeight="1">
      <c r="B7" s="77">
        <v>10014</v>
      </c>
      <c r="C7" s="102">
        <v>44562</v>
      </c>
      <c r="D7" s="78" t="s">
        <v>397</v>
      </c>
      <c r="E7" s="79" t="s">
        <v>395</v>
      </c>
      <c r="F7" s="78" t="s">
        <v>393</v>
      </c>
      <c r="G7" s="80">
        <v>449</v>
      </c>
      <c r="H7" s="81">
        <v>159</v>
      </c>
      <c r="I7" s="82">
        <v>451</v>
      </c>
      <c r="J7" s="83">
        <v>202454</v>
      </c>
      <c r="K7" s="83">
        <v>71693</v>
      </c>
    </row>
    <row r="8" spans="2:11" ht="14.25" customHeight="1">
      <c r="B8" s="70">
        <v>10015</v>
      </c>
      <c r="C8" s="101">
        <v>44562</v>
      </c>
      <c r="D8" s="71" t="s">
        <v>398</v>
      </c>
      <c r="E8" s="72" t="s">
        <v>395</v>
      </c>
      <c r="F8" s="71" t="s">
        <v>393</v>
      </c>
      <c r="G8" s="73">
        <v>199</v>
      </c>
      <c r="H8" s="74">
        <v>39</v>
      </c>
      <c r="I8" s="75">
        <v>271</v>
      </c>
      <c r="J8" s="76">
        <v>53909</v>
      </c>
      <c r="K8" s="76">
        <v>10565</v>
      </c>
    </row>
    <row r="9" spans="2:11" ht="14.25" customHeight="1">
      <c r="B9" s="77">
        <v>10016</v>
      </c>
      <c r="C9" s="102">
        <v>44652</v>
      </c>
      <c r="D9" s="78" t="s">
        <v>398</v>
      </c>
      <c r="E9" s="79" t="s">
        <v>395</v>
      </c>
      <c r="F9" s="78" t="s">
        <v>388</v>
      </c>
      <c r="G9" s="80">
        <v>199</v>
      </c>
      <c r="H9" s="81">
        <v>39</v>
      </c>
      <c r="I9" s="82">
        <v>443</v>
      </c>
      <c r="J9" s="83">
        <v>88177</v>
      </c>
      <c r="K9" s="83">
        <v>17281</v>
      </c>
    </row>
    <row r="10" spans="2:11" ht="14.25" customHeight="1">
      <c r="B10" s="70">
        <v>10017</v>
      </c>
      <c r="C10" s="101">
        <v>44743</v>
      </c>
      <c r="D10" s="71" t="s">
        <v>398</v>
      </c>
      <c r="E10" s="72" t="s">
        <v>387</v>
      </c>
      <c r="F10" s="71" t="s">
        <v>393</v>
      </c>
      <c r="G10" s="73">
        <v>199</v>
      </c>
      <c r="H10" s="74">
        <v>39</v>
      </c>
      <c r="I10" s="75">
        <v>459</v>
      </c>
      <c r="J10" s="76">
        <v>91401</v>
      </c>
      <c r="K10" s="76">
        <v>17913</v>
      </c>
    </row>
    <row r="11" spans="2:11" ht="14.25" customHeight="1">
      <c r="B11" s="77">
        <v>10018</v>
      </c>
      <c r="C11" s="102">
        <v>44835</v>
      </c>
      <c r="D11" s="78" t="s">
        <v>386</v>
      </c>
      <c r="E11" s="79" t="s">
        <v>389</v>
      </c>
      <c r="F11" s="78" t="s">
        <v>393</v>
      </c>
      <c r="G11" s="84">
        <v>1099</v>
      </c>
      <c r="H11" s="82">
        <v>289</v>
      </c>
      <c r="I11" s="82">
        <v>223</v>
      </c>
      <c r="J11" s="83">
        <v>244528</v>
      </c>
      <c r="K11" s="83">
        <v>64303</v>
      </c>
    </row>
    <row r="12" spans="2:11" ht="14.25" customHeight="1">
      <c r="B12" s="70">
        <v>10019</v>
      </c>
      <c r="C12" s="101" t="s">
        <v>399</v>
      </c>
      <c r="D12" s="71" t="s">
        <v>391</v>
      </c>
      <c r="E12" s="72" t="s">
        <v>392</v>
      </c>
      <c r="F12" s="71" t="s">
        <v>388</v>
      </c>
      <c r="G12" s="73">
        <v>1299</v>
      </c>
      <c r="H12" s="74">
        <v>459</v>
      </c>
      <c r="I12" s="75">
        <v>479</v>
      </c>
      <c r="J12" s="76">
        <v>622741</v>
      </c>
      <c r="K12" s="76">
        <v>220045</v>
      </c>
    </row>
    <row r="13" spans="2:11" ht="14.25" customHeight="1">
      <c r="B13" s="77">
        <v>10020</v>
      </c>
      <c r="C13" s="102" t="s">
        <v>400</v>
      </c>
      <c r="D13" s="78" t="s">
        <v>391</v>
      </c>
      <c r="E13" s="79" t="s">
        <v>392</v>
      </c>
      <c r="F13" s="78" t="s">
        <v>388</v>
      </c>
      <c r="G13" s="80">
        <v>1299</v>
      </c>
      <c r="H13" s="81">
        <v>459</v>
      </c>
      <c r="I13" s="82">
        <v>301</v>
      </c>
      <c r="J13" s="83">
        <v>391259</v>
      </c>
      <c r="K13" s="83">
        <v>138251</v>
      </c>
    </row>
    <row r="14" spans="2:11" ht="14.25" customHeight="1">
      <c r="B14" s="70">
        <v>10021</v>
      </c>
      <c r="C14" s="101" t="s">
        <v>401</v>
      </c>
      <c r="D14" s="71" t="s">
        <v>398</v>
      </c>
      <c r="E14" s="72" t="s">
        <v>392</v>
      </c>
      <c r="F14" s="71" t="s">
        <v>388</v>
      </c>
      <c r="G14" s="73">
        <v>199</v>
      </c>
      <c r="H14" s="74">
        <v>39</v>
      </c>
      <c r="I14" s="75">
        <v>315</v>
      </c>
      <c r="J14" s="76">
        <v>62705</v>
      </c>
      <c r="K14" s="76">
        <v>12289</v>
      </c>
    </row>
    <row r="15" spans="2:11" ht="14.25" customHeight="1">
      <c r="B15" s="77">
        <v>10022</v>
      </c>
      <c r="C15" s="102" t="s">
        <v>402</v>
      </c>
      <c r="D15" s="78" t="s">
        <v>386</v>
      </c>
      <c r="E15" s="79" t="s">
        <v>387</v>
      </c>
      <c r="F15" s="78" t="s">
        <v>388</v>
      </c>
      <c r="G15" s="84">
        <v>1099</v>
      </c>
      <c r="H15" s="82">
        <v>289</v>
      </c>
      <c r="I15" s="82">
        <v>142</v>
      </c>
      <c r="J15" s="83">
        <v>156498</v>
      </c>
      <c r="K15" s="83">
        <v>41154</v>
      </c>
    </row>
    <row r="16" spans="2:11" ht="14.25" customHeight="1">
      <c r="B16" s="70">
        <v>10023</v>
      </c>
      <c r="C16" s="101" t="s">
        <v>403</v>
      </c>
      <c r="D16" s="71" t="s">
        <v>397</v>
      </c>
      <c r="E16" s="72" t="s">
        <v>389</v>
      </c>
      <c r="F16" s="71" t="s">
        <v>388</v>
      </c>
      <c r="G16" s="73">
        <v>449</v>
      </c>
      <c r="H16" s="74">
        <v>159</v>
      </c>
      <c r="I16" s="75">
        <v>311</v>
      </c>
      <c r="J16" s="76">
        <v>139639</v>
      </c>
      <c r="K16" s="76">
        <v>49449</v>
      </c>
    </row>
    <row r="17" spans="2:11" ht="14.25" customHeight="1">
      <c r="B17" s="77">
        <v>10024</v>
      </c>
      <c r="C17" s="102">
        <v>44653</v>
      </c>
      <c r="D17" s="78" t="s">
        <v>394</v>
      </c>
      <c r="E17" s="79" t="s">
        <v>392</v>
      </c>
      <c r="F17" s="78" t="s">
        <v>388</v>
      </c>
      <c r="G17" s="80">
        <v>599</v>
      </c>
      <c r="H17" s="81">
        <v>299</v>
      </c>
      <c r="I17" s="82">
        <v>378</v>
      </c>
      <c r="J17" s="83">
        <v>226542</v>
      </c>
      <c r="K17" s="83">
        <v>113082</v>
      </c>
    </row>
    <row r="18" spans="2:11" ht="14.25" customHeight="1">
      <c r="B18" s="70">
        <v>10025</v>
      </c>
      <c r="C18" s="101">
        <v>44683</v>
      </c>
      <c r="D18" s="71" t="s">
        <v>397</v>
      </c>
      <c r="E18" s="72" t="s">
        <v>392</v>
      </c>
      <c r="F18" s="71" t="s">
        <v>396</v>
      </c>
      <c r="G18" s="73">
        <v>449</v>
      </c>
      <c r="H18" s="74">
        <v>159</v>
      </c>
      <c r="I18" s="75">
        <v>292</v>
      </c>
      <c r="J18" s="76">
        <v>131063</v>
      </c>
      <c r="K18" s="76">
        <v>46412</v>
      </c>
    </row>
    <row r="19" spans="2:11" ht="14.25" customHeight="1">
      <c r="B19" s="77">
        <v>10026</v>
      </c>
      <c r="C19" s="102">
        <v>44714</v>
      </c>
      <c r="D19" s="78" t="s">
        <v>386</v>
      </c>
      <c r="E19" s="79" t="s">
        <v>392</v>
      </c>
      <c r="F19" s="78" t="s">
        <v>396</v>
      </c>
      <c r="G19" s="84">
        <v>1099</v>
      </c>
      <c r="H19" s="82">
        <v>289</v>
      </c>
      <c r="I19" s="82">
        <v>479</v>
      </c>
      <c r="J19" s="83">
        <v>526751</v>
      </c>
      <c r="K19" s="83">
        <v>138518</v>
      </c>
    </row>
    <row r="20" spans="2:11" ht="14.25" customHeight="1">
      <c r="B20" s="70">
        <v>10027</v>
      </c>
      <c r="C20" s="101">
        <v>44744</v>
      </c>
      <c r="D20" s="71" t="s">
        <v>397</v>
      </c>
      <c r="E20" s="72" t="s">
        <v>387</v>
      </c>
      <c r="F20" s="71" t="s">
        <v>390</v>
      </c>
      <c r="G20" s="73">
        <v>449</v>
      </c>
      <c r="H20" s="74">
        <v>159</v>
      </c>
      <c r="I20" s="75">
        <v>115</v>
      </c>
      <c r="J20" s="76">
        <v>51680</v>
      </c>
      <c r="K20" s="76">
        <v>18301</v>
      </c>
    </row>
    <row r="21" spans="2:11" ht="14.25" customHeight="1">
      <c r="B21" s="77">
        <v>10028</v>
      </c>
      <c r="C21" s="102">
        <v>44775</v>
      </c>
      <c r="D21" s="78" t="s">
        <v>386</v>
      </c>
      <c r="E21" s="79" t="s">
        <v>392</v>
      </c>
      <c r="F21" s="78" t="s">
        <v>396</v>
      </c>
      <c r="G21" s="84">
        <v>1099</v>
      </c>
      <c r="H21" s="82">
        <v>289</v>
      </c>
      <c r="I21" s="82">
        <v>348</v>
      </c>
      <c r="J21" s="83">
        <v>382232</v>
      </c>
      <c r="K21" s="83">
        <v>100514</v>
      </c>
    </row>
    <row r="22" spans="2:11" ht="14.25" customHeight="1">
      <c r="B22" s="70">
        <v>10029</v>
      </c>
      <c r="C22" s="101">
        <v>44775</v>
      </c>
      <c r="D22" s="71" t="s">
        <v>391</v>
      </c>
      <c r="E22" s="72" t="s">
        <v>392</v>
      </c>
      <c r="F22" s="71" t="s">
        <v>396</v>
      </c>
      <c r="G22" s="73">
        <v>1299</v>
      </c>
      <c r="H22" s="74">
        <v>459</v>
      </c>
      <c r="I22" s="75">
        <v>222</v>
      </c>
      <c r="J22" s="76">
        <v>288898</v>
      </c>
      <c r="K22" s="76">
        <v>102082</v>
      </c>
    </row>
    <row r="23" spans="2:11" ht="14.25" customHeight="1">
      <c r="B23" s="77">
        <v>10030</v>
      </c>
      <c r="C23" s="102">
        <v>44775</v>
      </c>
      <c r="D23" s="78" t="s">
        <v>386</v>
      </c>
      <c r="E23" s="79" t="s">
        <v>392</v>
      </c>
      <c r="F23" s="78" t="s">
        <v>393</v>
      </c>
      <c r="G23" s="84">
        <v>1099</v>
      </c>
      <c r="H23" s="82">
        <v>289</v>
      </c>
      <c r="I23" s="82">
        <v>277</v>
      </c>
      <c r="J23" s="83">
        <v>303874</v>
      </c>
      <c r="K23" s="83">
        <v>79909</v>
      </c>
    </row>
    <row r="24" spans="2:11" ht="14.25" customHeight="1">
      <c r="B24" s="70">
        <v>10031</v>
      </c>
      <c r="C24" s="101">
        <v>44775</v>
      </c>
      <c r="D24" s="71" t="s">
        <v>386</v>
      </c>
      <c r="E24" s="72" t="s">
        <v>387</v>
      </c>
      <c r="F24" s="71" t="s">
        <v>393</v>
      </c>
      <c r="G24" s="85">
        <v>1099</v>
      </c>
      <c r="H24" s="75">
        <v>289</v>
      </c>
      <c r="I24" s="75">
        <v>151</v>
      </c>
      <c r="J24" s="76">
        <v>166169</v>
      </c>
      <c r="K24" s="76">
        <v>43697</v>
      </c>
    </row>
    <row r="25" spans="2:11" ht="14.25" customHeight="1">
      <c r="B25" s="77">
        <v>10032</v>
      </c>
      <c r="C25" s="102">
        <v>44775</v>
      </c>
      <c r="D25" s="78" t="s">
        <v>398</v>
      </c>
      <c r="E25" s="79" t="s">
        <v>387</v>
      </c>
      <c r="F25" s="78" t="s">
        <v>393</v>
      </c>
      <c r="G25" s="80">
        <v>199</v>
      </c>
      <c r="H25" s="81">
        <v>39</v>
      </c>
      <c r="I25" s="82">
        <v>172</v>
      </c>
      <c r="J25" s="83">
        <v>34148</v>
      </c>
      <c r="K25" s="83">
        <v>6692</v>
      </c>
    </row>
    <row r="26" spans="2:11" ht="14.25" customHeight="1">
      <c r="B26" s="70">
        <v>10033</v>
      </c>
      <c r="C26" s="101" t="s">
        <v>404</v>
      </c>
      <c r="D26" s="71" t="s">
        <v>394</v>
      </c>
      <c r="E26" s="72" t="s">
        <v>389</v>
      </c>
      <c r="F26" s="71" t="s">
        <v>393</v>
      </c>
      <c r="G26" s="73">
        <v>599</v>
      </c>
      <c r="H26" s="74">
        <v>299</v>
      </c>
      <c r="I26" s="75">
        <v>365</v>
      </c>
      <c r="J26" s="76">
        <v>218875</v>
      </c>
      <c r="K26" s="76">
        <v>109255</v>
      </c>
    </row>
    <row r="27" spans="2:11" ht="14.25" customHeight="1">
      <c r="B27" s="77">
        <v>10034</v>
      </c>
      <c r="C27" s="102" t="s">
        <v>404</v>
      </c>
      <c r="D27" s="78" t="s">
        <v>391</v>
      </c>
      <c r="E27" s="79" t="s">
        <v>389</v>
      </c>
      <c r="F27" s="78" t="s">
        <v>388</v>
      </c>
      <c r="G27" s="80">
        <v>1299</v>
      </c>
      <c r="H27" s="81">
        <v>459</v>
      </c>
      <c r="I27" s="82">
        <v>156</v>
      </c>
      <c r="J27" s="83">
        <v>202774</v>
      </c>
      <c r="K27" s="83">
        <v>71650</v>
      </c>
    </row>
    <row r="28" spans="2:11" ht="14.25" customHeight="1">
      <c r="B28" s="70">
        <v>10035</v>
      </c>
      <c r="C28" s="101" t="s">
        <v>404</v>
      </c>
      <c r="D28" s="71" t="s">
        <v>391</v>
      </c>
      <c r="E28" s="72" t="s">
        <v>387</v>
      </c>
      <c r="F28" s="71" t="s">
        <v>393</v>
      </c>
      <c r="G28" s="73">
        <v>1299</v>
      </c>
      <c r="H28" s="74">
        <v>459</v>
      </c>
      <c r="I28" s="75">
        <v>208</v>
      </c>
      <c r="J28" s="76">
        <v>270582</v>
      </c>
      <c r="K28" s="76">
        <v>95610</v>
      </c>
    </row>
    <row r="29" spans="2:11" ht="14.25" customHeight="1">
      <c r="B29" s="77">
        <v>10036</v>
      </c>
      <c r="C29" s="102" t="s">
        <v>404</v>
      </c>
      <c r="D29" s="78" t="s">
        <v>391</v>
      </c>
      <c r="E29" s="79" t="s">
        <v>389</v>
      </c>
      <c r="F29" s="78" t="s">
        <v>388</v>
      </c>
      <c r="G29" s="80">
        <v>1299</v>
      </c>
      <c r="H29" s="81">
        <v>459</v>
      </c>
      <c r="I29" s="82">
        <v>267</v>
      </c>
      <c r="J29" s="83">
        <v>347223</v>
      </c>
      <c r="K29" s="83">
        <v>122691</v>
      </c>
    </row>
    <row r="30" spans="2:11" ht="14.25" customHeight="1">
      <c r="B30" s="70">
        <v>10037</v>
      </c>
      <c r="C30" s="101" t="s">
        <v>405</v>
      </c>
      <c r="D30" s="71" t="s">
        <v>394</v>
      </c>
      <c r="E30" s="72" t="s">
        <v>389</v>
      </c>
      <c r="F30" s="71" t="s">
        <v>388</v>
      </c>
      <c r="G30" s="73">
        <v>599</v>
      </c>
      <c r="H30" s="74">
        <v>299</v>
      </c>
      <c r="I30" s="75">
        <v>339</v>
      </c>
      <c r="J30" s="76">
        <v>202762</v>
      </c>
      <c r="K30" s="76">
        <v>101212</v>
      </c>
    </row>
    <row r="31" spans="2:11" ht="14.25" customHeight="1">
      <c r="B31" s="77">
        <v>10038</v>
      </c>
      <c r="C31" s="102" t="s">
        <v>406</v>
      </c>
      <c r="D31" s="78" t="s">
        <v>386</v>
      </c>
      <c r="E31" s="79" t="s">
        <v>392</v>
      </c>
      <c r="F31" s="78" t="s">
        <v>393</v>
      </c>
      <c r="G31" s="84">
        <v>1099</v>
      </c>
      <c r="H31" s="82">
        <v>289</v>
      </c>
      <c r="I31" s="82">
        <v>322</v>
      </c>
      <c r="J31" s="83">
        <v>353658</v>
      </c>
      <c r="K31" s="83">
        <v>93000</v>
      </c>
    </row>
    <row r="32" spans="2:11" ht="14.25" customHeight="1">
      <c r="B32" s="70">
        <v>10039</v>
      </c>
      <c r="C32" s="101" t="s">
        <v>407</v>
      </c>
      <c r="D32" s="71" t="s">
        <v>398</v>
      </c>
      <c r="E32" s="72" t="s">
        <v>389</v>
      </c>
      <c r="F32" s="71" t="s">
        <v>396</v>
      </c>
      <c r="G32" s="73">
        <v>199</v>
      </c>
      <c r="H32" s="74">
        <v>39</v>
      </c>
      <c r="I32" s="75">
        <v>369</v>
      </c>
      <c r="J32" s="76">
        <v>73371</v>
      </c>
      <c r="K32" s="76">
        <v>14379</v>
      </c>
    </row>
    <row r="33" spans="2:11" ht="14.25" customHeight="1">
      <c r="B33" s="77">
        <v>10040</v>
      </c>
      <c r="C33" s="102" t="s">
        <v>408</v>
      </c>
      <c r="D33" s="78" t="s">
        <v>391</v>
      </c>
      <c r="E33" s="79" t="s">
        <v>387</v>
      </c>
      <c r="F33" s="78" t="s">
        <v>390</v>
      </c>
      <c r="G33" s="80">
        <v>1299</v>
      </c>
      <c r="H33" s="81">
        <v>459</v>
      </c>
      <c r="I33" s="82">
        <v>127</v>
      </c>
      <c r="J33" s="83">
        <v>164843</v>
      </c>
      <c r="K33" s="83">
        <v>58247</v>
      </c>
    </row>
    <row r="34" spans="2:11" ht="14.25" customHeight="1">
      <c r="B34" s="70">
        <v>10041</v>
      </c>
      <c r="C34" s="101" t="s">
        <v>409</v>
      </c>
      <c r="D34" s="71" t="s">
        <v>394</v>
      </c>
      <c r="E34" s="72" t="s">
        <v>395</v>
      </c>
      <c r="F34" s="71" t="s">
        <v>393</v>
      </c>
      <c r="G34" s="73">
        <v>599</v>
      </c>
      <c r="H34" s="74">
        <v>299</v>
      </c>
      <c r="I34" s="75">
        <v>390</v>
      </c>
      <c r="J34" s="76">
        <v>233610</v>
      </c>
      <c r="K34" s="76">
        <v>116610</v>
      </c>
    </row>
    <row r="35" spans="2:11" ht="14.25" customHeight="1">
      <c r="B35" s="77">
        <v>10042</v>
      </c>
      <c r="C35" s="102" t="s">
        <v>410</v>
      </c>
      <c r="D35" s="78" t="s">
        <v>391</v>
      </c>
      <c r="E35" s="79" t="s">
        <v>395</v>
      </c>
      <c r="F35" s="78" t="s">
        <v>390</v>
      </c>
      <c r="G35" s="80">
        <v>1299</v>
      </c>
      <c r="H35" s="81">
        <v>459</v>
      </c>
      <c r="I35" s="82">
        <v>388</v>
      </c>
      <c r="J35" s="83">
        <v>504402</v>
      </c>
      <c r="K35" s="83">
        <v>178230</v>
      </c>
    </row>
    <row r="36" spans="2:11" ht="14.25" customHeight="1">
      <c r="B36" s="70">
        <v>10043</v>
      </c>
      <c r="C36" s="101" t="s">
        <v>411</v>
      </c>
      <c r="D36" s="71" t="s">
        <v>391</v>
      </c>
      <c r="E36" s="72" t="s">
        <v>395</v>
      </c>
      <c r="F36" s="71" t="s">
        <v>393</v>
      </c>
      <c r="G36" s="73">
        <v>1299</v>
      </c>
      <c r="H36" s="74">
        <v>459</v>
      </c>
      <c r="I36" s="75">
        <v>112</v>
      </c>
      <c r="J36" s="76">
        <v>145488</v>
      </c>
      <c r="K36" s="76">
        <v>51408</v>
      </c>
    </row>
    <row r="37" spans="2:11" ht="14.25" customHeight="1">
      <c r="B37" s="77">
        <v>10044</v>
      </c>
      <c r="C37" s="102" t="s">
        <v>412</v>
      </c>
      <c r="D37" s="78" t="s">
        <v>398</v>
      </c>
      <c r="E37" s="79" t="s">
        <v>395</v>
      </c>
      <c r="F37" s="78" t="s">
        <v>388</v>
      </c>
      <c r="G37" s="80">
        <v>199</v>
      </c>
      <c r="H37" s="81">
        <v>39</v>
      </c>
      <c r="I37" s="82">
        <v>332</v>
      </c>
      <c r="J37" s="83">
        <v>66008</v>
      </c>
      <c r="K37" s="83">
        <v>12936</v>
      </c>
    </row>
    <row r="38" spans="2:11" ht="14.25" customHeight="1">
      <c r="B38" s="70">
        <v>10045</v>
      </c>
      <c r="C38" s="101">
        <v>44596</v>
      </c>
      <c r="D38" s="71" t="s">
        <v>398</v>
      </c>
      <c r="E38" s="72" t="s">
        <v>389</v>
      </c>
      <c r="F38" s="71" t="s">
        <v>388</v>
      </c>
      <c r="G38" s="73">
        <v>199</v>
      </c>
      <c r="H38" s="74">
        <v>39</v>
      </c>
      <c r="I38" s="75">
        <v>171</v>
      </c>
      <c r="J38" s="76">
        <v>34029</v>
      </c>
      <c r="K38" s="76">
        <v>6669</v>
      </c>
    </row>
    <row r="39" spans="2:11" ht="14.25" customHeight="1">
      <c r="B39" s="77">
        <v>10046</v>
      </c>
      <c r="C39" s="102">
        <v>44655</v>
      </c>
      <c r="D39" s="78" t="s">
        <v>391</v>
      </c>
      <c r="E39" s="79" t="s">
        <v>395</v>
      </c>
      <c r="F39" s="78" t="s">
        <v>393</v>
      </c>
      <c r="G39" s="80">
        <v>1299</v>
      </c>
      <c r="H39" s="81">
        <v>459</v>
      </c>
      <c r="I39" s="82">
        <v>167</v>
      </c>
      <c r="J39" s="83">
        <v>217193</v>
      </c>
      <c r="K39" s="83">
        <v>76745</v>
      </c>
    </row>
    <row r="40" spans="2:11" ht="14.25" customHeight="1">
      <c r="B40" s="70">
        <v>10047</v>
      </c>
      <c r="C40" s="101">
        <v>44716</v>
      </c>
      <c r="D40" s="71" t="s">
        <v>398</v>
      </c>
      <c r="E40" s="72" t="s">
        <v>389</v>
      </c>
      <c r="F40" s="71" t="s">
        <v>393</v>
      </c>
      <c r="G40" s="73">
        <v>199</v>
      </c>
      <c r="H40" s="74">
        <v>39</v>
      </c>
      <c r="I40" s="75">
        <v>358</v>
      </c>
      <c r="J40" s="76">
        <v>71202</v>
      </c>
      <c r="K40" s="76">
        <v>13954</v>
      </c>
    </row>
    <row r="41" spans="2:11" ht="14.25" customHeight="1">
      <c r="B41" s="77">
        <v>10048</v>
      </c>
      <c r="C41" s="102">
        <v>44777</v>
      </c>
      <c r="D41" s="78" t="s">
        <v>397</v>
      </c>
      <c r="E41" s="79" t="s">
        <v>395</v>
      </c>
      <c r="F41" s="78" t="s">
        <v>393</v>
      </c>
      <c r="G41" s="80">
        <v>449</v>
      </c>
      <c r="H41" s="81">
        <v>159</v>
      </c>
      <c r="I41" s="82">
        <v>396</v>
      </c>
      <c r="J41" s="83">
        <v>177894</v>
      </c>
      <c r="K41" s="83">
        <v>62996</v>
      </c>
    </row>
    <row r="42" spans="2:11" ht="14.25" customHeight="1">
      <c r="B42" s="70">
        <v>10049</v>
      </c>
      <c r="C42" s="101">
        <v>44838</v>
      </c>
      <c r="D42" s="71" t="s">
        <v>397</v>
      </c>
      <c r="E42" s="72" t="s">
        <v>395</v>
      </c>
      <c r="F42" s="71" t="s">
        <v>393</v>
      </c>
      <c r="G42" s="73">
        <v>449</v>
      </c>
      <c r="H42" s="74">
        <v>159</v>
      </c>
      <c r="I42" s="75">
        <v>314</v>
      </c>
      <c r="J42" s="76">
        <v>141076</v>
      </c>
      <c r="K42" s="76">
        <v>49958</v>
      </c>
    </row>
    <row r="43" spans="2:11" ht="14.25" customHeight="1">
      <c r="B43" s="77">
        <v>10050</v>
      </c>
      <c r="C43" s="102">
        <v>44899</v>
      </c>
      <c r="D43" s="78" t="s">
        <v>394</v>
      </c>
      <c r="E43" s="79" t="s">
        <v>392</v>
      </c>
      <c r="F43" s="78" t="s">
        <v>390</v>
      </c>
      <c r="G43" s="80">
        <v>599</v>
      </c>
      <c r="H43" s="81">
        <v>299</v>
      </c>
      <c r="I43" s="82">
        <v>498</v>
      </c>
      <c r="J43" s="83">
        <v>298122</v>
      </c>
      <c r="K43" s="83">
        <v>148812</v>
      </c>
    </row>
    <row r="44" spans="2:11" ht="14.25" customHeight="1">
      <c r="B44" s="70">
        <v>10051</v>
      </c>
      <c r="C44" s="101" t="s">
        <v>413</v>
      </c>
      <c r="D44" s="71" t="s">
        <v>394</v>
      </c>
      <c r="E44" s="72" t="s">
        <v>395</v>
      </c>
      <c r="F44" s="71" t="s">
        <v>396</v>
      </c>
      <c r="G44" s="73">
        <v>599</v>
      </c>
      <c r="H44" s="74">
        <v>299</v>
      </c>
      <c r="I44" s="75">
        <v>125</v>
      </c>
      <c r="J44" s="76">
        <v>75115</v>
      </c>
      <c r="K44" s="76">
        <v>37495</v>
      </c>
    </row>
    <row r="45" spans="2:11" ht="14.25" customHeight="1">
      <c r="B45" s="77">
        <v>10052</v>
      </c>
      <c r="C45" s="102" t="s">
        <v>414</v>
      </c>
      <c r="D45" s="78" t="s">
        <v>398</v>
      </c>
      <c r="E45" s="79" t="s">
        <v>389</v>
      </c>
      <c r="F45" s="78" t="s">
        <v>396</v>
      </c>
      <c r="G45" s="80">
        <v>199</v>
      </c>
      <c r="H45" s="81">
        <v>39</v>
      </c>
      <c r="I45" s="82">
        <v>411</v>
      </c>
      <c r="J45" s="83">
        <v>81829</v>
      </c>
      <c r="K45" s="83">
        <v>16037</v>
      </c>
    </row>
    <row r="46" spans="2:11" ht="14.25" customHeight="1">
      <c r="B46" s="70">
        <v>10053</v>
      </c>
      <c r="C46" s="101" t="s">
        <v>415</v>
      </c>
      <c r="D46" s="71" t="s">
        <v>398</v>
      </c>
      <c r="E46" s="72" t="s">
        <v>389</v>
      </c>
      <c r="F46" s="71" t="s">
        <v>388</v>
      </c>
      <c r="G46" s="73">
        <v>199</v>
      </c>
      <c r="H46" s="74">
        <v>39</v>
      </c>
      <c r="I46" s="75">
        <v>194</v>
      </c>
      <c r="J46" s="76">
        <v>38666</v>
      </c>
      <c r="K46" s="76">
        <v>7578</v>
      </c>
    </row>
    <row r="47" spans="2:11" ht="14.25" customHeight="1">
      <c r="B47" s="77">
        <v>10054</v>
      </c>
      <c r="C47" s="102" t="s">
        <v>416</v>
      </c>
      <c r="D47" s="78" t="s">
        <v>398</v>
      </c>
      <c r="E47" s="79" t="s">
        <v>392</v>
      </c>
      <c r="F47" s="78" t="s">
        <v>388</v>
      </c>
      <c r="G47" s="80">
        <v>199</v>
      </c>
      <c r="H47" s="81">
        <v>39</v>
      </c>
      <c r="I47" s="82">
        <v>168</v>
      </c>
      <c r="J47" s="83">
        <v>33412</v>
      </c>
      <c r="K47" s="83">
        <v>6548</v>
      </c>
    </row>
    <row r="48" spans="2:11" ht="14.25" customHeight="1">
      <c r="B48" s="70">
        <v>10055</v>
      </c>
      <c r="C48" s="101" t="s">
        <v>417</v>
      </c>
      <c r="D48" s="71" t="s">
        <v>386</v>
      </c>
      <c r="E48" s="72" t="s">
        <v>395</v>
      </c>
      <c r="F48" s="71" t="s">
        <v>388</v>
      </c>
      <c r="G48" s="85">
        <v>1099</v>
      </c>
      <c r="H48" s="75">
        <v>289</v>
      </c>
      <c r="I48" s="75">
        <v>132</v>
      </c>
      <c r="J48" s="76">
        <v>145288</v>
      </c>
      <c r="K48" s="76">
        <v>38206</v>
      </c>
    </row>
    <row r="49" spans="2:11" ht="14.25" customHeight="1">
      <c r="B49" s="77">
        <v>10056</v>
      </c>
      <c r="C49" s="102" t="s">
        <v>418</v>
      </c>
      <c r="D49" s="78" t="s">
        <v>386</v>
      </c>
      <c r="E49" s="79" t="s">
        <v>392</v>
      </c>
      <c r="F49" s="78" t="s">
        <v>388</v>
      </c>
      <c r="G49" s="84">
        <v>1099</v>
      </c>
      <c r="H49" s="82">
        <v>289</v>
      </c>
      <c r="I49" s="82">
        <v>139</v>
      </c>
      <c r="J49" s="83">
        <v>153201</v>
      </c>
      <c r="K49" s="83">
        <v>40287</v>
      </c>
    </row>
    <row r="50" spans="2:11" ht="14.25" customHeight="1">
      <c r="B50" s="70">
        <v>10057</v>
      </c>
      <c r="C50" s="101" t="s">
        <v>419</v>
      </c>
      <c r="D50" s="71" t="s">
        <v>386</v>
      </c>
      <c r="E50" s="72" t="s">
        <v>389</v>
      </c>
      <c r="F50" s="71" t="s">
        <v>388</v>
      </c>
      <c r="G50" s="85">
        <v>1099</v>
      </c>
      <c r="H50" s="75">
        <v>289</v>
      </c>
      <c r="I50" s="75">
        <v>106</v>
      </c>
      <c r="J50" s="76">
        <v>116494</v>
      </c>
      <c r="K50" s="76">
        <v>30634</v>
      </c>
    </row>
    <row r="51" spans="2:11" ht="14.25" customHeight="1">
      <c r="B51" s="77">
        <v>10058</v>
      </c>
      <c r="C51" s="102" t="s">
        <v>420</v>
      </c>
      <c r="D51" s="78" t="s">
        <v>394</v>
      </c>
      <c r="E51" s="79" t="s">
        <v>392</v>
      </c>
      <c r="F51" s="78" t="s">
        <v>396</v>
      </c>
      <c r="G51" s="80">
        <v>599</v>
      </c>
      <c r="H51" s="81">
        <v>299</v>
      </c>
      <c r="I51" s="82">
        <v>272</v>
      </c>
      <c r="J51" s="83">
        <v>162868</v>
      </c>
      <c r="K51" s="83">
        <v>81298</v>
      </c>
    </row>
    <row r="52" spans="2:11" ht="14.25" customHeight="1">
      <c r="B52" s="70">
        <v>10059</v>
      </c>
      <c r="C52" s="101" t="s">
        <v>421</v>
      </c>
      <c r="D52" s="71" t="s">
        <v>398</v>
      </c>
      <c r="E52" s="72" t="s">
        <v>389</v>
      </c>
      <c r="F52" s="71" t="s">
        <v>390</v>
      </c>
      <c r="G52" s="73">
        <v>199</v>
      </c>
      <c r="H52" s="74">
        <v>39</v>
      </c>
      <c r="I52" s="75">
        <v>236</v>
      </c>
      <c r="J52" s="76">
        <v>46964</v>
      </c>
      <c r="K52" s="76">
        <v>9204</v>
      </c>
    </row>
    <row r="53" spans="2:11" ht="14.25" customHeight="1">
      <c r="B53" s="77">
        <v>10060</v>
      </c>
      <c r="C53" s="102">
        <v>44597</v>
      </c>
      <c r="D53" s="78" t="s">
        <v>391</v>
      </c>
      <c r="E53" s="79" t="s">
        <v>392</v>
      </c>
      <c r="F53" s="78" t="s">
        <v>390</v>
      </c>
      <c r="G53" s="80">
        <v>1299</v>
      </c>
      <c r="H53" s="81">
        <v>459</v>
      </c>
      <c r="I53" s="82">
        <v>340</v>
      </c>
      <c r="J53" s="83">
        <v>441400</v>
      </c>
      <c r="K53" s="83">
        <v>155968</v>
      </c>
    </row>
    <row r="54" spans="2:11" ht="14.25" customHeight="1">
      <c r="B54" s="70">
        <v>10061</v>
      </c>
      <c r="C54" s="101">
        <v>44656</v>
      </c>
      <c r="D54" s="71" t="s">
        <v>394</v>
      </c>
      <c r="E54" s="72" t="s">
        <v>392</v>
      </c>
      <c r="F54" s="71" t="s">
        <v>393</v>
      </c>
      <c r="G54" s="73">
        <v>599</v>
      </c>
      <c r="H54" s="74">
        <v>299</v>
      </c>
      <c r="I54" s="75">
        <v>404</v>
      </c>
      <c r="J54" s="76">
        <v>241756</v>
      </c>
      <c r="K54" s="76">
        <v>120676</v>
      </c>
    </row>
    <row r="55" spans="2:11" ht="14.25" customHeight="1">
      <c r="B55" s="77">
        <v>10062</v>
      </c>
      <c r="C55" s="102">
        <v>44717</v>
      </c>
      <c r="D55" s="78" t="s">
        <v>391</v>
      </c>
      <c r="E55" s="79" t="s">
        <v>395</v>
      </c>
      <c r="F55" s="78" t="s">
        <v>393</v>
      </c>
      <c r="G55" s="80">
        <v>1299</v>
      </c>
      <c r="H55" s="81">
        <v>459</v>
      </c>
      <c r="I55" s="82">
        <v>219</v>
      </c>
      <c r="J55" s="83">
        <v>283961</v>
      </c>
      <c r="K55" s="83">
        <v>100337</v>
      </c>
    </row>
    <row r="56" spans="2:11" ht="14.25" customHeight="1">
      <c r="B56" s="70">
        <v>10063</v>
      </c>
      <c r="C56" s="101">
        <v>44778</v>
      </c>
      <c r="D56" s="71" t="s">
        <v>391</v>
      </c>
      <c r="E56" s="72" t="s">
        <v>395</v>
      </c>
      <c r="F56" s="71" t="s">
        <v>390</v>
      </c>
      <c r="G56" s="73">
        <v>1299</v>
      </c>
      <c r="H56" s="74">
        <v>459</v>
      </c>
      <c r="I56" s="75">
        <v>462</v>
      </c>
      <c r="J56" s="76">
        <v>600398</v>
      </c>
      <c r="K56" s="76">
        <v>212150</v>
      </c>
    </row>
    <row r="57" spans="2:11" ht="14.25" customHeight="1">
      <c r="B57" s="77">
        <v>10064</v>
      </c>
      <c r="C57" s="102">
        <v>44839</v>
      </c>
      <c r="D57" s="78" t="s">
        <v>397</v>
      </c>
      <c r="E57" s="79" t="s">
        <v>389</v>
      </c>
      <c r="F57" s="78" t="s">
        <v>393</v>
      </c>
      <c r="G57" s="80">
        <v>449</v>
      </c>
      <c r="H57" s="81">
        <v>159</v>
      </c>
      <c r="I57" s="82">
        <v>211</v>
      </c>
      <c r="J57" s="83">
        <v>94694</v>
      </c>
      <c r="K57" s="83">
        <v>33533</v>
      </c>
    </row>
    <row r="58" spans="2:11" ht="14.25" customHeight="1">
      <c r="B58" s="70">
        <v>10065</v>
      </c>
      <c r="C58" s="101">
        <v>44900</v>
      </c>
      <c r="D58" s="71" t="s">
        <v>397</v>
      </c>
      <c r="E58" s="72" t="s">
        <v>392</v>
      </c>
      <c r="F58" s="71" t="s">
        <v>390</v>
      </c>
      <c r="G58" s="73">
        <v>449</v>
      </c>
      <c r="H58" s="74">
        <v>159</v>
      </c>
      <c r="I58" s="75">
        <v>453</v>
      </c>
      <c r="J58" s="76">
        <v>203577</v>
      </c>
      <c r="K58" s="76">
        <v>72091</v>
      </c>
    </row>
    <row r="59" spans="2:11" ht="14.25" customHeight="1">
      <c r="B59" s="77">
        <v>10066</v>
      </c>
      <c r="C59" s="102" t="s">
        <v>422</v>
      </c>
      <c r="D59" s="78" t="s">
        <v>398</v>
      </c>
      <c r="E59" s="79" t="s">
        <v>395</v>
      </c>
      <c r="F59" s="78" t="s">
        <v>390</v>
      </c>
      <c r="G59" s="80">
        <v>199</v>
      </c>
      <c r="H59" s="81">
        <v>39</v>
      </c>
      <c r="I59" s="82">
        <v>472</v>
      </c>
      <c r="J59" s="83">
        <v>93908</v>
      </c>
      <c r="K59" s="83">
        <v>18404</v>
      </c>
    </row>
    <row r="60" spans="2:11" ht="14.25" customHeight="1">
      <c r="B60" s="70">
        <v>10067</v>
      </c>
      <c r="C60" s="101" t="s">
        <v>423</v>
      </c>
      <c r="D60" s="71" t="s">
        <v>397</v>
      </c>
      <c r="E60" s="72" t="s">
        <v>392</v>
      </c>
      <c r="F60" s="71" t="s">
        <v>390</v>
      </c>
      <c r="G60" s="73">
        <v>449</v>
      </c>
      <c r="H60" s="74">
        <v>159</v>
      </c>
      <c r="I60" s="75">
        <v>128</v>
      </c>
      <c r="J60" s="76">
        <v>57607</v>
      </c>
      <c r="K60" s="76">
        <v>20400</v>
      </c>
    </row>
    <row r="61" spans="2:11" ht="14.25" customHeight="1">
      <c r="B61" s="77">
        <v>10068</v>
      </c>
      <c r="C61" s="102" t="s">
        <v>424</v>
      </c>
      <c r="D61" s="78" t="s">
        <v>394</v>
      </c>
      <c r="E61" s="79" t="s">
        <v>389</v>
      </c>
      <c r="F61" s="78" t="s">
        <v>390</v>
      </c>
      <c r="G61" s="80">
        <v>599</v>
      </c>
      <c r="H61" s="81">
        <v>299</v>
      </c>
      <c r="I61" s="82">
        <v>198</v>
      </c>
      <c r="J61" s="83">
        <v>118722</v>
      </c>
      <c r="K61" s="83">
        <v>59262</v>
      </c>
    </row>
    <row r="62" spans="2:11" ht="14.25" customHeight="1">
      <c r="B62" s="70">
        <v>10069</v>
      </c>
      <c r="C62" s="101" t="s">
        <v>425</v>
      </c>
      <c r="D62" s="71" t="s">
        <v>394</v>
      </c>
      <c r="E62" s="72" t="s">
        <v>392</v>
      </c>
      <c r="F62" s="71" t="s">
        <v>390</v>
      </c>
      <c r="G62" s="73">
        <v>599</v>
      </c>
      <c r="H62" s="74">
        <v>299</v>
      </c>
      <c r="I62" s="75">
        <v>300</v>
      </c>
      <c r="J62" s="76">
        <v>179880</v>
      </c>
      <c r="K62" s="76">
        <v>89790</v>
      </c>
    </row>
    <row r="63" spans="2:11" ht="14.25" customHeight="1">
      <c r="B63" s="77">
        <v>10070</v>
      </c>
      <c r="C63" s="102" t="s">
        <v>426</v>
      </c>
      <c r="D63" s="78" t="s">
        <v>386</v>
      </c>
      <c r="E63" s="79" t="s">
        <v>395</v>
      </c>
      <c r="F63" s="78" t="s">
        <v>390</v>
      </c>
      <c r="G63" s="84">
        <v>1099</v>
      </c>
      <c r="H63" s="82">
        <v>289</v>
      </c>
      <c r="I63" s="82">
        <v>129</v>
      </c>
      <c r="J63" s="83">
        <v>142211</v>
      </c>
      <c r="K63" s="83">
        <v>37397</v>
      </c>
    </row>
    <row r="64" spans="2:11" ht="14.25" customHeight="1">
      <c r="B64" s="70">
        <v>10071</v>
      </c>
      <c r="C64" s="101" t="s">
        <v>427</v>
      </c>
      <c r="D64" s="71" t="s">
        <v>386</v>
      </c>
      <c r="E64" s="72" t="s">
        <v>392</v>
      </c>
      <c r="F64" s="71" t="s">
        <v>390</v>
      </c>
      <c r="G64" s="85">
        <v>1099</v>
      </c>
      <c r="H64" s="75">
        <v>289</v>
      </c>
      <c r="I64" s="75">
        <v>342</v>
      </c>
      <c r="J64" s="76">
        <v>375528</v>
      </c>
      <c r="K64" s="76">
        <v>98751</v>
      </c>
    </row>
    <row r="65" spans="2:11" ht="14.25" customHeight="1">
      <c r="B65" s="77">
        <v>10072</v>
      </c>
      <c r="C65" s="102" t="s">
        <v>428</v>
      </c>
      <c r="D65" s="78" t="s">
        <v>394</v>
      </c>
      <c r="E65" s="79" t="s">
        <v>389</v>
      </c>
      <c r="F65" s="78" t="s">
        <v>388</v>
      </c>
      <c r="G65" s="80">
        <v>599</v>
      </c>
      <c r="H65" s="81">
        <v>299</v>
      </c>
      <c r="I65" s="82">
        <v>156</v>
      </c>
      <c r="J65" s="83">
        <v>93204</v>
      </c>
      <c r="K65" s="83">
        <v>46524</v>
      </c>
    </row>
    <row r="66" spans="2:11" ht="14.25" customHeight="1">
      <c r="B66" s="70">
        <v>10073</v>
      </c>
      <c r="C66" s="101" t="s">
        <v>429</v>
      </c>
      <c r="D66" s="71" t="s">
        <v>391</v>
      </c>
      <c r="E66" s="72" t="s">
        <v>392</v>
      </c>
      <c r="F66" s="71" t="s">
        <v>388</v>
      </c>
      <c r="G66" s="73">
        <v>1299</v>
      </c>
      <c r="H66" s="74">
        <v>459</v>
      </c>
      <c r="I66" s="75">
        <v>318</v>
      </c>
      <c r="J66" s="76">
        <v>413602</v>
      </c>
      <c r="K66" s="76">
        <v>146146</v>
      </c>
    </row>
    <row r="67" spans="2:11" ht="14.25" customHeight="1">
      <c r="B67" s="77">
        <v>10074</v>
      </c>
      <c r="C67" s="102" t="s">
        <v>430</v>
      </c>
      <c r="D67" s="78" t="s">
        <v>398</v>
      </c>
      <c r="E67" s="79" t="s">
        <v>395</v>
      </c>
      <c r="F67" s="78" t="s">
        <v>388</v>
      </c>
      <c r="G67" s="80">
        <v>199</v>
      </c>
      <c r="H67" s="81">
        <v>39</v>
      </c>
      <c r="I67" s="82">
        <v>308</v>
      </c>
      <c r="J67" s="83">
        <v>61212</v>
      </c>
      <c r="K67" s="83">
        <v>11996</v>
      </c>
    </row>
    <row r="68" spans="2:11" ht="14.25" customHeight="1">
      <c r="B68" s="70">
        <v>10075</v>
      </c>
      <c r="C68" s="101">
        <v>44567</v>
      </c>
      <c r="D68" s="71" t="s">
        <v>391</v>
      </c>
      <c r="E68" s="72" t="s">
        <v>392</v>
      </c>
      <c r="F68" s="71" t="s">
        <v>388</v>
      </c>
      <c r="G68" s="73">
        <v>1299</v>
      </c>
      <c r="H68" s="74">
        <v>459</v>
      </c>
      <c r="I68" s="75">
        <v>187</v>
      </c>
      <c r="J68" s="76">
        <v>243303</v>
      </c>
      <c r="K68" s="76">
        <v>85971</v>
      </c>
    </row>
    <row r="69" spans="2:11" ht="14.25" customHeight="1">
      <c r="B69" s="77">
        <v>10076</v>
      </c>
      <c r="C69" s="102">
        <v>44626</v>
      </c>
      <c r="D69" s="78" t="s">
        <v>398</v>
      </c>
      <c r="E69" s="79" t="s">
        <v>389</v>
      </c>
      <c r="F69" s="78" t="s">
        <v>388</v>
      </c>
      <c r="G69" s="80">
        <v>199</v>
      </c>
      <c r="H69" s="81">
        <v>39</v>
      </c>
      <c r="I69" s="82">
        <v>157</v>
      </c>
      <c r="J69" s="83">
        <v>31323</v>
      </c>
      <c r="K69" s="83">
        <v>6139</v>
      </c>
    </row>
    <row r="70" spans="2:11" ht="14.25" customHeight="1">
      <c r="B70" s="70">
        <v>10077</v>
      </c>
      <c r="C70" s="101">
        <v>44687</v>
      </c>
      <c r="D70" s="71" t="s">
        <v>397</v>
      </c>
      <c r="E70" s="72" t="s">
        <v>392</v>
      </c>
      <c r="F70" s="71" t="s">
        <v>388</v>
      </c>
      <c r="G70" s="73">
        <v>449</v>
      </c>
      <c r="H70" s="74">
        <v>159</v>
      </c>
      <c r="I70" s="75">
        <v>219</v>
      </c>
      <c r="J70" s="76">
        <v>98466</v>
      </c>
      <c r="K70" s="76">
        <v>34869</v>
      </c>
    </row>
    <row r="71" spans="2:11" ht="14.25" customHeight="1">
      <c r="B71" s="77">
        <v>10078</v>
      </c>
      <c r="C71" s="102">
        <v>44748</v>
      </c>
      <c r="D71" s="78" t="s">
        <v>398</v>
      </c>
      <c r="E71" s="79" t="s">
        <v>395</v>
      </c>
      <c r="F71" s="78" t="s">
        <v>393</v>
      </c>
      <c r="G71" s="80">
        <v>199</v>
      </c>
      <c r="H71" s="81">
        <v>39</v>
      </c>
      <c r="I71" s="82">
        <v>133</v>
      </c>
      <c r="J71" s="83">
        <v>26467</v>
      </c>
      <c r="K71" s="83">
        <v>5187</v>
      </c>
    </row>
    <row r="72" spans="2:11" ht="14.25" customHeight="1">
      <c r="B72" s="70">
        <v>10079</v>
      </c>
      <c r="C72" s="101">
        <v>44810</v>
      </c>
      <c r="D72" s="71" t="s">
        <v>391</v>
      </c>
      <c r="E72" s="72" t="s">
        <v>395</v>
      </c>
      <c r="F72" s="71" t="s">
        <v>393</v>
      </c>
      <c r="G72" s="73">
        <v>1299</v>
      </c>
      <c r="H72" s="74">
        <v>459</v>
      </c>
      <c r="I72" s="75">
        <v>358</v>
      </c>
      <c r="J72" s="76">
        <v>464522</v>
      </c>
      <c r="K72" s="76">
        <v>164138</v>
      </c>
    </row>
    <row r="73" spans="2:11" ht="14.25" customHeight="1">
      <c r="B73" s="77">
        <v>10080</v>
      </c>
      <c r="C73" s="102">
        <v>44871</v>
      </c>
      <c r="D73" s="78" t="s">
        <v>398</v>
      </c>
      <c r="E73" s="79" t="s">
        <v>387</v>
      </c>
      <c r="F73" s="78" t="s">
        <v>388</v>
      </c>
      <c r="G73" s="80">
        <v>199</v>
      </c>
      <c r="H73" s="81">
        <v>39</v>
      </c>
      <c r="I73" s="82">
        <v>401</v>
      </c>
      <c r="J73" s="83">
        <v>79719</v>
      </c>
      <c r="K73" s="83">
        <v>15623</v>
      </c>
    </row>
    <row r="74" spans="2:11" ht="14.25" customHeight="1">
      <c r="B74" s="70">
        <v>10081</v>
      </c>
      <c r="C74" s="101" t="s">
        <v>431</v>
      </c>
      <c r="D74" s="71" t="s">
        <v>398</v>
      </c>
      <c r="E74" s="72" t="s">
        <v>395</v>
      </c>
      <c r="F74" s="71" t="s">
        <v>390</v>
      </c>
      <c r="G74" s="73">
        <v>199</v>
      </c>
      <c r="H74" s="74">
        <v>39</v>
      </c>
      <c r="I74" s="75">
        <v>433</v>
      </c>
      <c r="J74" s="76">
        <v>86187</v>
      </c>
      <c r="K74" s="76">
        <v>16891</v>
      </c>
    </row>
    <row r="75" spans="2:11" ht="14.25" customHeight="1">
      <c r="B75" s="77">
        <v>10082</v>
      </c>
      <c r="C75" s="102" t="s">
        <v>432</v>
      </c>
      <c r="D75" s="78" t="s">
        <v>386</v>
      </c>
      <c r="E75" s="79" t="s">
        <v>389</v>
      </c>
      <c r="F75" s="78" t="s">
        <v>390</v>
      </c>
      <c r="G75" s="84">
        <v>1099</v>
      </c>
      <c r="H75" s="82">
        <v>289</v>
      </c>
      <c r="I75" s="82">
        <v>206</v>
      </c>
      <c r="J75" s="83">
        <v>226284</v>
      </c>
      <c r="K75" s="83">
        <v>59505</v>
      </c>
    </row>
    <row r="76" spans="2:11" ht="14.25" customHeight="1">
      <c r="B76" s="70">
        <v>10083</v>
      </c>
      <c r="C76" s="101" t="s">
        <v>433</v>
      </c>
      <c r="D76" s="71" t="s">
        <v>398</v>
      </c>
      <c r="E76" s="72" t="s">
        <v>389</v>
      </c>
      <c r="F76" s="71" t="s">
        <v>390</v>
      </c>
      <c r="G76" s="73">
        <v>199</v>
      </c>
      <c r="H76" s="74">
        <v>39</v>
      </c>
      <c r="I76" s="75">
        <v>436</v>
      </c>
      <c r="J76" s="76">
        <v>86764</v>
      </c>
      <c r="K76" s="76">
        <v>17004</v>
      </c>
    </row>
    <row r="77" spans="2:11" ht="14.25" customHeight="1">
      <c r="B77" s="77">
        <v>10084</v>
      </c>
      <c r="C77" s="102" t="s">
        <v>434</v>
      </c>
      <c r="D77" s="78" t="s">
        <v>394</v>
      </c>
      <c r="E77" s="79" t="s">
        <v>387</v>
      </c>
      <c r="F77" s="78" t="s">
        <v>390</v>
      </c>
      <c r="G77" s="80">
        <v>599</v>
      </c>
      <c r="H77" s="81">
        <v>299</v>
      </c>
      <c r="I77" s="82">
        <v>115</v>
      </c>
      <c r="J77" s="83">
        <v>68705</v>
      </c>
      <c r="K77" s="83">
        <v>34295</v>
      </c>
    </row>
    <row r="78" spans="2:11" ht="14.25" customHeight="1">
      <c r="B78" s="70">
        <v>10085</v>
      </c>
      <c r="C78" s="101" t="s">
        <v>435</v>
      </c>
      <c r="D78" s="71" t="s">
        <v>386</v>
      </c>
      <c r="E78" s="72" t="s">
        <v>387</v>
      </c>
      <c r="F78" s="71" t="s">
        <v>390</v>
      </c>
      <c r="G78" s="85">
        <v>1099</v>
      </c>
      <c r="H78" s="75">
        <v>289</v>
      </c>
      <c r="I78" s="75">
        <v>214</v>
      </c>
      <c r="J78" s="76">
        <v>234966</v>
      </c>
      <c r="K78" s="76">
        <v>61788</v>
      </c>
    </row>
    <row r="79" spans="2:11" ht="14.25" customHeight="1">
      <c r="B79" s="77">
        <v>10086</v>
      </c>
      <c r="C79" s="102" t="s">
        <v>436</v>
      </c>
      <c r="D79" s="78" t="s">
        <v>391</v>
      </c>
      <c r="E79" s="79" t="s">
        <v>387</v>
      </c>
      <c r="F79" s="78" t="s">
        <v>390</v>
      </c>
      <c r="G79" s="80">
        <v>1299</v>
      </c>
      <c r="H79" s="81">
        <v>459</v>
      </c>
      <c r="I79" s="82">
        <v>124</v>
      </c>
      <c r="J79" s="83">
        <v>161076</v>
      </c>
      <c r="K79" s="83">
        <v>56916</v>
      </c>
    </row>
    <row r="80" spans="2:11" ht="14.25" customHeight="1">
      <c r="B80" s="70">
        <v>10087</v>
      </c>
      <c r="C80" s="101" t="s">
        <v>437</v>
      </c>
      <c r="D80" s="71" t="s">
        <v>398</v>
      </c>
      <c r="E80" s="72" t="s">
        <v>389</v>
      </c>
      <c r="F80" s="71" t="s">
        <v>390</v>
      </c>
      <c r="G80" s="73">
        <v>199</v>
      </c>
      <c r="H80" s="74">
        <v>39</v>
      </c>
      <c r="I80" s="75">
        <v>285</v>
      </c>
      <c r="J80" s="76">
        <v>56735</v>
      </c>
      <c r="K80" s="76">
        <v>11119</v>
      </c>
    </row>
    <row r="81" spans="2:11" ht="14.25" customHeight="1">
      <c r="B81" s="77">
        <v>10088</v>
      </c>
      <c r="C81" s="102" t="s">
        <v>438</v>
      </c>
      <c r="D81" s="78" t="s">
        <v>398</v>
      </c>
      <c r="E81" s="79" t="s">
        <v>395</v>
      </c>
      <c r="F81" s="78" t="s">
        <v>390</v>
      </c>
      <c r="G81" s="80">
        <v>199</v>
      </c>
      <c r="H81" s="81">
        <v>39</v>
      </c>
      <c r="I81" s="82">
        <v>229</v>
      </c>
      <c r="J81" s="83">
        <v>45551</v>
      </c>
      <c r="K81" s="83">
        <v>8927</v>
      </c>
    </row>
    <row r="82" spans="2:11" ht="14.25" customHeight="1">
      <c r="B82" s="70">
        <v>10089</v>
      </c>
      <c r="C82" s="101" t="s">
        <v>439</v>
      </c>
      <c r="D82" s="71" t="s">
        <v>398</v>
      </c>
      <c r="E82" s="72" t="s">
        <v>389</v>
      </c>
      <c r="F82" s="71" t="s">
        <v>390</v>
      </c>
      <c r="G82" s="73">
        <v>199</v>
      </c>
      <c r="H82" s="74">
        <v>39</v>
      </c>
      <c r="I82" s="75">
        <v>361</v>
      </c>
      <c r="J82" s="76">
        <v>71839</v>
      </c>
      <c r="K82" s="76">
        <v>14079</v>
      </c>
    </row>
    <row r="83" spans="2:11" ht="14.25" customHeight="1">
      <c r="B83" s="77">
        <v>10090</v>
      </c>
      <c r="C83" s="102">
        <v>44568</v>
      </c>
      <c r="D83" s="78" t="s">
        <v>386</v>
      </c>
      <c r="E83" s="79" t="s">
        <v>389</v>
      </c>
      <c r="F83" s="78" t="s">
        <v>388</v>
      </c>
      <c r="G83" s="84">
        <v>1099</v>
      </c>
      <c r="H83" s="82">
        <v>289</v>
      </c>
      <c r="I83" s="82">
        <v>426</v>
      </c>
      <c r="J83" s="83">
        <v>467844</v>
      </c>
      <c r="K83" s="83">
        <v>123027</v>
      </c>
    </row>
    <row r="84" spans="2:11" ht="14.25" customHeight="1">
      <c r="B84" s="70">
        <v>10091</v>
      </c>
      <c r="C84" s="101">
        <v>44627</v>
      </c>
      <c r="D84" s="71" t="s">
        <v>398</v>
      </c>
      <c r="E84" s="72" t="s">
        <v>389</v>
      </c>
      <c r="F84" s="71" t="s">
        <v>390</v>
      </c>
      <c r="G84" s="73">
        <v>199</v>
      </c>
      <c r="H84" s="74">
        <v>39</v>
      </c>
      <c r="I84" s="75">
        <v>233</v>
      </c>
      <c r="J84" s="76">
        <v>46427</v>
      </c>
      <c r="K84" s="76">
        <v>9099</v>
      </c>
    </row>
    <row r="85" spans="2:11" ht="14.25" customHeight="1">
      <c r="B85" s="77">
        <v>10092</v>
      </c>
      <c r="C85" s="102">
        <v>44688</v>
      </c>
      <c r="D85" s="78" t="s">
        <v>394</v>
      </c>
      <c r="E85" s="79" t="s">
        <v>395</v>
      </c>
      <c r="F85" s="78" t="s">
        <v>388</v>
      </c>
      <c r="G85" s="80">
        <v>599</v>
      </c>
      <c r="H85" s="81">
        <v>299</v>
      </c>
      <c r="I85" s="82">
        <v>381</v>
      </c>
      <c r="J85" s="83">
        <v>228339</v>
      </c>
      <c r="K85" s="83">
        <v>113979</v>
      </c>
    </row>
    <row r="86" spans="2:11" ht="14.25" customHeight="1">
      <c r="B86" s="70">
        <v>10093</v>
      </c>
      <c r="C86" s="101">
        <v>44749</v>
      </c>
      <c r="D86" s="71" t="s">
        <v>391</v>
      </c>
      <c r="E86" s="72" t="s">
        <v>392</v>
      </c>
      <c r="F86" s="71" t="s">
        <v>390</v>
      </c>
      <c r="G86" s="73">
        <v>1299</v>
      </c>
      <c r="H86" s="74">
        <v>459</v>
      </c>
      <c r="I86" s="75">
        <v>415</v>
      </c>
      <c r="J86" s="76">
        <v>539475</v>
      </c>
      <c r="K86" s="76">
        <v>190623</v>
      </c>
    </row>
    <row r="87" spans="2:11" ht="14.25" customHeight="1">
      <c r="B87" s="77">
        <v>10094</v>
      </c>
      <c r="C87" s="102">
        <v>44811</v>
      </c>
      <c r="D87" s="78" t="s">
        <v>386</v>
      </c>
      <c r="E87" s="79" t="s">
        <v>392</v>
      </c>
      <c r="F87" s="78" t="s">
        <v>393</v>
      </c>
      <c r="G87" s="84">
        <v>1099</v>
      </c>
      <c r="H87" s="82">
        <v>289</v>
      </c>
      <c r="I87" s="82">
        <v>250</v>
      </c>
      <c r="J87" s="83">
        <v>275190</v>
      </c>
      <c r="K87" s="83">
        <v>72366</v>
      </c>
    </row>
    <row r="88" spans="2:11" ht="14.25" customHeight="1">
      <c r="B88" s="70">
        <v>10095</v>
      </c>
      <c r="C88" s="101">
        <v>44872</v>
      </c>
      <c r="D88" s="71" t="s">
        <v>397</v>
      </c>
      <c r="E88" s="72" t="s">
        <v>392</v>
      </c>
      <c r="F88" s="71" t="s">
        <v>396</v>
      </c>
      <c r="G88" s="73">
        <v>449</v>
      </c>
      <c r="H88" s="74">
        <v>159</v>
      </c>
      <c r="I88" s="75">
        <v>280</v>
      </c>
      <c r="J88" s="76">
        <v>125765</v>
      </c>
      <c r="K88" s="76">
        <v>44536</v>
      </c>
    </row>
    <row r="89" spans="2:11" ht="14.25" customHeight="1">
      <c r="B89" s="77">
        <v>10096</v>
      </c>
      <c r="C89" s="102" t="s">
        <v>440</v>
      </c>
      <c r="D89" s="78" t="s">
        <v>398</v>
      </c>
      <c r="E89" s="79" t="s">
        <v>392</v>
      </c>
      <c r="F89" s="78" t="s">
        <v>390</v>
      </c>
      <c r="G89" s="80">
        <v>199</v>
      </c>
      <c r="H89" s="81">
        <v>39</v>
      </c>
      <c r="I89" s="82">
        <v>215</v>
      </c>
      <c r="J89" s="83">
        <v>42765</v>
      </c>
      <c r="K89" s="83">
        <v>8381</v>
      </c>
    </row>
    <row r="90" spans="2:11" ht="14.25" customHeight="1">
      <c r="B90" s="70">
        <v>10097</v>
      </c>
      <c r="C90" s="101" t="s">
        <v>441</v>
      </c>
      <c r="D90" s="71" t="s">
        <v>394</v>
      </c>
      <c r="E90" s="72" t="s">
        <v>392</v>
      </c>
      <c r="F90" s="71" t="s">
        <v>390</v>
      </c>
      <c r="G90" s="73">
        <v>599</v>
      </c>
      <c r="H90" s="74">
        <v>299</v>
      </c>
      <c r="I90" s="75">
        <v>319</v>
      </c>
      <c r="J90" s="76">
        <v>191201</v>
      </c>
      <c r="K90" s="76">
        <v>95441</v>
      </c>
    </row>
    <row r="91" spans="2:11" ht="14.25" customHeight="1">
      <c r="B91" s="77">
        <v>10098</v>
      </c>
      <c r="C91" s="102" t="s">
        <v>442</v>
      </c>
      <c r="D91" s="78" t="s">
        <v>391</v>
      </c>
      <c r="E91" s="79" t="s">
        <v>389</v>
      </c>
      <c r="F91" s="78" t="s">
        <v>396</v>
      </c>
      <c r="G91" s="80">
        <v>1299</v>
      </c>
      <c r="H91" s="81">
        <v>459</v>
      </c>
      <c r="I91" s="82">
        <v>210</v>
      </c>
      <c r="J91" s="83">
        <v>272660</v>
      </c>
      <c r="K91" s="83">
        <v>96344</v>
      </c>
    </row>
    <row r="92" spans="2:11" ht="14.25" customHeight="1">
      <c r="B92" s="70">
        <v>10099</v>
      </c>
      <c r="C92" s="101" t="s">
        <v>443</v>
      </c>
      <c r="D92" s="71" t="s">
        <v>386</v>
      </c>
      <c r="E92" s="72" t="s">
        <v>387</v>
      </c>
      <c r="F92" s="71" t="s">
        <v>390</v>
      </c>
      <c r="G92" s="85">
        <v>1099</v>
      </c>
      <c r="H92" s="75">
        <v>289</v>
      </c>
      <c r="I92" s="75">
        <v>198</v>
      </c>
      <c r="J92" s="76">
        <v>217492</v>
      </c>
      <c r="K92" s="76">
        <v>57193</v>
      </c>
    </row>
    <row r="93" spans="2:11" ht="14.25" customHeight="1">
      <c r="B93" s="77">
        <v>10100</v>
      </c>
      <c r="C93" s="102" t="s">
        <v>444</v>
      </c>
      <c r="D93" s="78" t="s">
        <v>386</v>
      </c>
      <c r="E93" s="79" t="s">
        <v>387</v>
      </c>
      <c r="F93" s="78" t="s">
        <v>390</v>
      </c>
      <c r="G93" s="84">
        <v>1099</v>
      </c>
      <c r="H93" s="82">
        <v>289</v>
      </c>
      <c r="I93" s="82">
        <v>122</v>
      </c>
      <c r="J93" s="83">
        <v>134298</v>
      </c>
      <c r="K93" s="83">
        <v>35316</v>
      </c>
    </row>
    <row r="94" spans="2:11" ht="14.25" customHeight="1">
      <c r="B94" s="70">
        <v>10101</v>
      </c>
      <c r="C94" s="101" t="s">
        <v>445</v>
      </c>
      <c r="D94" s="71" t="s">
        <v>398</v>
      </c>
      <c r="E94" s="72" t="s">
        <v>389</v>
      </c>
      <c r="F94" s="71" t="s">
        <v>390</v>
      </c>
      <c r="G94" s="73">
        <v>199</v>
      </c>
      <c r="H94" s="74">
        <v>39</v>
      </c>
      <c r="I94" s="75">
        <v>379</v>
      </c>
      <c r="J94" s="76">
        <v>75481</v>
      </c>
      <c r="K94" s="76">
        <v>14793</v>
      </c>
    </row>
    <row r="95" spans="2:11" ht="14.25" customHeight="1">
      <c r="B95" s="77">
        <v>10102</v>
      </c>
      <c r="C95" s="102" t="s">
        <v>446</v>
      </c>
      <c r="D95" s="78" t="s">
        <v>397</v>
      </c>
      <c r="E95" s="79" t="s">
        <v>392</v>
      </c>
      <c r="F95" s="78" t="s">
        <v>396</v>
      </c>
      <c r="G95" s="80">
        <v>449</v>
      </c>
      <c r="H95" s="81">
        <v>159</v>
      </c>
      <c r="I95" s="82">
        <v>121</v>
      </c>
      <c r="J95" s="83">
        <v>54239</v>
      </c>
      <c r="K95" s="83">
        <v>19207</v>
      </c>
    </row>
    <row r="96" spans="2:11" ht="14.25" customHeight="1">
      <c r="B96" s="70">
        <v>10103</v>
      </c>
      <c r="C96" s="101" t="s">
        <v>447</v>
      </c>
      <c r="D96" s="71" t="s">
        <v>397</v>
      </c>
      <c r="E96" s="72" t="s">
        <v>395</v>
      </c>
      <c r="F96" s="71" t="s">
        <v>390</v>
      </c>
      <c r="G96" s="73">
        <v>449</v>
      </c>
      <c r="H96" s="74">
        <v>159</v>
      </c>
      <c r="I96" s="75">
        <v>454</v>
      </c>
      <c r="J96" s="76">
        <v>203981</v>
      </c>
      <c r="K96" s="76">
        <v>72234</v>
      </c>
    </row>
    <row r="97" spans="2:11" ht="14.25" customHeight="1">
      <c r="B97" s="77">
        <v>10104</v>
      </c>
      <c r="C97" s="102" t="s">
        <v>448</v>
      </c>
      <c r="D97" s="78" t="s">
        <v>386</v>
      </c>
      <c r="E97" s="79" t="s">
        <v>395</v>
      </c>
      <c r="F97" s="78" t="s">
        <v>396</v>
      </c>
      <c r="G97" s="80">
        <v>199</v>
      </c>
      <c r="H97" s="81">
        <v>39</v>
      </c>
      <c r="I97" s="82">
        <v>246</v>
      </c>
      <c r="J97" s="83">
        <v>48914</v>
      </c>
      <c r="K97" s="83">
        <v>9586</v>
      </c>
    </row>
    <row r="98" spans="2:11" ht="14.25" customHeight="1">
      <c r="B98" s="70">
        <v>10105</v>
      </c>
      <c r="C98" s="101" t="s">
        <v>449</v>
      </c>
      <c r="D98" s="71" t="s">
        <v>386</v>
      </c>
      <c r="E98" s="72" t="s">
        <v>395</v>
      </c>
      <c r="F98" s="71" t="s">
        <v>396</v>
      </c>
      <c r="G98" s="73">
        <v>199</v>
      </c>
      <c r="H98" s="74">
        <v>39</v>
      </c>
      <c r="I98" s="75">
        <v>315</v>
      </c>
      <c r="J98" s="76">
        <v>62705</v>
      </c>
      <c r="K98" s="76">
        <v>12289</v>
      </c>
    </row>
    <row r="99" spans="2:11" ht="14.25" customHeight="1">
      <c r="B99" s="77">
        <v>10106</v>
      </c>
      <c r="C99" s="102">
        <v>44600</v>
      </c>
      <c r="D99" s="78" t="s">
        <v>391</v>
      </c>
      <c r="E99" s="79" t="s">
        <v>395</v>
      </c>
      <c r="F99" s="78" t="s">
        <v>396</v>
      </c>
      <c r="G99" s="84">
        <v>1099</v>
      </c>
      <c r="H99" s="82">
        <v>289</v>
      </c>
      <c r="I99" s="82">
        <v>142</v>
      </c>
      <c r="J99" s="83">
        <v>156498</v>
      </c>
      <c r="K99" s="83">
        <v>41154</v>
      </c>
    </row>
    <row r="100" spans="2:11" ht="14.25" customHeight="1">
      <c r="B100" s="70">
        <v>10107</v>
      </c>
      <c r="C100" s="101">
        <v>44659</v>
      </c>
      <c r="D100" s="71" t="s">
        <v>394</v>
      </c>
      <c r="E100" s="72" t="s">
        <v>387</v>
      </c>
      <c r="F100" s="71" t="s">
        <v>393</v>
      </c>
      <c r="G100" s="73">
        <v>449</v>
      </c>
      <c r="H100" s="74">
        <v>159</v>
      </c>
      <c r="I100" s="75">
        <v>311</v>
      </c>
      <c r="J100" s="76">
        <v>139639</v>
      </c>
      <c r="K100" s="76">
        <v>49449</v>
      </c>
    </row>
    <row r="101" spans="2:11" ht="14.25" customHeight="1">
      <c r="B101" s="77">
        <v>10108</v>
      </c>
      <c r="C101" s="102">
        <v>44659</v>
      </c>
      <c r="D101" s="78" t="s">
        <v>397</v>
      </c>
      <c r="E101" s="79" t="s">
        <v>389</v>
      </c>
      <c r="F101" s="78" t="s">
        <v>393</v>
      </c>
      <c r="G101" s="80">
        <v>599</v>
      </c>
      <c r="H101" s="81">
        <v>299</v>
      </c>
      <c r="I101" s="82">
        <v>378</v>
      </c>
      <c r="J101" s="83">
        <v>226542</v>
      </c>
      <c r="K101" s="83">
        <v>113082</v>
      </c>
    </row>
    <row r="102" spans="2:11" ht="14.25" customHeight="1">
      <c r="B102" s="70">
        <v>10109</v>
      </c>
      <c r="C102" s="101">
        <v>44659</v>
      </c>
      <c r="D102" s="71" t="s">
        <v>398</v>
      </c>
      <c r="E102" s="72" t="s">
        <v>392</v>
      </c>
      <c r="F102" s="71" t="s">
        <v>396</v>
      </c>
      <c r="G102" s="73">
        <v>449</v>
      </c>
      <c r="H102" s="74">
        <v>159</v>
      </c>
      <c r="I102" s="75">
        <v>292</v>
      </c>
      <c r="J102" s="76">
        <v>131063</v>
      </c>
      <c r="K102" s="76">
        <v>46412</v>
      </c>
    </row>
    <row r="103" spans="2:11" ht="14.25" customHeight="1">
      <c r="B103" s="77">
        <v>10110</v>
      </c>
      <c r="C103" s="102">
        <v>44659</v>
      </c>
      <c r="D103" s="78" t="s">
        <v>398</v>
      </c>
      <c r="E103" s="79" t="s">
        <v>392</v>
      </c>
      <c r="F103" s="78" t="s">
        <v>388</v>
      </c>
      <c r="G103" s="84">
        <v>1099</v>
      </c>
      <c r="H103" s="82">
        <v>289</v>
      </c>
      <c r="I103" s="82">
        <v>479</v>
      </c>
      <c r="J103" s="83">
        <v>526751</v>
      </c>
      <c r="K103" s="83">
        <v>138518</v>
      </c>
    </row>
    <row r="104" spans="2:11" ht="14.25" customHeight="1">
      <c r="B104" s="70">
        <v>10111</v>
      </c>
      <c r="C104" s="101">
        <v>44659</v>
      </c>
      <c r="D104" s="71" t="s">
        <v>398</v>
      </c>
      <c r="E104" s="72" t="s">
        <v>392</v>
      </c>
      <c r="F104" s="71" t="s">
        <v>390</v>
      </c>
      <c r="G104" s="73">
        <v>449</v>
      </c>
      <c r="H104" s="74">
        <v>159</v>
      </c>
      <c r="I104" s="75">
        <v>115</v>
      </c>
      <c r="J104" s="76">
        <v>51680</v>
      </c>
      <c r="K104" s="76">
        <v>18301</v>
      </c>
    </row>
    <row r="105" spans="2:11" ht="14.25" customHeight="1">
      <c r="B105" s="77">
        <v>10112</v>
      </c>
      <c r="C105" s="102">
        <v>44659</v>
      </c>
      <c r="D105" s="78" t="s">
        <v>386</v>
      </c>
      <c r="E105" s="79" t="s">
        <v>387</v>
      </c>
      <c r="F105" s="78" t="s">
        <v>393</v>
      </c>
      <c r="G105" s="84">
        <v>1099</v>
      </c>
      <c r="H105" s="82">
        <v>289</v>
      </c>
      <c r="I105" s="82">
        <v>348</v>
      </c>
      <c r="J105" s="83">
        <v>382232</v>
      </c>
      <c r="K105" s="83">
        <v>100514</v>
      </c>
    </row>
    <row r="106" spans="2:11" ht="14.25" customHeight="1">
      <c r="B106" s="70">
        <v>10113</v>
      </c>
      <c r="C106" s="101">
        <v>44659</v>
      </c>
      <c r="D106" s="71" t="s">
        <v>391</v>
      </c>
      <c r="E106" s="72" t="s">
        <v>389</v>
      </c>
      <c r="F106" s="71" t="s">
        <v>396</v>
      </c>
      <c r="G106" s="73">
        <v>1299</v>
      </c>
      <c r="H106" s="74">
        <v>459</v>
      </c>
      <c r="I106" s="75">
        <v>222</v>
      </c>
      <c r="J106" s="76">
        <v>288898</v>
      </c>
      <c r="K106" s="76">
        <v>102082</v>
      </c>
    </row>
    <row r="107" spans="2:11" ht="14.25" customHeight="1">
      <c r="B107" s="77">
        <v>10114</v>
      </c>
      <c r="C107" s="102">
        <v>44659</v>
      </c>
      <c r="D107" s="78" t="s">
        <v>391</v>
      </c>
      <c r="E107" s="79" t="s">
        <v>392</v>
      </c>
      <c r="F107" s="78" t="s">
        <v>393</v>
      </c>
      <c r="G107" s="84">
        <v>1099</v>
      </c>
      <c r="H107" s="82">
        <v>289</v>
      </c>
      <c r="I107" s="82">
        <v>277</v>
      </c>
      <c r="J107" s="83">
        <v>303874</v>
      </c>
      <c r="K107" s="83">
        <v>79909</v>
      </c>
    </row>
    <row r="108" spans="2:11" ht="14.25" customHeight="1">
      <c r="B108" s="70">
        <v>10115</v>
      </c>
      <c r="C108" s="101">
        <v>44659</v>
      </c>
      <c r="D108" s="71" t="s">
        <v>398</v>
      </c>
      <c r="E108" s="72" t="s">
        <v>392</v>
      </c>
      <c r="F108" s="71" t="s">
        <v>393</v>
      </c>
      <c r="G108" s="85">
        <v>1099</v>
      </c>
      <c r="H108" s="75">
        <v>289</v>
      </c>
      <c r="I108" s="75">
        <v>151</v>
      </c>
      <c r="J108" s="76">
        <v>166169</v>
      </c>
      <c r="K108" s="76">
        <v>43697</v>
      </c>
    </row>
    <row r="109" spans="2:11" ht="14.25" customHeight="1">
      <c r="B109" s="77">
        <v>10116</v>
      </c>
      <c r="C109" s="102">
        <v>44659</v>
      </c>
      <c r="D109" s="78" t="s">
        <v>386</v>
      </c>
      <c r="E109" s="79" t="s">
        <v>392</v>
      </c>
      <c r="F109" s="78" t="s">
        <v>388</v>
      </c>
      <c r="G109" s="80">
        <v>199</v>
      </c>
      <c r="H109" s="81">
        <v>39</v>
      </c>
      <c r="I109" s="82">
        <v>172</v>
      </c>
      <c r="J109" s="83">
        <v>34148</v>
      </c>
      <c r="K109" s="83">
        <v>6692</v>
      </c>
    </row>
    <row r="110" spans="2:11" ht="14.25" customHeight="1">
      <c r="B110" s="70">
        <v>10117</v>
      </c>
      <c r="C110" s="101">
        <v>44659</v>
      </c>
      <c r="D110" s="71" t="s">
        <v>397</v>
      </c>
      <c r="E110" s="72" t="s">
        <v>387</v>
      </c>
      <c r="F110" s="71" t="s">
        <v>393</v>
      </c>
      <c r="G110" s="73">
        <v>599</v>
      </c>
      <c r="H110" s="74">
        <v>299</v>
      </c>
      <c r="I110" s="75">
        <v>365</v>
      </c>
      <c r="J110" s="76">
        <v>218875</v>
      </c>
      <c r="K110" s="76">
        <v>109255</v>
      </c>
    </row>
    <row r="111" spans="2:11" ht="14.25" customHeight="1">
      <c r="B111" s="77">
        <v>10118</v>
      </c>
      <c r="C111" s="102">
        <v>44659</v>
      </c>
      <c r="D111" s="78" t="s">
        <v>394</v>
      </c>
      <c r="E111" s="79" t="s">
        <v>392</v>
      </c>
      <c r="F111" s="78" t="s">
        <v>393</v>
      </c>
      <c r="G111" s="80">
        <v>1299</v>
      </c>
      <c r="H111" s="81">
        <v>459</v>
      </c>
      <c r="I111" s="82">
        <v>156</v>
      </c>
      <c r="J111" s="83">
        <v>202774</v>
      </c>
      <c r="K111" s="83">
        <v>71650</v>
      </c>
    </row>
    <row r="112" spans="2:11" ht="14.25" customHeight="1">
      <c r="B112" s="70">
        <v>10119</v>
      </c>
      <c r="C112" s="101">
        <v>44659</v>
      </c>
      <c r="D112" s="71" t="s">
        <v>397</v>
      </c>
      <c r="E112" s="72" t="s">
        <v>392</v>
      </c>
      <c r="F112" s="71" t="s">
        <v>388</v>
      </c>
      <c r="G112" s="73">
        <v>1299</v>
      </c>
      <c r="H112" s="74">
        <v>459</v>
      </c>
      <c r="I112" s="75">
        <v>208</v>
      </c>
      <c r="J112" s="76">
        <v>270582</v>
      </c>
      <c r="K112" s="76">
        <v>95610</v>
      </c>
    </row>
    <row r="113" spans="2:11" ht="14.25" customHeight="1">
      <c r="B113" s="77">
        <v>10120</v>
      </c>
      <c r="C113" s="102">
        <v>44720</v>
      </c>
      <c r="D113" s="78" t="s">
        <v>386</v>
      </c>
      <c r="E113" s="79" t="s">
        <v>392</v>
      </c>
      <c r="F113" s="78" t="s">
        <v>388</v>
      </c>
      <c r="G113" s="80">
        <v>1299</v>
      </c>
      <c r="H113" s="81">
        <v>459</v>
      </c>
      <c r="I113" s="82">
        <v>267</v>
      </c>
      <c r="J113" s="83">
        <v>347223</v>
      </c>
      <c r="K113" s="83">
        <v>122691</v>
      </c>
    </row>
    <row r="114" spans="2:11" ht="14.25" customHeight="1">
      <c r="B114" s="70">
        <v>10121</v>
      </c>
      <c r="C114" s="101">
        <v>44781</v>
      </c>
      <c r="D114" s="71" t="s">
        <v>397</v>
      </c>
      <c r="E114" s="72" t="s">
        <v>387</v>
      </c>
      <c r="F114" s="71" t="s">
        <v>388</v>
      </c>
      <c r="G114" s="73">
        <v>599</v>
      </c>
      <c r="H114" s="74">
        <v>299</v>
      </c>
      <c r="I114" s="75">
        <v>339</v>
      </c>
      <c r="J114" s="76">
        <v>202762</v>
      </c>
      <c r="K114" s="76">
        <v>101212</v>
      </c>
    </row>
    <row r="115" spans="2:11" ht="14.25" customHeight="1">
      <c r="B115" s="77">
        <v>10122</v>
      </c>
      <c r="C115" s="102">
        <v>44842</v>
      </c>
      <c r="D115" s="78" t="s">
        <v>386</v>
      </c>
      <c r="E115" s="79" t="s">
        <v>387</v>
      </c>
      <c r="F115" s="78" t="s">
        <v>388</v>
      </c>
      <c r="G115" s="84">
        <v>1099</v>
      </c>
      <c r="H115" s="82">
        <v>289</v>
      </c>
      <c r="I115" s="82">
        <v>322</v>
      </c>
      <c r="J115" s="83">
        <v>353658</v>
      </c>
      <c r="K115" s="83">
        <v>93000</v>
      </c>
    </row>
    <row r="116" spans="2:11" ht="14.25" customHeight="1">
      <c r="B116" s="70">
        <v>10123</v>
      </c>
      <c r="C116" s="101">
        <v>44903</v>
      </c>
      <c r="D116" s="71" t="s">
        <v>391</v>
      </c>
      <c r="E116" s="72" t="s">
        <v>389</v>
      </c>
      <c r="F116" s="71" t="s">
        <v>388</v>
      </c>
      <c r="G116" s="73">
        <v>199</v>
      </c>
      <c r="H116" s="74">
        <v>39</v>
      </c>
      <c r="I116" s="75">
        <v>369</v>
      </c>
      <c r="J116" s="76">
        <v>73371</v>
      </c>
      <c r="K116" s="76">
        <v>14379</v>
      </c>
    </row>
    <row r="117" spans="2:11" ht="14.25" customHeight="1">
      <c r="B117" s="77">
        <v>10124</v>
      </c>
      <c r="C117" s="102" t="s">
        <v>450</v>
      </c>
      <c r="D117" s="78" t="s">
        <v>386</v>
      </c>
      <c r="E117" s="79" t="s">
        <v>389</v>
      </c>
      <c r="F117" s="78" t="s">
        <v>388</v>
      </c>
      <c r="G117" s="80">
        <v>1299</v>
      </c>
      <c r="H117" s="81">
        <v>459</v>
      </c>
      <c r="I117" s="82">
        <v>127</v>
      </c>
      <c r="J117" s="83">
        <v>164843</v>
      </c>
      <c r="K117" s="83">
        <v>58247</v>
      </c>
    </row>
    <row r="118" spans="2:11" ht="14.25" customHeight="1">
      <c r="B118" s="70">
        <v>10125</v>
      </c>
      <c r="C118" s="101" t="s">
        <v>451</v>
      </c>
      <c r="D118" s="71" t="s">
        <v>386</v>
      </c>
      <c r="E118" s="72" t="s">
        <v>387</v>
      </c>
      <c r="F118" s="71" t="s">
        <v>396</v>
      </c>
      <c r="G118" s="73">
        <v>599</v>
      </c>
      <c r="H118" s="74">
        <v>299</v>
      </c>
      <c r="I118" s="75">
        <v>390</v>
      </c>
      <c r="J118" s="76">
        <v>233610</v>
      </c>
      <c r="K118" s="76">
        <v>116610</v>
      </c>
    </row>
    <row r="119" spans="2:11" ht="14.25" customHeight="1">
      <c r="B119" s="77">
        <v>10126</v>
      </c>
      <c r="C119" s="102" t="s">
        <v>452</v>
      </c>
      <c r="D119" s="78" t="s">
        <v>398</v>
      </c>
      <c r="E119" s="79" t="s">
        <v>389</v>
      </c>
      <c r="F119" s="78" t="s">
        <v>396</v>
      </c>
      <c r="G119" s="80">
        <v>1299</v>
      </c>
      <c r="H119" s="81">
        <v>459</v>
      </c>
      <c r="I119" s="82">
        <v>388</v>
      </c>
      <c r="J119" s="83">
        <v>504402</v>
      </c>
      <c r="K119" s="83">
        <v>178230</v>
      </c>
    </row>
    <row r="120" spans="2:11" ht="14.25" customHeight="1">
      <c r="B120" s="70">
        <v>10127</v>
      </c>
      <c r="C120" s="101" t="s">
        <v>453</v>
      </c>
      <c r="D120" s="71" t="s">
        <v>394</v>
      </c>
      <c r="E120" s="72" t="s">
        <v>389</v>
      </c>
      <c r="F120" s="71" t="s">
        <v>390</v>
      </c>
      <c r="G120" s="73">
        <v>1299</v>
      </c>
      <c r="H120" s="74">
        <v>459</v>
      </c>
      <c r="I120" s="75">
        <v>112</v>
      </c>
      <c r="J120" s="76">
        <v>145488</v>
      </c>
      <c r="K120" s="76">
        <v>51408</v>
      </c>
    </row>
    <row r="121" spans="2:11" ht="14.25" customHeight="1">
      <c r="B121" s="77">
        <v>10128</v>
      </c>
      <c r="C121" s="102" t="s">
        <v>454</v>
      </c>
      <c r="D121" s="78" t="s">
        <v>391</v>
      </c>
      <c r="E121" s="79" t="s">
        <v>392</v>
      </c>
      <c r="F121" s="78" t="s">
        <v>396</v>
      </c>
      <c r="G121" s="80">
        <v>199</v>
      </c>
      <c r="H121" s="81">
        <v>39</v>
      </c>
      <c r="I121" s="82">
        <v>332</v>
      </c>
      <c r="J121" s="83">
        <v>66008</v>
      </c>
      <c r="K121" s="83">
        <v>12936</v>
      </c>
    </row>
    <row r="122" spans="2:11" ht="14.25" customHeight="1">
      <c r="B122" s="70">
        <v>10129</v>
      </c>
      <c r="C122" s="101" t="s">
        <v>455</v>
      </c>
      <c r="D122" s="71" t="s">
        <v>391</v>
      </c>
      <c r="E122" s="72" t="s">
        <v>389</v>
      </c>
      <c r="F122" s="71" t="s">
        <v>396</v>
      </c>
      <c r="G122" s="73">
        <v>199</v>
      </c>
      <c r="H122" s="74">
        <v>39</v>
      </c>
      <c r="I122" s="75">
        <v>171</v>
      </c>
      <c r="J122" s="76">
        <v>34029</v>
      </c>
      <c r="K122" s="76">
        <v>6669</v>
      </c>
    </row>
    <row r="123" spans="2:11" ht="14.25" customHeight="1">
      <c r="B123" s="77">
        <v>10130</v>
      </c>
      <c r="C123" s="102" t="s">
        <v>456</v>
      </c>
      <c r="D123" s="78" t="s">
        <v>391</v>
      </c>
      <c r="E123" s="79" t="s">
        <v>387</v>
      </c>
      <c r="F123" s="78" t="s">
        <v>393</v>
      </c>
      <c r="G123" s="80">
        <v>1299</v>
      </c>
      <c r="H123" s="81">
        <v>459</v>
      </c>
      <c r="I123" s="82">
        <v>167</v>
      </c>
      <c r="J123" s="83">
        <v>217193</v>
      </c>
      <c r="K123" s="83">
        <v>76745</v>
      </c>
    </row>
    <row r="124" spans="2:11" ht="14.25" customHeight="1">
      <c r="B124" s="70">
        <v>10131</v>
      </c>
      <c r="C124" s="101" t="s">
        <v>457</v>
      </c>
      <c r="D124" s="71" t="s">
        <v>394</v>
      </c>
      <c r="E124" s="72" t="s">
        <v>395</v>
      </c>
      <c r="F124" s="71" t="s">
        <v>393</v>
      </c>
      <c r="G124" s="73">
        <v>199</v>
      </c>
      <c r="H124" s="74">
        <v>39</v>
      </c>
      <c r="I124" s="75">
        <v>358</v>
      </c>
      <c r="J124" s="76">
        <v>71202</v>
      </c>
      <c r="K124" s="76">
        <v>13954</v>
      </c>
    </row>
    <row r="125" spans="2:11" ht="14.25" customHeight="1">
      <c r="B125" s="77">
        <v>10132</v>
      </c>
      <c r="C125" s="102" t="s">
        <v>458</v>
      </c>
      <c r="D125" s="78" t="s">
        <v>386</v>
      </c>
      <c r="E125" s="79" t="s">
        <v>395</v>
      </c>
      <c r="F125" s="78" t="s">
        <v>393</v>
      </c>
      <c r="G125" s="80">
        <v>449</v>
      </c>
      <c r="H125" s="81">
        <v>159</v>
      </c>
      <c r="I125" s="82">
        <v>396</v>
      </c>
      <c r="J125" s="83">
        <v>177894</v>
      </c>
      <c r="K125" s="83">
        <v>62996</v>
      </c>
    </row>
    <row r="126" spans="2:11" ht="14.25" customHeight="1">
      <c r="B126" s="70">
        <v>10133</v>
      </c>
      <c r="C126" s="101">
        <v>44570</v>
      </c>
      <c r="D126" s="71" t="s">
        <v>398</v>
      </c>
      <c r="E126" s="72" t="s">
        <v>395</v>
      </c>
      <c r="F126" s="71" t="s">
        <v>393</v>
      </c>
      <c r="G126" s="73">
        <v>449</v>
      </c>
      <c r="H126" s="74">
        <v>159</v>
      </c>
      <c r="I126" s="75">
        <v>314</v>
      </c>
      <c r="J126" s="76">
        <v>141076</v>
      </c>
      <c r="K126" s="76">
        <v>49958</v>
      </c>
    </row>
    <row r="127" spans="2:11" ht="14.25" customHeight="1">
      <c r="B127" s="77">
        <v>10134</v>
      </c>
      <c r="C127" s="102">
        <v>44629</v>
      </c>
      <c r="D127" s="78" t="s">
        <v>391</v>
      </c>
      <c r="E127" s="79" t="s">
        <v>395</v>
      </c>
      <c r="F127" s="78" t="s">
        <v>388</v>
      </c>
      <c r="G127" s="80">
        <v>599</v>
      </c>
      <c r="H127" s="81">
        <v>299</v>
      </c>
      <c r="I127" s="82">
        <v>498</v>
      </c>
      <c r="J127" s="83">
        <v>298122</v>
      </c>
      <c r="K127" s="83">
        <v>148812</v>
      </c>
    </row>
    <row r="128" spans="2:11" ht="14.25" customHeight="1">
      <c r="B128" s="70">
        <v>10135</v>
      </c>
      <c r="C128" s="101">
        <v>44690</v>
      </c>
      <c r="D128" s="71" t="s">
        <v>394</v>
      </c>
      <c r="E128" s="72" t="s">
        <v>389</v>
      </c>
      <c r="F128" s="71" t="s">
        <v>393</v>
      </c>
      <c r="G128" s="73">
        <v>599</v>
      </c>
      <c r="H128" s="74">
        <v>299</v>
      </c>
      <c r="I128" s="75">
        <v>125</v>
      </c>
      <c r="J128" s="76">
        <v>75115</v>
      </c>
      <c r="K128" s="76">
        <v>37495</v>
      </c>
    </row>
    <row r="129" spans="2:11" ht="14.25" customHeight="1">
      <c r="B129" s="77">
        <v>10136</v>
      </c>
      <c r="C129" s="102">
        <v>44751</v>
      </c>
      <c r="D129" s="78" t="s">
        <v>391</v>
      </c>
      <c r="E129" s="79" t="s">
        <v>395</v>
      </c>
      <c r="F129" s="78" t="s">
        <v>388</v>
      </c>
      <c r="G129" s="80">
        <v>199</v>
      </c>
      <c r="H129" s="81">
        <v>39</v>
      </c>
      <c r="I129" s="82">
        <v>411</v>
      </c>
      <c r="J129" s="83">
        <v>81829</v>
      </c>
      <c r="K129" s="83">
        <v>16037</v>
      </c>
    </row>
    <row r="130" spans="2:11" ht="14.25" customHeight="1">
      <c r="B130" s="70">
        <v>10137</v>
      </c>
      <c r="C130" s="101">
        <v>44813</v>
      </c>
      <c r="D130" s="71" t="s">
        <v>391</v>
      </c>
      <c r="E130" s="72" t="s">
        <v>389</v>
      </c>
      <c r="F130" s="71" t="s">
        <v>388</v>
      </c>
      <c r="G130" s="73">
        <v>199</v>
      </c>
      <c r="H130" s="74">
        <v>39</v>
      </c>
      <c r="I130" s="75">
        <v>194</v>
      </c>
      <c r="J130" s="76">
        <v>38666</v>
      </c>
      <c r="K130" s="76">
        <v>7578</v>
      </c>
    </row>
    <row r="131" spans="2:11" ht="14.25" customHeight="1">
      <c r="B131" s="77">
        <v>10138</v>
      </c>
      <c r="C131" s="102">
        <v>44874</v>
      </c>
      <c r="D131" s="78" t="s">
        <v>398</v>
      </c>
      <c r="E131" s="79" t="s">
        <v>395</v>
      </c>
      <c r="F131" s="78" t="s">
        <v>393</v>
      </c>
      <c r="G131" s="80">
        <v>199</v>
      </c>
      <c r="H131" s="81">
        <v>39</v>
      </c>
      <c r="I131" s="82">
        <v>168</v>
      </c>
      <c r="J131" s="83">
        <v>33412</v>
      </c>
      <c r="K131" s="83">
        <v>6548</v>
      </c>
    </row>
    <row r="132" spans="2:11" ht="14.25" customHeight="1">
      <c r="B132" s="70">
        <v>10139</v>
      </c>
      <c r="C132" s="101" t="s">
        <v>459</v>
      </c>
      <c r="D132" s="71" t="s">
        <v>398</v>
      </c>
      <c r="E132" s="72" t="s">
        <v>395</v>
      </c>
      <c r="F132" s="71" t="s">
        <v>396</v>
      </c>
      <c r="G132" s="85">
        <v>1099</v>
      </c>
      <c r="H132" s="75">
        <v>289</v>
      </c>
      <c r="I132" s="75">
        <v>132</v>
      </c>
      <c r="J132" s="76">
        <v>145288</v>
      </c>
      <c r="K132" s="76">
        <v>38206</v>
      </c>
    </row>
    <row r="133" spans="2:11" ht="14.25" customHeight="1">
      <c r="B133" s="77">
        <v>10140</v>
      </c>
      <c r="C133" s="102" t="s">
        <v>460</v>
      </c>
      <c r="D133" s="78" t="s">
        <v>391</v>
      </c>
      <c r="E133" s="79" t="s">
        <v>392</v>
      </c>
      <c r="F133" s="78" t="s">
        <v>390</v>
      </c>
      <c r="G133" s="84">
        <v>1099</v>
      </c>
      <c r="H133" s="82">
        <v>289</v>
      </c>
      <c r="I133" s="82">
        <v>139</v>
      </c>
      <c r="J133" s="83">
        <v>153201</v>
      </c>
      <c r="K133" s="83">
        <v>40287</v>
      </c>
    </row>
    <row r="134" spans="2:11" ht="14.25" customHeight="1">
      <c r="B134" s="70">
        <v>10141</v>
      </c>
      <c r="C134" s="101" t="s">
        <v>461</v>
      </c>
      <c r="D134" s="71" t="s">
        <v>398</v>
      </c>
      <c r="E134" s="72" t="s">
        <v>395</v>
      </c>
      <c r="F134" s="71" t="s">
        <v>393</v>
      </c>
      <c r="G134" s="85">
        <v>1099</v>
      </c>
      <c r="H134" s="75">
        <v>289</v>
      </c>
      <c r="I134" s="75">
        <v>106</v>
      </c>
      <c r="J134" s="76">
        <v>116494</v>
      </c>
      <c r="K134" s="76">
        <v>30634</v>
      </c>
    </row>
    <row r="135" spans="2:11" ht="14.25" customHeight="1">
      <c r="B135" s="77">
        <v>10142</v>
      </c>
      <c r="C135" s="102" t="s">
        <v>462</v>
      </c>
      <c r="D135" s="78" t="s">
        <v>397</v>
      </c>
      <c r="E135" s="79" t="s">
        <v>389</v>
      </c>
      <c r="F135" s="78" t="s">
        <v>390</v>
      </c>
      <c r="G135" s="80">
        <v>599</v>
      </c>
      <c r="H135" s="81">
        <v>299</v>
      </c>
      <c r="I135" s="82">
        <v>272</v>
      </c>
      <c r="J135" s="83">
        <v>162868</v>
      </c>
      <c r="K135" s="83">
        <v>81298</v>
      </c>
    </row>
    <row r="136" spans="2:11" ht="14.25" customHeight="1">
      <c r="B136" s="70">
        <v>10143</v>
      </c>
      <c r="C136" s="101" t="s">
        <v>463</v>
      </c>
      <c r="D136" s="71" t="s">
        <v>397</v>
      </c>
      <c r="E136" s="72" t="s">
        <v>389</v>
      </c>
      <c r="F136" s="71" t="s">
        <v>393</v>
      </c>
      <c r="G136" s="73">
        <v>199</v>
      </c>
      <c r="H136" s="74">
        <v>39</v>
      </c>
      <c r="I136" s="75">
        <v>236</v>
      </c>
      <c r="J136" s="76">
        <v>46964</v>
      </c>
      <c r="K136" s="76">
        <v>9204</v>
      </c>
    </row>
    <row r="137" spans="2:11" ht="14.25" customHeight="1">
      <c r="B137" s="77">
        <v>10144</v>
      </c>
      <c r="C137" s="102" t="s">
        <v>464</v>
      </c>
      <c r="D137" s="78" t="s">
        <v>394</v>
      </c>
      <c r="E137" s="79" t="s">
        <v>392</v>
      </c>
      <c r="F137" s="78" t="s">
        <v>388</v>
      </c>
      <c r="G137" s="80">
        <v>1299</v>
      </c>
      <c r="H137" s="81">
        <v>459</v>
      </c>
      <c r="I137" s="82">
        <v>340</v>
      </c>
      <c r="J137" s="83">
        <v>441400</v>
      </c>
      <c r="K137" s="83">
        <v>155968</v>
      </c>
    </row>
    <row r="138" spans="2:11" ht="14.25" customHeight="1">
      <c r="B138" s="70">
        <v>10145</v>
      </c>
      <c r="C138" s="101" t="s">
        <v>465</v>
      </c>
      <c r="D138" s="71" t="s">
        <v>394</v>
      </c>
      <c r="E138" s="72" t="s">
        <v>395</v>
      </c>
      <c r="F138" s="71" t="s">
        <v>388</v>
      </c>
      <c r="G138" s="73">
        <v>599</v>
      </c>
      <c r="H138" s="74">
        <v>299</v>
      </c>
      <c r="I138" s="75">
        <v>404</v>
      </c>
      <c r="J138" s="76">
        <v>241756</v>
      </c>
      <c r="K138" s="76">
        <v>120676</v>
      </c>
    </row>
    <row r="139" spans="2:11" ht="14.25" customHeight="1">
      <c r="B139" s="77">
        <v>10146</v>
      </c>
      <c r="C139" s="102" t="s">
        <v>466</v>
      </c>
      <c r="D139" s="78" t="s">
        <v>398</v>
      </c>
      <c r="E139" s="79" t="s">
        <v>392</v>
      </c>
      <c r="F139" s="78" t="s">
        <v>393</v>
      </c>
      <c r="G139" s="80">
        <v>1299</v>
      </c>
      <c r="H139" s="81">
        <v>459</v>
      </c>
      <c r="I139" s="82">
        <v>219</v>
      </c>
      <c r="J139" s="83">
        <v>283961</v>
      </c>
      <c r="K139" s="83">
        <v>100337</v>
      </c>
    </row>
    <row r="140" spans="2:11" ht="14.25" customHeight="1">
      <c r="B140" s="70">
        <v>10147</v>
      </c>
      <c r="C140" s="101" t="s">
        <v>467</v>
      </c>
      <c r="D140" s="71" t="s">
        <v>398</v>
      </c>
      <c r="E140" s="72" t="s">
        <v>389</v>
      </c>
      <c r="F140" s="71" t="s">
        <v>393</v>
      </c>
      <c r="G140" s="73">
        <v>1299</v>
      </c>
      <c r="H140" s="74">
        <v>459</v>
      </c>
      <c r="I140" s="75">
        <v>462</v>
      </c>
      <c r="J140" s="76">
        <v>600398</v>
      </c>
      <c r="K140" s="76">
        <v>212150</v>
      </c>
    </row>
    <row r="141" spans="2:11" ht="14.25" customHeight="1">
      <c r="B141" s="77">
        <v>10148</v>
      </c>
      <c r="C141" s="102">
        <v>44571</v>
      </c>
      <c r="D141" s="78" t="s">
        <v>398</v>
      </c>
      <c r="E141" s="79" t="s">
        <v>392</v>
      </c>
      <c r="F141" s="78" t="s">
        <v>393</v>
      </c>
      <c r="G141" s="80">
        <v>449</v>
      </c>
      <c r="H141" s="81">
        <v>159</v>
      </c>
      <c r="I141" s="82">
        <v>211</v>
      </c>
      <c r="J141" s="83">
        <v>94694</v>
      </c>
      <c r="K141" s="83">
        <v>33533</v>
      </c>
    </row>
    <row r="142" spans="2:11" ht="14.25" customHeight="1">
      <c r="B142" s="70">
        <v>10149</v>
      </c>
      <c r="C142" s="101">
        <v>44630</v>
      </c>
      <c r="D142" s="71" t="s">
        <v>386</v>
      </c>
      <c r="E142" s="72" t="s">
        <v>389</v>
      </c>
      <c r="F142" s="71" t="s">
        <v>393</v>
      </c>
      <c r="G142" s="73">
        <v>449</v>
      </c>
      <c r="H142" s="74">
        <v>159</v>
      </c>
      <c r="I142" s="75">
        <v>453</v>
      </c>
      <c r="J142" s="76">
        <v>203577</v>
      </c>
      <c r="K142" s="76">
        <v>72091</v>
      </c>
    </row>
    <row r="143" spans="2:11" ht="14.25" customHeight="1">
      <c r="B143" s="77">
        <v>10150</v>
      </c>
      <c r="C143" s="102">
        <v>44691</v>
      </c>
      <c r="D143" s="78" t="s">
        <v>386</v>
      </c>
      <c r="E143" s="79" t="s">
        <v>392</v>
      </c>
      <c r="F143" s="78" t="s">
        <v>390</v>
      </c>
      <c r="G143" s="80">
        <v>199</v>
      </c>
      <c r="H143" s="81">
        <v>39</v>
      </c>
      <c r="I143" s="82">
        <v>472</v>
      </c>
      <c r="J143" s="83">
        <v>93908</v>
      </c>
      <c r="K143" s="83">
        <v>18404</v>
      </c>
    </row>
    <row r="144" spans="2:11" ht="14.25" customHeight="1">
      <c r="B144" s="70">
        <v>10151</v>
      </c>
      <c r="C144" s="101">
        <v>44752</v>
      </c>
      <c r="D144" s="71" t="s">
        <v>386</v>
      </c>
      <c r="E144" s="72" t="s">
        <v>392</v>
      </c>
      <c r="F144" s="71" t="s">
        <v>396</v>
      </c>
      <c r="G144" s="73">
        <v>449</v>
      </c>
      <c r="H144" s="74">
        <v>159</v>
      </c>
      <c r="I144" s="75">
        <v>128</v>
      </c>
      <c r="J144" s="76">
        <v>57607</v>
      </c>
      <c r="K144" s="76">
        <v>20400</v>
      </c>
    </row>
    <row r="145" spans="2:11" ht="14.25" customHeight="1">
      <c r="B145" s="77">
        <v>10152</v>
      </c>
      <c r="C145" s="102">
        <v>44814</v>
      </c>
      <c r="D145" s="78" t="s">
        <v>394</v>
      </c>
      <c r="E145" s="79" t="s">
        <v>395</v>
      </c>
      <c r="F145" s="78" t="s">
        <v>396</v>
      </c>
      <c r="G145" s="80">
        <v>599</v>
      </c>
      <c r="H145" s="81">
        <v>299</v>
      </c>
      <c r="I145" s="82">
        <v>198</v>
      </c>
      <c r="J145" s="83">
        <v>118722</v>
      </c>
      <c r="K145" s="83">
        <v>59262</v>
      </c>
    </row>
    <row r="146" spans="2:11" ht="14.25" customHeight="1">
      <c r="B146" s="70">
        <v>10153</v>
      </c>
      <c r="C146" s="101">
        <v>44875</v>
      </c>
      <c r="D146" s="71" t="s">
        <v>398</v>
      </c>
      <c r="E146" s="72" t="s">
        <v>395</v>
      </c>
      <c r="F146" s="71" t="s">
        <v>388</v>
      </c>
      <c r="G146" s="73">
        <v>599</v>
      </c>
      <c r="H146" s="74">
        <v>299</v>
      </c>
      <c r="I146" s="75">
        <v>300</v>
      </c>
      <c r="J146" s="76">
        <v>179880</v>
      </c>
      <c r="K146" s="76">
        <v>89790</v>
      </c>
    </row>
    <row r="147" spans="2:11" ht="14.25" customHeight="1">
      <c r="B147" s="77">
        <v>10154</v>
      </c>
      <c r="C147" s="102">
        <v>44875</v>
      </c>
      <c r="D147" s="78" t="s">
        <v>391</v>
      </c>
      <c r="E147" s="79" t="s">
        <v>389</v>
      </c>
      <c r="F147" s="78" t="s">
        <v>388</v>
      </c>
      <c r="G147" s="84">
        <v>1099</v>
      </c>
      <c r="H147" s="82">
        <v>289</v>
      </c>
      <c r="I147" s="82">
        <v>129</v>
      </c>
      <c r="J147" s="83">
        <v>142211</v>
      </c>
      <c r="K147" s="83">
        <v>37397</v>
      </c>
    </row>
    <row r="148" spans="2:11" ht="14.25" customHeight="1">
      <c r="B148" s="70">
        <v>10155</v>
      </c>
      <c r="C148" s="101">
        <v>44875</v>
      </c>
      <c r="D148" s="71" t="s">
        <v>394</v>
      </c>
      <c r="E148" s="72" t="s">
        <v>392</v>
      </c>
      <c r="F148" s="71" t="s">
        <v>388</v>
      </c>
      <c r="G148" s="85">
        <v>1099</v>
      </c>
      <c r="H148" s="75">
        <v>289</v>
      </c>
      <c r="I148" s="75">
        <v>342</v>
      </c>
      <c r="J148" s="76">
        <v>375528</v>
      </c>
      <c r="K148" s="76">
        <v>98751</v>
      </c>
    </row>
    <row r="149" spans="2:11" ht="14.25" customHeight="1">
      <c r="B149" s="77">
        <v>10156</v>
      </c>
      <c r="C149" s="102">
        <v>44875</v>
      </c>
      <c r="D149" s="78" t="s">
        <v>391</v>
      </c>
      <c r="E149" s="79" t="s">
        <v>395</v>
      </c>
      <c r="F149" s="78" t="s">
        <v>388</v>
      </c>
      <c r="G149" s="80">
        <v>599</v>
      </c>
      <c r="H149" s="81">
        <v>299</v>
      </c>
      <c r="I149" s="82">
        <v>156</v>
      </c>
      <c r="J149" s="83">
        <v>93204</v>
      </c>
      <c r="K149" s="83">
        <v>46524</v>
      </c>
    </row>
    <row r="150" spans="2:11" ht="14.25" customHeight="1">
      <c r="B150" s="70">
        <v>10157</v>
      </c>
      <c r="C150" s="101">
        <v>44875</v>
      </c>
      <c r="D150" s="71" t="s">
        <v>391</v>
      </c>
      <c r="E150" s="72" t="s">
        <v>392</v>
      </c>
      <c r="F150" s="71" t="s">
        <v>388</v>
      </c>
      <c r="G150" s="73">
        <v>1299</v>
      </c>
      <c r="H150" s="74">
        <v>459</v>
      </c>
      <c r="I150" s="75">
        <v>318</v>
      </c>
      <c r="J150" s="76">
        <v>413602</v>
      </c>
      <c r="K150" s="76">
        <v>146146</v>
      </c>
    </row>
    <row r="151" spans="2:11" ht="14.25" customHeight="1">
      <c r="B151" s="77">
        <v>10158</v>
      </c>
      <c r="C151" s="102">
        <v>44875</v>
      </c>
      <c r="D151" s="78" t="s">
        <v>397</v>
      </c>
      <c r="E151" s="79" t="s">
        <v>389</v>
      </c>
      <c r="F151" s="78" t="s">
        <v>396</v>
      </c>
      <c r="G151" s="80">
        <v>199</v>
      </c>
      <c r="H151" s="81">
        <v>39</v>
      </c>
      <c r="I151" s="82">
        <v>308</v>
      </c>
      <c r="J151" s="83">
        <v>61212</v>
      </c>
      <c r="K151" s="83">
        <v>11996</v>
      </c>
    </row>
    <row r="152" spans="2:11" ht="14.25" customHeight="1">
      <c r="B152" s="70">
        <v>10159</v>
      </c>
      <c r="C152" s="101">
        <v>44875</v>
      </c>
      <c r="D152" s="71" t="s">
        <v>397</v>
      </c>
      <c r="E152" s="72" t="s">
        <v>392</v>
      </c>
      <c r="F152" s="71" t="s">
        <v>390</v>
      </c>
      <c r="G152" s="73">
        <v>1299</v>
      </c>
      <c r="H152" s="74">
        <v>459</v>
      </c>
      <c r="I152" s="75">
        <v>187</v>
      </c>
      <c r="J152" s="76">
        <v>243303</v>
      </c>
      <c r="K152" s="76">
        <v>85971</v>
      </c>
    </row>
    <row r="153" spans="2:11" ht="14.25" customHeight="1">
      <c r="B153" s="77">
        <v>10160</v>
      </c>
      <c r="C153" s="102">
        <v>44875</v>
      </c>
      <c r="D153" s="78" t="s">
        <v>398</v>
      </c>
      <c r="E153" s="79" t="s">
        <v>395</v>
      </c>
      <c r="F153" s="78" t="s">
        <v>390</v>
      </c>
      <c r="G153" s="80">
        <v>199</v>
      </c>
      <c r="H153" s="81">
        <v>39</v>
      </c>
      <c r="I153" s="82">
        <v>157</v>
      </c>
      <c r="J153" s="83">
        <v>31323</v>
      </c>
      <c r="K153" s="83">
        <v>6139</v>
      </c>
    </row>
    <row r="154" spans="2:11" ht="14.25" customHeight="1">
      <c r="B154" s="70">
        <v>10161</v>
      </c>
      <c r="C154" s="101">
        <v>44875</v>
      </c>
      <c r="D154" s="71" t="s">
        <v>397</v>
      </c>
      <c r="E154" s="72" t="s">
        <v>392</v>
      </c>
      <c r="F154" s="71" t="s">
        <v>393</v>
      </c>
      <c r="G154" s="73">
        <v>449</v>
      </c>
      <c r="H154" s="74">
        <v>159</v>
      </c>
      <c r="I154" s="75">
        <v>219</v>
      </c>
      <c r="J154" s="76">
        <v>98466</v>
      </c>
      <c r="K154" s="76">
        <v>34869</v>
      </c>
    </row>
    <row r="155" spans="2:11" ht="14.25" customHeight="1">
      <c r="B155" s="77">
        <v>10162</v>
      </c>
      <c r="C155" s="102">
        <v>44875</v>
      </c>
      <c r="D155" s="78" t="s">
        <v>394</v>
      </c>
      <c r="E155" s="79" t="s">
        <v>389</v>
      </c>
      <c r="F155" s="78" t="s">
        <v>393</v>
      </c>
      <c r="G155" s="80">
        <v>199</v>
      </c>
      <c r="H155" s="81">
        <v>39</v>
      </c>
      <c r="I155" s="82">
        <v>133</v>
      </c>
      <c r="J155" s="83">
        <v>26467</v>
      </c>
      <c r="K155" s="83">
        <v>5187</v>
      </c>
    </row>
    <row r="156" spans="2:11" ht="14.25" customHeight="1">
      <c r="B156" s="70">
        <v>10163</v>
      </c>
      <c r="C156" s="101">
        <v>44875</v>
      </c>
      <c r="D156" s="71" t="s">
        <v>394</v>
      </c>
      <c r="E156" s="72" t="s">
        <v>392</v>
      </c>
      <c r="F156" s="71" t="s">
        <v>390</v>
      </c>
      <c r="G156" s="73">
        <v>1299</v>
      </c>
      <c r="H156" s="74">
        <v>459</v>
      </c>
      <c r="I156" s="75">
        <v>358</v>
      </c>
      <c r="J156" s="76">
        <v>464522</v>
      </c>
      <c r="K156" s="76">
        <v>164138</v>
      </c>
    </row>
    <row r="157" spans="2:11" ht="14.25" customHeight="1">
      <c r="B157" s="77">
        <v>10164</v>
      </c>
      <c r="C157" s="102">
        <v>44875</v>
      </c>
      <c r="D157" s="78" t="s">
        <v>386</v>
      </c>
      <c r="E157" s="79" t="s">
        <v>395</v>
      </c>
      <c r="F157" s="78" t="s">
        <v>393</v>
      </c>
      <c r="G157" s="80">
        <v>199</v>
      </c>
      <c r="H157" s="81">
        <v>39</v>
      </c>
      <c r="I157" s="82">
        <v>401</v>
      </c>
      <c r="J157" s="83">
        <v>79719</v>
      </c>
      <c r="K157" s="83">
        <v>15623</v>
      </c>
    </row>
    <row r="158" spans="2:11" ht="14.25" customHeight="1">
      <c r="B158" s="70">
        <v>10165</v>
      </c>
      <c r="C158" s="101">
        <v>44875</v>
      </c>
      <c r="D158" s="71" t="s">
        <v>386</v>
      </c>
      <c r="E158" s="72" t="s">
        <v>392</v>
      </c>
      <c r="F158" s="71" t="s">
        <v>390</v>
      </c>
      <c r="G158" s="73">
        <v>199</v>
      </c>
      <c r="H158" s="74">
        <v>39</v>
      </c>
      <c r="I158" s="75">
        <v>433</v>
      </c>
      <c r="J158" s="76">
        <v>86187</v>
      </c>
      <c r="K158" s="76">
        <v>16891</v>
      </c>
    </row>
    <row r="159" spans="2:11" ht="14.25" customHeight="1">
      <c r="B159" s="77">
        <v>10166</v>
      </c>
      <c r="C159" s="102">
        <v>44875</v>
      </c>
      <c r="D159" s="78" t="s">
        <v>394</v>
      </c>
      <c r="E159" s="79" t="s">
        <v>389</v>
      </c>
      <c r="F159" s="78" t="s">
        <v>390</v>
      </c>
      <c r="G159" s="84">
        <v>1099</v>
      </c>
      <c r="H159" s="82">
        <v>289</v>
      </c>
      <c r="I159" s="82">
        <v>206</v>
      </c>
      <c r="J159" s="83">
        <v>226284</v>
      </c>
      <c r="K159" s="83">
        <v>59505</v>
      </c>
    </row>
    <row r="160" spans="2:11" ht="14.25" customHeight="1">
      <c r="B160" s="70">
        <v>10167</v>
      </c>
      <c r="C160" s="101" t="s">
        <v>468</v>
      </c>
      <c r="D160" s="71" t="s">
        <v>391</v>
      </c>
      <c r="E160" s="72" t="s">
        <v>392</v>
      </c>
      <c r="F160" s="71" t="s">
        <v>390</v>
      </c>
      <c r="G160" s="73">
        <v>199</v>
      </c>
      <c r="H160" s="74">
        <v>39</v>
      </c>
      <c r="I160" s="75">
        <v>436</v>
      </c>
      <c r="J160" s="76">
        <v>86764</v>
      </c>
      <c r="K160" s="76">
        <v>17004</v>
      </c>
    </row>
    <row r="161" spans="2:11" ht="14.25" customHeight="1">
      <c r="B161" s="77">
        <v>10168</v>
      </c>
      <c r="C161" s="102" t="s">
        <v>469</v>
      </c>
      <c r="D161" s="78" t="s">
        <v>398</v>
      </c>
      <c r="E161" s="79" t="s">
        <v>395</v>
      </c>
      <c r="F161" s="78" t="s">
        <v>390</v>
      </c>
      <c r="G161" s="80">
        <v>599</v>
      </c>
      <c r="H161" s="81">
        <v>299</v>
      </c>
      <c r="I161" s="82">
        <v>115</v>
      </c>
      <c r="J161" s="83">
        <v>68705</v>
      </c>
      <c r="K161" s="83">
        <v>34295</v>
      </c>
    </row>
    <row r="162" spans="2:11" ht="14.25" customHeight="1">
      <c r="B162" s="70">
        <v>10169</v>
      </c>
      <c r="C162" s="101" t="s">
        <v>470</v>
      </c>
      <c r="D162" s="71" t="s">
        <v>391</v>
      </c>
      <c r="E162" s="72" t="s">
        <v>395</v>
      </c>
      <c r="F162" s="71" t="s">
        <v>390</v>
      </c>
      <c r="G162" s="85">
        <v>1099</v>
      </c>
      <c r="H162" s="75">
        <v>289</v>
      </c>
      <c r="I162" s="75">
        <v>214</v>
      </c>
      <c r="J162" s="76">
        <v>234966</v>
      </c>
      <c r="K162" s="76">
        <v>61788</v>
      </c>
    </row>
    <row r="163" spans="2:11" ht="14.25" customHeight="1">
      <c r="B163" s="77">
        <v>10170</v>
      </c>
      <c r="C163" s="102" t="s">
        <v>471</v>
      </c>
      <c r="D163" s="78" t="s">
        <v>398</v>
      </c>
      <c r="E163" s="79" t="s">
        <v>387</v>
      </c>
      <c r="F163" s="78" t="s">
        <v>390</v>
      </c>
      <c r="G163" s="80">
        <v>1299</v>
      </c>
      <c r="H163" s="81">
        <v>459</v>
      </c>
      <c r="I163" s="82">
        <v>124</v>
      </c>
      <c r="J163" s="83">
        <v>161076</v>
      </c>
      <c r="K163" s="83">
        <v>56916</v>
      </c>
    </row>
    <row r="164" spans="2:11" ht="14.25" customHeight="1">
      <c r="B164" s="70">
        <v>10171</v>
      </c>
      <c r="C164" s="101" t="s">
        <v>472</v>
      </c>
      <c r="D164" s="71" t="s">
        <v>397</v>
      </c>
      <c r="E164" s="72" t="s">
        <v>395</v>
      </c>
      <c r="F164" s="71" t="s">
        <v>390</v>
      </c>
      <c r="G164" s="73">
        <v>199</v>
      </c>
      <c r="H164" s="74">
        <v>39</v>
      </c>
      <c r="I164" s="75">
        <v>285</v>
      </c>
      <c r="J164" s="76">
        <v>56735</v>
      </c>
      <c r="K164" s="76">
        <v>11119</v>
      </c>
    </row>
    <row r="165" spans="2:11" ht="14.25" customHeight="1">
      <c r="B165" s="77">
        <v>10172</v>
      </c>
      <c r="C165" s="102" t="s">
        <v>473</v>
      </c>
      <c r="D165" s="78" t="s">
        <v>398</v>
      </c>
      <c r="E165" s="79" t="s">
        <v>389</v>
      </c>
      <c r="F165" s="78" t="s">
        <v>388</v>
      </c>
      <c r="G165" s="80">
        <v>199</v>
      </c>
      <c r="H165" s="81">
        <v>39</v>
      </c>
      <c r="I165" s="82">
        <v>229</v>
      </c>
      <c r="J165" s="83">
        <v>45551</v>
      </c>
      <c r="K165" s="83">
        <v>8927</v>
      </c>
    </row>
    <row r="166" spans="2:11" ht="14.25" customHeight="1">
      <c r="B166" s="70">
        <v>10173</v>
      </c>
      <c r="C166" s="101" t="s">
        <v>474</v>
      </c>
      <c r="D166" s="71" t="s">
        <v>391</v>
      </c>
      <c r="E166" s="72" t="s">
        <v>389</v>
      </c>
      <c r="F166" s="71" t="s">
        <v>388</v>
      </c>
      <c r="G166" s="73">
        <v>199</v>
      </c>
      <c r="H166" s="74">
        <v>39</v>
      </c>
      <c r="I166" s="75">
        <v>361</v>
      </c>
      <c r="J166" s="76">
        <v>71839</v>
      </c>
      <c r="K166" s="76">
        <v>14079</v>
      </c>
    </row>
    <row r="167" spans="2:11" ht="14.25" customHeight="1">
      <c r="B167" s="77">
        <v>10174</v>
      </c>
      <c r="C167" s="102" t="s">
        <v>475</v>
      </c>
      <c r="D167" s="78" t="s">
        <v>398</v>
      </c>
      <c r="E167" s="79" t="s">
        <v>387</v>
      </c>
      <c r="F167" s="78" t="s">
        <v>388</v>
      </c>
      <c r="G167" s="84">
        <v>1099</v>
      </c>
      <c r="H167" s="82">
        <v>289</v>
      </c>
      <c r="I167" s="82">
        <v>426</v>
      </c>
      <c r="J167" s="83">
        <v>467844</v>
      </c>
      <c r="K167" s="83">
        <v>123027</v>
      </c>
    </row>
    <row r="168" spans="2:11" ht="14.25" customHeight="1">
      <c r="B168" s="70">
        <v>10175</v>
      </c>
      <c r="C168" s="101" t="s">
        <v>476</v>
      </c>
      <c r="D168" s="71" t="s">
        <v>398</v>
      </c>
      <c r="E168" s="72" t="s">
        <v>387</v>
      </c>
      <c r="F168" s="71" t="s">
        <v>388</v>
      </c>
      <c r="G168" s="73">
        <v>199</v>
      </c>
      <c r="H168" s="74">
        <v>39</v>
      </c>
      <c r="I168" s="75">
        <v>233</v>
      </c>
      <c r="J168" s="76">
        <v>46427</v>
      </c>
      <c r="K168" s="76">
        <v>9099</v>
      </c>
    </row>
    <row r="169" spans="2:11" ht="14.25" customHeight="1">
      <c r="B169" s="77">
        <v>10176</v>
      </c>
      <c r="C169" s="102" t="s">
        <v>477</v>
      </c>
      <c r="D169" s="78" t="s">
        <v>386</v>
      </c>
      <c r="E169" s="79" t="s">
        <v>387</v>
      </c>
      <c r="F169" s="78" t="s">
        <v>388</v>
      </c>
      <c r="G169" s="80">
        <v>599</v>
      </c>
      <c r="H169" s="81">
        <v>299</v>
      </c>
      <c r="I169" s="82">
        <v>381</v>
      </c>
      <c r="J169" s="83">
        <v>228339</v>
      </c>
      <c r="K169" s="83">
        <v>113979</v>
      </c>
    </row>
    <row r="170" spans="2:11" ht="14.25" customHeight="1">
      <c r="B170" s="70">
        <v>10177</v>
      </c>
      <c r="C170" s="101">
        <v>44603</v>
      </c>
      <c r="D170" s="71" t="s">
        <v>398</v>
      </c>
      <c r="E170" s="72" t="s">
        <v>389</v>
      </c>
      <c r="F170" s="71" t="s">
        <v>388</v>
      </c>
      <c r="G170" s="73">
        <v>1299</v>
      </c>
      <c r="H170" s="74">
        <v>459</v>
      </c>
      <c r="I170" s="75">
        <v>415</v>
      </c>
      <c r="J170" s="76">
        <v>539475</v>
      </c>
      <c r="K170" s="76">
        <v>190623</v>
      </c>
    </row>
    <row r="171" spans="2:11" ht="14.25" customHeight="1">
      <c r="B171" s="77">
        <v>10178</v>
      </c>
      <c r="C171" s="102">
        <v>44662</v>
      </c>
      <c r="D171" s="78" t="s">
        <v>394</v>
      </c>
      <c r="E171" s="79" t="s">
        <v>395</v>
      </c>
      <c r="F171" s="78" t="s">
        <v>393</v>
      </c>
      <c r="G171" s="84">
        <v>1099</v>
      </c>
      <c r="H171" s="82">
        <v>289</v>
      </c>
      <c r="I171" s="82">
        <v>250</v>
      </c>
      <c r="J171" s="83">
        <v>275190</v>
      </c>
      <c r="K171" s="83">
        <v>72366</v>
      </c>
    </row>
    <row r="172" spans="2:11" ht="14.25" customHeight="1">
      <c r="B172" s="70">
        <v>10179</v>
      </c>
      <c r="C172" s="101">
        <v>44723</v>
      </c>
      <c r="D172" s="71" t="s">
        <v>386</v>
      </c>
      <c r="E172" s="72" t="s">
        <v>389</v>
      </c>
      <c r="F172" s="71" t="s">
        <v>393</v>
      </c>
      <c r="G172" s="73">
        <v>449</v>
      </c>
      <c r="H172" s="74">
        <v>159</v>
      </c>
      <c r="I172" s="75">
        <v>280</v>
      </c>
      <c r="J172" s="76">
        <v>125765</v>
      </c>
      <c r="K172" s="76">
        <v>44536</v>
      </c>
    </row>
    <row r="173" spans="2:11" ht="14.25" customHeight="1">
      <c r="B173" s="77">
        <v>10180</v>
      </c>
      <c r="C173" s="102">
        <v>44784</v>
      </c>
      <c r="D173" s="78" t="s">
        <v>391</v>
      </c>
      <c r="E173" s="79" t="s">
        <v>389</v>
      </c>
      <c r="F173" s="78" t="s">
        <v>388</v>
      </c>
      <c r="G173" s="80">
        <v>199</v>
      </c>
      <c r="H173" s="81">
        <v>39</v>
      </c>
      <c r="I173" s="82">
        <v>215</v>
      </c>
      <c r="J173" s="83">
        <v>42765</v>
      </c>
      <c r="K173" s="83">
        <v>8381</v>
      </c>
    </row>
    <row r="174" spans="2:11" ht="14.25" customHeight="1">
      <c r="B174" s="70">
        <v>10181</v>
      </c>
      <c r="C174" s="101">
        <v>44845</v>
      </c>
      <c r="D174" s="71" t="s">
        <v>398</v>
      </c>
      <c r="E174" s="72" t="s">
        <v>389</v>
      </c>
      <c r="F174" s="71" t="s">
        <v>390</v>
      </c>
      <c r="G174" s="73">
        <v>599</v>
      </c>
      <c r="H174" s="74">
        <v>299</v>
      </c>
      <c r="I174" s="75">
        <v>319</v>
      </c>
      <c r="J174" s="76">
        <v>191201</v>
      </c>
      <c r="K174" s="76">
        <v>95441</v>
      </c>
    </row>
    <row r="175" spans="2:11" ht="14.25" customHeight="1">
      <c r="B175" s="77">
        <v>10182</v>
      </c>
      <c r="C175" s="102">
        <v>44906</v>
      </c>
      <c r="D175" s="78" t="s">
        <v>398</v>
      </c>
      <c r="E175" s="79" t="s">
        <v>395</v>
      </c>
      <c r="F175" s="78" t="s">
        <v>390</v>
      </c>
      <c r="G175" s="80">
        <v>1299</v>
      </c>
      <c r="H175" s="81">
        <v>459</v>
      </c>
      <c r="I175" s="82">
        <v>210</v>
      </c>
      <c r="J175" s="83">
        <v>272660</v>
      </c>
      <c r="K175" s="83">
        <v>96344</v>
      </c>
    </row>
    <row r="176" spans="2:11" ht="14.25" customHeight="1">
      <c r="B176" s="70">
        <v>10183</v>
      </c>
      <c r="C176" s="101" t="s">
        <v>478</v>
      </c>
      <c r="D176" s="71" t="s">
        <v>398</v>
      </c>
      <c r="E176" s="72" t="s">
        <v>392</v>
      </c>
      <c r="F176" s="71" t="s">
        <v>390</v>
      </c>
      <c r="G176" s="85">
        <v>1099</v>
      </c>
      <c r="H176" s="75">
        <v>289</v>
      </c>
      <c r="I176" s="75">
        <v>198</v>
      </c>
      <c r="J176" s="76">
        <v>217492</v>
      </c>
      <c r="K176" s="76">
        <v>57193</v>
      </c>
    </row>
    <row r="177" spans="2:11" ht="14.25" customHeight="1">
      <c r="B177" s="77">
        <v>10184</v>
      </c>
      <c r="C177" s="102" t="s">
        <v>478</v>
      </c>
      <c r="D177" s="78" t="s">
        <v>386</v>
      </c>
      <c r="E177" s="79" t="s">
        <v>392</v>
      </c>
      <c r="F177" s="78" t="s">
        <v>390</v>
      </c>
      <c r="G177" s="84">
        <v>1099</v>
      </c>
      <c r="H177" s="82">
        <v>289</v>
      </c>
      <c r="I177" s="82">
        <v>122</v>
      </c>
      <c r="J177" s="83">
        <v>134298</v>
      </c>
      <c r="K177" s="83">
        <v>35316</v>
      </c>
    </row>
    <row r="178" spans="2:11" ht="14.25" customHeight="1">
      <c r="B178" s="70">
        <v>10185</v>
      </c>
      <c r="C178" s="101" t="s">
        <v>478</v>
      </c>
      <c r="D178" s="71" t="s">
        <v>398</v>
      </c>
      <c r="E178" s="72" t="s">
        <v>392</v>
      </c>
      <c r="F178" s="71" t="s">
        <v>390</v>
      </c>
      <c r="G178" s="73">
        <v>199</v>
      </c>
      <c r="H178" s="74">
        <v>39</v>
      </c>
      <c r="I178" s="75">
        <v>379</v>
      </c>
      <c r="J178" s="76">
        <v>75481</v>
      </c>
      <c r="K178" s="76">
        <v>14793</v>
      </c>
    </row>
    <row r="179" spans="2:11" ht="14.25" customHeight="1">
      <c r="B179" s="77">
        <v>10186</v>
      </c>
      <c r="C179" s="102" t="s">
        <v>478</v>
      </c>
      <c r="D179" s="78" t="s">
        <v>394</v>
      </c>
      <c r="E179" s="79" t="s">
        <v>392</v>
      </c>
      <c r="F179" s="78" t="s">
        <v>390</v>
      </c>
      <c r="G179" s="80">
        <v>449</v>
      </c>
      <c r="H179" s="81">
        <v>159</v>
      </c>
      <c r="I179" s="82">
        <v>121</v>
      </c>
      <c r="J179" s="83">
        <v>54239</v>
      </c>
      <c r="K179" s="83">
        <v>19207</v>
      </c>
    </row>
    <row r="180" spans="2:11" ht="14.25" customHeight="1">
      <c r="B180" s="70">
        <v>10187</v>
      </c>
      <c r="C180" s="101" t="s">
        <v>478</v>
      </c>
      <c r="D180" s="71" t="s">
        <v>391</v>
      </c>
      <c r="E180" s="72" t="s">
        <v>392</v>
      </c>
      <c r="F180" s="71" t="s">
        <v>390</v>
      </c>
      <c r="G180" s="73">
        <v>449</v>
      </c>
      <c r="H180" s="74">
        <v>159</v>
      </c>
      <c r="I180" s="75">
        <v>454</v>
      </c>
      <c r="J180" s="76">
        <v>203981</v>
      </c>
      <c r="K180" s="76">
        <v>72234</v>
      </c>
    </row>
    <row r="181" spans="2:11" ht="14.25" customHeight="1">
      <c r="B181" s="77">
        <v>10188</v>
      </c>
      <c r="C181" s="102" t="s">
        <v>479</v>
      </c>
      <c r="D181" s="78" t="s">
        <v>386</v>
      </c>
      <c r="E181" s="79" t="s">
        <v>389</v>
      </c>
      <c r="F181" s="78" t="s">
        <v>390</v>
      </c>
      <c r="G181" s="80">
        <v>199</v>
      </c>
      <c r="H181" s="81">
        <v>39</v>
      </c>
      <c r="I181" s="82">
        <v>246</v>
      </c>
      <c r="J181" s="83">
        <v>48914</v>
      </c>
      <c r="K181" s="83">
        <v>9586</v>
      </c>
    </row>
    <row r="182" spans="2:11" ht="14.25" customHeight="1">
      <c r="B182" s="70">
        <v>10189</v>
      </c>
      <c r="C182" s="101" t="s">
        <v>480</v>
      </c>
      <c r="D182" s="71" t="s">
        <v>397</v>
      </c>
      <c r="E182" s="72" t="s">
        <v>387</v>
      </c>
      <c r="F182" s="71" t="s">
        <v>390</v>
      </c>
      <c r="G182" s="73">
        <v>199</v>
      </c>
      <c r="H182" s="74">
        <v>39</v>
      </c>
      <c r="I182" s="75">
        <v>286</v>
      </c>
      <c r="J182" s="76">
        <v>56815</v>
      </c>
      <c r="K182" s="76">
        <v>11135</v>
      </c>
    </row>
    <row r="183" spans="2:11" ht="14.25" customHeight="1">
      <c r="B183" s="77">
        <v>10190</v>
      </c>
      <c r="C183" s="102" t="s">
        <v>478</v>
      </c>
      <c r="D183" s="78" t="s">
        <v>398</v>
      </c>
      <c r="E183" s="79" t="s">
        <v>395</v>
      </c>
      <c r="F183" s="78" t="s">
        <v>388</v>
      </c>
      <c r="G183" s="80">
        <v>199</v>
      </c>
      <c r="H183" s="81">
        <v>39</v>
      </c>
      <c r="I183" s="82">
        <v>242</v>
      </c>
      <c r="J183" s="83">
        <v>48178</v>
      </c>
      <c r="K183" s="83">
        <v>9442</v>
      </c>
    </row>
    <row r="184" spans="2:11" ht="14.25" customHeight="1">
      <c r="B184" s="70">
        <v>10191</v>
      </c>
      <c r="C184" s="101" t="s">
        <v>479</v>
      </c>
      <c r="D184" s="71" t="s">
        <v>394</v>
      </c>
      <c r="E184" s="72" t="s">
        <v>395</v>
      </c>
      <c r="F184" s="71" t="s">
        <v>390</v>
      </c>
      <c r="G184" s="73">
        <v>599</v>
      </c>
      <c r="H184" s="74">
        <v>299</v>
      </c>
      <c r="I184" s="75">
        <v>134</v>
      </c>
      <c r="J184" s="76">
        <v>80206</v>
      </c>
      <c r="K184" s="76">
        <v>40036</v>
      </c>
    </row>
    <row r="185" spans="2:11" ht="14.25" customHeight="1">
      <c r="B185" s="77">
        <v>10192</v>
      </c>
      <c r="C185" s="102" t="s">
        <v>480</v>
      </c>
      <c r="D185" s="78" t="s">
        <v>391</v>
      </c>
      <c r="E185" s="79" t="s">
        <v>395</v>
      </c>
      <c r="F185" s="78" t="s">
        <v>388</v>
      </c>
      <c r="G185" s="80">
        <v>599</v>
      </c>
      <c r="H185" s="81">
        <v>299</v>
      </c>
      <c r="I185" s="82">
        <v>289</v>
      </c>
      <c r="J185" s="83">
        <v>172871</v>
      </c>
      <c r="K185" s="83">
        <v>86291</v>
      </c>
    </row>
    <row r="186" spans="2:11" ht="14.25" customHeight="1">
      <c r="B186" s="70">
        <v>10193</v>
      </c>
      <c r="C186" s="101" t="s">
        <v>481</v>
      </c>
      <c r="D186" s="71" t="s">
        <v>386</v>
      </c>
      <c r="E186" s="72" t="s">
        <v>389</v>
      </c>
      <c r="F186" s="71" t="s">
        <v>390</v>
      </c>
      <c r="G186" s="73">
        <v>199</v>
      </c>
      <c r="H186" s="74">
        <v>39</v>
      </c>
      <c r="I186" s="75">
        <v>200</v>
      </c>
      <c r="J186" s="76">
        <v>39820</v>
      </c>
      <c r="K186" s="76">
        <v>7804</v>
      </c>
    </row>
    <row r="187" spans="2:11" ht="14.25" customHeight="1">
      <c r="B187" s="77">
        <v>10194</v>
      </c>
      <c r="C187" s="102" t="s">
        <v>478</v>
      </c>
      <c r="D187" s="78" t="s">
        <v>386</v>
      </c>
      <c r="E187" s="79" t="s">
        <v>387</v>
      </c>
      <c r="F187" s="78" t="s">
        <v>393</v>
      </c>
      <c r="G187" s="84">
        <v>1099</v>
      </c>
      <c r="H187" s="82">
        <v>289</v>
      </c>
      <c r="I187" s="82">
        <v>214</v>
      </c>
      <c r="J187" s="83">
        <v>234966</v>
      </c>
      <c r="K187" s="83">
        <v>61788</v>
      </c>
    </row>
    <row r="188" spans="2:11" ht="14.25" customHeight="1">
      <c r="B188" s="70">
        <v>10195</v>
      </c>
      <c r="C188" s="101" t="s">
        <v>479</v>
      </c>
      <c r="D188" s="71" t="s">
        <v>398</v>
      </c>
      <c r="E188" s="72" t="s">
        <v>395</v>
      </c>
      <c r="F188" s="71" t="s">
        <v>396</v>
      </c>
      <c r="G188" s="73">
        <v>1299</v>
      </c>
      <c r="H188" s="74">
        <v>459</v>
      </c>
      <c r="I188" s="75">
        <v>124</v>
      </c>
      <c r="J188" s="76">
        <v>161076</v>
      </c>
      <c r="K188" s="76">
        <v>56916</v>
      </c>
    </row>
    <row r="189" spans="2:11" ht="14.25" customHeight="1">
      <c r="B189" s="77">
        <v>10196</v>
      </c>
      <c r="C189" s="102" t="s">
        <v>480</v>
      </c>
      <c r="D189" s="78" t="s">
        <v>397</v>
      </c>
      <c r="E189" s="79" t="s">
        <v>387</v>
      </c>
      <c r="F189" s="78" t="s">
        <v>390</v>
      </c>
      <c r="G189" s="80">
        <v>199</v>
      </c>
      <c r="H189" s="81">
        <v>39</v>
      </c>
      <c r="I189" s="82">
        <v>285</v>
      </c>
      <c r="J189" s="83">
        <v>56735</v>
      </c>
      <c r="K189" s="83">
        <v>11119</v>
      </c>
    </row>
    <row r="190" spans="2:11" ht="14.25" customHeight="1">
      <c r="B190" s="70">
        <v>10197</v>
      </c>
      <c r="C190" s="101" t="s">
        <v>481</v>
      </c>
      <c r="D190" s="71" t="s">
        <v>397</v>
      </c>
      <c r="E190" s="72" t="s">
        <v>387</v>
      </c>
      <c r="F190" s="71" t="s">
        <v>390</v>
      </c>
      <c r="G190" s="73">
        <v>199</v>
      </c>
      <c r="H190" s="74">
        <v>39</v>
      </c>
      <c r="I190" s="75">
        <v>229</v>
      </c>
      <c r="J190" s="76">
        <v>45551</v>
      </c>
      <c r="K190" s="76">
        <v>8927</v>
      </c>
    </row>
    <row r="191" spans="2:11" ht="14.25" customHeight="1">
      <c r="B191" s="77">
        <v>10198</v>
      </c>
      <c r="C191" s="102" t="s">
        <v>482</v>
      </c>
      <c r="D191" s="78" t="s">
        <v>398</v>
      </c>
      <c r="E191" s="79" t="s">
        <v>387</v>
      </c>
      <c r="F191" s="78" t="s">
        <v>396</v>
      </c>
      <c r="G191" s="80">
        <v>199</v>
      </c>
      <c r="H191" s="81">
        <v>39</v>
      </c>
      <c r="I191" s="82">
        <v>361</v>
      </c>
      <c r="J191" s="83">
        <v>71839</v>
      </c>
      <c r="K191" s="83">
        <v>14079</v>
      </c>
    </row>
    <row r="192" spans="2:11" ht="14.25" customHeight="1">
      <c r="B192" s="70">
        <v>10199</v>
      </c>
      <c r="C192" s="101" t="s">
        <v>483</v>
      </c>
      <c r="D192" s="71" t="s">
        <v>398</v>
      </c>
      <c r="E192" s="72" t="s">
        <v>387</v>
      </c>
      <c r="F192" s="71" t="s">
        <v>390</v>
      </c>
      <c r="G192" s="73">
        <v>1099</v>
      </c>
      <c r="H192" s="74">
        <v>289</v>
      </c>
      <c r="I192" s="75">
        <v>426</v>
      </c>
      <c r="J192" s="76">
        <v>467844</v>
      </c>
      <c r="K192" s="76">
        <v>123027</v>
      </c>
    </row>
    <row r="193" spans="2:11" ht="14.25" customHeight="1">
      <c r="B193" s="77">
        <v>10200</v>
      </c>
      <c r="C193" s="102" t="s">
        <v>484</v>
      </c>
      <c r="D193" s="78" t="s">
        <v>398</v>
      </c>
      <c r="E193" s="79" t="s">
        <v>395</v>
      </c>
      <c r="F193" s="78" t="s">
        <v>388</v>
      </c>
      <c r="G193" s="80">
        <v>199</v>
      </c>
      <c r="H193" s="81">
        <v>39</v>
      </c>
      <c r="I193" s="82">
        <v>242</v>
      </c>
      <c r="J193" s="83">
        <v>48178</v>
      </c>
      <c r="K193" s="83">
        <v>9442</v>
      </c>
    </row>
    <row r="194" spans="2:11" ht="14.25" customHeight="1">
      <c r="B194" s="70">
        <v>10201</v>
      </c>
      <c r="C194" s="101" t="s">
        <v>485</v>
      </c>
      <c r="D194" s="71" t="s">
        <v>394</v>
      </c>
      <c r="E194" s="72" t="s">
        <v>395</v>
      </c>
      <c r="F194" s="71" t="s">
        <v>390</v>
      </c>
      <c r="G194" s="73">
        <v>599</v>
      </c>
      <c r="H194" s="74">
        <v>299</v>
      </c>
      <c r="I194" s="75">
        <v>134</v>
      </c>
      <c r="J194" s="76">
        <v>80206</v>
      </c>
      <c r="K194" s="76">
        <v>40036</v>
      </c>
    </row>
    <row r="195" spans="2:11" ht="14.25" customHeight="1">
      <c r="B195" s="77">
        <v>10202</v>
      </c>
      <c r="C195" s="102" t="s">
        <v>486</v>
      </c>
      <c r="D195" s="78" t="s">
        <v>391</v>
      </c>
      <c r="E195" s="79" t="s">
        <v>395</v>
      </c>
      <c r="F195" s="78" t="s">
        <v>388</v>
      </c>
      <c r="G195" s="80">
        <v>599</v>
      </c>
      <c r="H195" s="81">
        <v>299</v>
      </c>
      <c r="I195" s="82">
        <v>289</v>
      </c>
      <c r="J195" s="83">
        <v>172871</v>
      </c>
      <c r="K195" s="83">
        <v>86291</v>
      </c>
    </row>
    <row r="196" spans="2:11" ht="14.25" customHeight="1">
      <c r="B196" s="70">
        <v>10203</v>
      </c>
      <c r="C196" s="101" t="s">
        <v>487</v>
      </c>
      <c r="D196" s="71" t="s">
        <v>386</v>
      </c>
      <c r="E196" s="72" t="s">
        <v>389</v>
      </c>
      <c r="F196" s="71" t="s">
        <v>390</v>
      </c>
      <c r="G196" s="73">
        <v>199</v>
      </c>
      <c r="H196" s="74">
        <v>39</v>
      </c>
      <c r="I196" s="75">
        <v>200</v>
      </c>
      <c r="J196" s="76">
        <v>39820</v>
      </c>
      <c r="K196" s="76">
        <v>7804</v>
      </c>
    </row>
    <row r="197" spans="2:11" ht="14.25" customHeight="1">
      <c r="B197" s="77">
        <v>10204</v>
      </c>
      <c r="C197" s="102" t="s">
        <v>488</v>
      </c>
      <c r="D197" s="78" t="s">
        <v>386</v>
      </c>
      <c r="E197" s="79" t="s">
        <v>387</v>
      </c>
      <c r="F197" s="78" t="s">
        <v>393</v>
      </c>
      <c r="G197" s="84">
        <v>1099</v>
      </c>
      <c r="H197" s="82">
        <v>289</v>
      </c>
      <c r="I197" s="82">
        <v>214</v>
      </c>
      <c r="J197" s="83">
        <v>234966</v>
      </c>
      <c r="K197" s="83">
        <v>61788</v>
      </c>
    </row>
    <row r="198" spans="2:11" ht="14.25" customHeight="1">
      <c r="B198" s="70">
        <v>10205</v>
      </c>
      <c r="C198" s="101" t="s">
        <v>489</v>
      </c>
      <c r="D198" s="71" t="s">
        <v>398</v>
      </c>
      <c r="E198" s="72" t="s">
        <v>395</v>
      </c>
      <c r="F198" s="71" t="s">
        <v>396</v>
      </c>
      <c r="G198" s="73">
        <v>1299</v>
      </c>
      <c r="H198" s="74">
        <v>459</v>
      </c>
      <c r="I198" s="75">
        <v>124</v>
      </c>
      <c r="J198" s="76">
        <v>161076</v>
      </c>
      <c r="K198" s="76">
        <v>56916</v>
      </c>
    </row>
    <row r="199" spans="2:11" ht="14.25" customHeight="1">
      <c r="B199" s="77">
        <v>10206</v>
      </c>
      <c r="C199" s="102" t="s">
        <v>490</v>
      </c>
      <c r="D199" s="78" t="s">
        <v>397</v>
      </c>
      <c r="E199" s="79" t="s">
        <v>387</v>
      </c>
      <c r="F199" s="78" t="s">
        <v>390</v>
      </c>
      <c r="G199" s="80">
        <v>199</v>
      </c>
      <c r="H199" s="81">
        <v>39</v>
      </c>
      <c r="I199" s="82">
        <v>285</v>
      </c>
      <c r="J199" s="83">
        <v>56735</v>
      </c>
      <c r="K199" s="83">
        <v>11119</v>
      </c>
    </row>
    <row r="200" spans="2:11" ht="14.25" customHeight="1">
      <c r="B200" s="70">
        <v>10207</v>
      </c>
      <c r="C200" s="101" t="s">
        <v>491</v>
      </c>
      <c r="D200" s="71" t="s">
        <v>397</v>
      </c>
      <c r="E200" s="72" t="s">
        <v>387</v>
      </c>
      <c r="F200" s="71" t="s">
        <v>390</v>
      </c>
      <c r="G200" s="73">
        <v>199</v>
      </c>
      <c r="H200" s="74">
        <v>39</v>
      </c>
      <c r="I200" s="75">
        <v>229</v>
      </c>
      <c r="J200" s="76">
        <v>45551</v>
      </c>
      <c r="K200" s="76">
        <v>8927</v>
      </c>
    </row>
    <row r="201" spans="2:11" ht="14.25" customHeight="1">
      <c r="B201" s="86">
        <v>10208</v>
      </c>
      <c r="C201" s="103" t="s">
        <v>492</v>
      </c>
      <c r="D201" s="88" t="s">
        <v>398</v>
      </c>
      <c r="E201" s="89" t="s">
        <v>387</v>
      </c>
      <c r="F201" s="88" t="s">
        <v>396</v>
      </c>
      <c r="G201" s="90">
        <v>199</v>
      </c>
      <c r="H201" s="91">
        <v>39</v>
      </c>
      <c r="I201" s="87">
        <v>361</v>
      </c>
      <c r="J201" s="92">
        <v>71839</v>
      </c>
      <c r="K201" s="92">
        <v>14079</v>
      </c>
    </row>
  </sheetData>
  <pageMargins left="0.7" right="0.7" top="0.75" bottom="0.75" header="0" footer="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G3:H17"/>
  <sheetViews>
    <sheetView zoomScale="145" zoomScaleNormal="145" workbookViewId="0"/>
  </sheetViews>
  <sheetFormatPr defaultColWidth="12.6640625" defaultRowHeight="15" customHeight="1"/>
  <cols>
    <col min="1" max="1" width="8.6640625" customWidth="1"/>
    <col min="2" max="2" width="10.33203125" customWidth="1"/>
    <col min="3" max="6" width="8.6640625" customWidth="1"/>
    <col min="7" max="7" width="10.6640625" bestFit="1" customWidth="1"/>
    <col min="8" max="8" width="26.109375" customWidth="1"/>
    <col min="9" max="26" width="8.6640625" customWidth="1"/>
  </cols>
  <sheetData>
    <row r="3" spans="7:8" ht="14.25" customHeight="1">
      <c r="G3" s="93" t="s">
        <v>267</v>
      </c>
      <c r="H3" s="93" t="s">
        <v>493</v>
      </c>
    </row>
    <row r="4" spans="7:8" ht="14.25" customHeight="1">
      <c r="G4" s="133">
        <v>44562</v>
      </c>
      <c r="H4" s="115" t="s">
        <v>494</v>
      </c>
    </row>
    <row r="5" spans="7:8" ht="14.25" customHeight="1">
      <c r="G5" s="115" t="s">
        <v>495</v>
      </c>
      <c r="H5" s="115" t="s">
        <v>496</v>
      </c>
    </row>
    <row r="6" spans="7:8" ht="14.25" customHeight="1">
      <c r="G6" s="115" t="s">
        <v>497</v>
      </c>
      <c r="H6" s="115" t="s">
        <v>498</v>
      </c>
    </row>
    <row r="7" spans="7:8" ht="14.25" customHeight="1">
      <c r="G7" s="133">
        <v>44563</v>
      </c>
      <c r="H7" s="115" t="s">
        <v>499</v>
      </c>
    </row>
    <row r="8" spans="7:8" ht="14.25" customHeight="1">
      <c r="G8" s="133">
        <v>44566</v>
      </c>
      <c r="H8" s="115" t="s">
        <v>500</v>
      </c>
    </row>
    <row r="9" spans="7:8" ht="14.25" customHeight="1">
      <c r="G9" s="115" t="s">
        <v>501</v>
      </c>
      <c r="H9" s="115" t="s">
        <v>502</v>
      </c>
    </row>
    <row r="10" spans="7:8" ht="14.25" customHeight="1">
      <c r="G10" s="133">
        <v>44748</v>
      </c>
      <c r="H10" s="115" t="s">
        <v>503</v>
      </c>
    </row>
    <row r="11" spans="7:8" ht="14.25" customHeight="1">
      <c r="G11" s="115" t="s">
        <v>504</v>
      </c>
      <c r="H11" s="115" t="s">
        <v>505</v>
      </c>
    </row>
    <row r="12" spans="7:8" ht="14.25" customHeight="1">
      <c r="G12" s="115" t="s">
        <v>506</v>
      </c>
      <c r="H12" s="115" t="s">
        <v>507</v>
      </c>
    </row>
    <row r="13" spans="7:8" ht="14.25" customHeight="1">
      <c r="G13" s="115" t="s">
        <v>508</v>
      </c>
      <c r="H13" s="115" t="s">
        <v>509</v>
      </c>
    </row>
    <row r="14" spans="7:8" ht="14.25" customHeight="1">
      <c r="G14" s="115" t="s">
        <v>510</v>
      </c>
      <c r="H14" s="115" t="s">
        <v>511</v>
      </c>
    </row>
    <row r="15" spans="7:8" ht="14.25" customHeight="1">
      <c r="G15" s="133">
        <v>44691</v>
      </c>
      <c r="H15" s="115" t="s">
        <v>512</v>
      </c>
    </row>
    <row r="16" spans="7:8" ht="14.25" customHeight="1">
      <c r="G16" s="115" t="s">
        <v>474</v>
      </c>
      <c r="H16" s="115" t="s">
        <v>513</v>
      </c>
    </row>
    <row r="17" spans="7:8" ht="14.25" customHeight="1">
      <c r="G17" s="115" t="s">
        <v>514</v>
      </c>
      <c r="H17" s="115" t="s">
        <v>515</v>
      </c>
    </row>
  </sheetData>
  <pageMargins left="0.7" right="0.7" top="0.75" bottom="0.75" header="0" footer="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B396A-1B1A-43B0-B33A-094CB642CDE3}">
  <dimension ref="B2:D12"/>
  <sheetViews>
    <sheetView showGridLines="0" workbookViewId="0"/>
  </sheetViews>
  <sheetFormatPr defaultRowHeight="14.4"/>
  <cols>
    <col min="2" max="2" width="3.6640625" customWidth="1"/>
    <col min="3" max="3" width="10.5546875" bestFit="1" customWidth="1"/>
    <col min="4" max="4" width="14.21875" bestFit="1" customWidth="1"/>
  </cols>
  <sheetData>
    <row r="2" spans="2:4">
      <c r="B2" s="147" t="s">
        <v>1087</v>
      </c>
    </row>
    <row r="4" spans="2:4">
      <c r="C4" s="148" t="s">
        <v>519</v>
      </c>
      <c r="D4" t="s">
        <v>1088</v>
      </c>
    </row>
    <row r="5" spans="2:4">
      <c r="C5" t="s">
        <v>534</v>
      </c>
      <c r="D5">
        <v>445</v>
      </c>
    </row>
    <row r="6" spans="2:4">
      <c r="C6" t="s">
        <v>522</v>
      </c>
      <c r="D6">
        <v>395</v>
      </c>
    </row>
    <row r="7" spans="2:4">
      <c r="C7" t="s">
        <v>532</v>
      </c>
      <c r="D7">
        <v>335</v>
      </c>
    </row>
    <row r="8" spans="2:4">
      <c r="C8" t="s">
        <v>533</v>
      </c>
      <c r="D8">
        <v>334</v>
      </c>
    </row>
    <row r="9" spans="2:4">
      <c r="C9" t="s">
        <v>525</v>
      </c>
      <c r="D9">
        <v>333</v>
      </c>
    </row>
    <row r="10" spans="2:4">
      <c r="C10" t="s">
        <v>543</v>
      </c>
      <c r="D10">
        <v>316</v>
      </c>
    </row>
    <row r="11" spans="2:4">
      <c r="C11" t="s">
        <v>529</v>
      </c>
      <c r="D11">
        <v>299</v>
      </c>
    </row>
    <row r="12" spans="2:4">
      <c r="C12" t="s">
        <v>1089</v>
      </c>
      <c r="D12">
        <v>2457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6</vt:i4>
      </vt:variant>
    </vt:vector>
  </HeadingPairs>
  <TitlesOfParts>
    <vt:vector size="27" baseType="lpstr">
      <vt:lpstr>Main Page</vt:lpstr>
      <vt:lpstr>Reference</vt:lpstr>
      <vt:lpstr>Price</vt:lpstr>
      <vt:lpstr>Mathematical Funtion</vt:lpstr>
      <vt:lpstr>Logical Funtion</vt:lpstr>
      <vt:lpstr>Match</vt:lpstr>
      <vt:lpstr>VLookUp</vt:lpstr>
      <vt:lpstr>VlookUp Dashboard</vt:lpstr>
      <vt:lpstr>XLookUp</vt:lpstr>
      <vt:lpstr>Text Function</vt:lpstr>
      <vt:lpstr>Conditional Formatting</vt:lpstr>
      <vt:lpstr>Date Function</vt:lpstr>
      <vt:lpstr>Goal Seek</vt:lpstr>
      <vt:lpstr>FV Data Table</vt:lpstr>
      <vt:lpstr>Data Validation</vt:lpstr>
      <vt:lpstr>Progress</vt:lpstr>
      <vt:lpstr>Financial Fx</vt:lpstr>
      <vt:lpstr>Exercise</vt:lpstr>
      <vt:lpstr>Pivot Table</vt:lpstr>
      <vt:lpstr>Holiday List</vt:lpstr>
      <vt:lpstr>Sheet1</vt:lpstr>
      <vt:lpstr>Car_Price</vt:lpstr>
      <vt:lpstr>'Date Function'!Criteria</vt:lpstr>
      <vt:lpstr>XLookUp!Criteria</vt:lpstr>
      <vt:lpstr>'Date Function'!Extract</vt:lpstr>
      <vt:lpstr>XLookUp!Extract</vt:lpstr>
      <vt:lpstr>Filter_Table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 SYAHMI</dc:creator>
  <cp:keywords/>
  <dc:description/>
  <cp:lastModifiedBy>Fakhrul Syahmi</cp:lastModifiedBy>
  <cp:revision/>
  <dcterms:created xsi:type="dcterms:W3CDTF">2024-07-16T02:46:55Z</dcterms:created>
  <dcterms:modified xsi:type="dcterms:W3CDTF">2025-11-21T06:21:02Z</dcterms:modified>
  <cp:category/>
  <cp:contentStatus/>
</cp:coreProperties>
</file>