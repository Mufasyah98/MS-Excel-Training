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77B72412-D9C4-4111-B9EC-2A2177B2517D}" xr6:coauthVersionLast="47" xr6:coauthVersionMax="47" xr10:uidLastSave="{00000000-0000-0000-0000-000000000000}"/>
  <bookViews>
    <workbookView xWindow="-108" yWindow="-108" windowWidth="23256" windowHeight="12456" xr2:uid="{530111BB-5669-47EF-8597-DB95F4477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9" i="1" l="1"/>
  <c r="C88" i="1"/>
  <c r="B83" i="1"/>
  <c r="E83" i="1" s="1"/>
  <c r="B82" i="1"/>
  <c r="E82" i="1" s="1"/>
  <c r="B81" i="1"/>
  <c r="E81" i="1" s="1"/>
  <c r="B76" i="1"/>
  <c r="C60" i="1"/>
  <c r="C59" i="1"/>
  <c r="B54" i="1"/>
  <c r="E54" i="1" s="1"/>
  <c r="B53" i="1"/>
  <c r="E53" i="1" s="1"/>
  <c r="B52" i="1"/>
  <c r="E52" i="1" s="1"/>
  <c r="B47" i="1"/>
  <c r="C31" i="1"/>
  <c r="C30" i="1"/>
  <c r="E25" i="1"/>
  <c r="B25" i="1"/>
  <c r="B24" i="1"/>
  <c r="E24" i="1" s="1"/>
  <c r="B23" i="1"/>
  <c r="E23" i="1" s="1"/>
  <c r="B18" i="1"/>
</calcChain>
</file>

<file path=xl/sharedStrings.xml><?xml version="1.0" encoding="utf-8"?>
<sst xmlns="http://schemas.openxmlformats.org/spreadsheetml/2006/main" count="105" uniqueCount="29">
  <si>
    <t>🏭 EXERCISE 7: SOLVER - Production Optimization</t>
  </si>
  <si>
    <t>📋 SCENARIO:</t>
  </si>
  <si>
    <t>You are a production manager at a furniture factory. You produce 3 products: Chairs, Tables, and Bookcases.</t>
  </si>
  <si>
    <t>Each product requires different amounts of Wood (board feet), Labor (hours), and Machine time (hours).</t>
  </si>
  <si>
    <t>Use Solver to determine how many of each product to make to MAXIMIZE total profit.</t>
  </si>
  <si>
    <t>📦 PRODUCTION MODEL:</t>
  </si>
  <si>
    <t>Product</t>
  </si>
  <si>
    <t>Units to Produce</t>
  </si>
  <si>
    <t>Profit per Unit</t>
  </si>
  <si>
    <t>Wood Required</t>
  </si>
  <si>
    <t>Labor Required</t>
  </si>
  <si>
    <t>Machine Hours</t>
  </si>
  <si>
    <t>Chair</t>
  </si>
  <si>
    <t>Table</t>
  </si>
  <si>
    <t>Bookcase</t>
  </si>
  <si>
    <t>📊 OBJECTIVE (Maximize):</t>
  </si>
  <si>
    <t>Total Profit</t>
  </si>
  <si>
    <t>📋 RESOURCE CONSTRAINTS:</t>
  </si>
  <si>
    <t>Resource</t>
  </si>
  <si>
    <t>Used</t>
  </si>
  <si>
    <t>Constraint</t>
  </si>
  <si>
    <t>Available</t>
  </si>
  <si>
    <t>Status</t>
  </si>
  <si>
    <t>Wood (board ft)</t>
  </si>
  <si>
    <t>≤</t>
  </si>
  <si>
    <t>Labor (hours)</t>
  </si>
  <si>
    <t>Machine (hours)</t>
  </si>
  <si>
    <t>📋 MINIMUM PRODUCTION REQUIREMENTS:</t>
  </si>
  <si>
    <t>Min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</si>
</sst>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0" fillId="0" borderId="0" xfId="0"/>
    <xf numFmtId="0" fontId="1" fillId="0" borderId="0" xfId="0" applyFont="1"/>
    <xf numFmtId="0" fontId="1" fillId="3" borderId="0" xfId="0" applyFont="1" applyFill="1"/>
    <xf numFmtId="164" fontId="0" fillId="0" borderId="0" xfId="0" applyNumberFormat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7543-7ECB-41F0-8C94-128493C09670}">
  <dimension ref="A3:I89"/>
  <sheetViews>
    <sheetView tabSelected="1" topLeftCell="A60" workbookViewId="0">
      <selection sqref="A1:I1048576"/>
    </sheetView>
  </sheetViews>
  <sheetFormatPr defaultRowHeight="14.4" x14ac:dyDescent="0.3"/>
  <cols>
    <col min="1" max="1" width="38.6640625" bestFit="1" customWidth="1"/>
    <col min="2" max="2" width="14.6640625" bestFit="1" customWidth="1"/>
    <col min="3" max="3" width="12.44140625" bestFit="1" customWidth="1"/>
    <col min="4" max="4" width="13.77734375" bestFit="1" customWidth="1"/>
    <col min="5" max="5" width="13.6640625" bestFit="1" customWidth="1"/>
    <col min="6" max="6" width="13.33203125" bestFit="1" customWidth="1"/>
  </cols>
  <sheetData>
    <row r="3" spans="1:9" ht="18" x14ac:dyDescent="0.35">
      <c r="A3" s="1" t="s">
        <v>0</v>
      </c>
      <c r="B3" s="2"/>
      <c r="C3" s="2"/>
      <c r="D3" s="2"/>
      <c r="E3" s="2"/>
      <c r="F3" s="2"/>
      <c r="G3" s="2"/>
      <c r="H3" s="2"/>
      <c r="I3" s="2"/>
    </row>
    <row r="5" spans="1:9" x14ac:dyDescent="0.3">
      <c r="A5" s="3" t="s">
        <v>1</v>
      </c>
    </row>
    <row r="6" spans="1:9" x14ac:dyDescent="0.3">
      <c r="A6" s="2" t="s">
        <v>2</v>
      </c>
      <c r="B6" s="2"/>
      <c r="C6" s="2"/>
      <c r="D6" s="2"/>
      <c r="E6" s="2"/>
      <c r="F6" s="2"/>
      <c r="G6" s="2"/>
      <c r="H6" s="2"/>
      <c r="I6" s="2"/>
    </row>
    <row r="7" spans="1:9" x14ac:dyDescent="0.3">
      <c r="A7" s="2" t="s">
        <v>3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2" t="s">
        <v>4</v>
      </c>
      <c r="B8" s="2"/>
      <c r="C8" s="2"/>
      <c r="D8" s="2"/>
      <c r="E8" s="2"/>
      <c r="F8" s="2"/>
      <c r="G8" s="2"/>
      <c r="H8" s="2"/>
      <c r="I8" s="2"/>
    </row>
    <row r="11" spans="1:9" x14ac:dyDescent="0.3">
      <c r="A11" s="3" t="s">
        <v>5</v>
      </c>
    </row>
    <row r="12" spans="1:9" x14ac:dyDescent="0.3">
      <c r="A12" s="4" t="s">
        <v>6</v>
      </c>
      <c r="B12" s="4" t="s">
        <v>7</v>
      </c>
      <c r="C12" s="4" t="s">
        <v>8</v>
      </c>
      <c r="D12" s="4" t="s">
        <v>9</v>
      </c>
      <c r="E12" s="4" t="s">
        <v>10</v>
      </c>
      <c r="F12" s="4" t="s">
        <v>11</v>
      </c>
    </row>
    <row r="13" spans="1:9" x14ac:dyDescent="0.3">
      <c r="A13" t="s">
        <v>12</v>
      </c>
      <c r="B13">
        <v>0</v>
      </c>
      <c r="C13" s="5">
        <v>70</v>
      </c>
      <c r="D13">
        <v>8</v>
      </c>
      <c r="E13">
        <v>4</v>
      </c>
      <c r="F13">
        <v>2</v>
      </c>
    </row>
    <row r="14" spans="1:9" x14ac:dyDescent="0.3">
      <c r="A14" t="s">
        <v>13</v>
      </c>
      <c r="B14">
        <v>0</v>
      </c>
      <c r="C14" s="5">
        <v>75</v>
      </c>
      <c r="D14">
        <v>9</v>
      </c>
      <c r="E14">
        <v>4.5</v>
      </c>
      <c r="F14">
        <v>2.25</v>
      </c>
    </row>
    <row r="15" spans="1:9" x14ac:dyDescent="0.3">
      <c r="A15" t="s">
        <v>14</v>
      </c>
      <c r="B15">
        <v>0</v>
      </c>
      <c r="C15" s="5">
        <v>80</v>
      </c>
      <c r="D15">
        <v>10</v>
      </c>
      <c r="E15">
        <v>5</v>
      </c>
      <c r="F15">
        <v>2.5</v>
      </c>
    </row>
    <row r="17" spans="1:9" x14ac:dyDescent="0.3">
      <c r="A17" s="3" t="s">
        <v>15</v>
      </c>
    </row>
    <row r="18" spans="1:9" x14ac:dyDescent="0.3">
      <c r="A18" t="s">
        <v>16</v>
      </c>
      <c r="B18" s="6">
        <f>SUMPRODUCT(B13:B15,C13:C15)</f>
        <v>0</v>
      </c>
    </row>
    <row r="21" spans="1:9" x14ac:dyDescent="0.3">
      <c r="A21" s="3" t="s">
        <v>17</v>
      </c>
    </row>
    <row r="22" spans="1:9" x14ac:dyDescent="0.3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</row>
    <row r="23" spans="1:9" x14ac:dyDescent="0.3">
      <c r="A23" t="s">
        <v>23</v>
      </c>
      <c r="B23">
        <f>SUMPRODUCT(B13:B15,D13:D15)</f>
        <v>0</v>
      </c>
      <c r="C23" t="s">
        <v>24</v>
      </c>
      <c r="D23">
        <v>-33.3333333333333</v>
      </c>
      <c r="E23" t="str">
        <f>IF(B23&lt;=D23,"OK","EXCEEDED")</f>
        <v>EXCEEDED</v>
      </c>
    </row>
    <row r="24" spans="1:9" x14ac:dyDescent="0.3">
      <c r="A24" t="s">
        <v>25</v>
      </c>
      <c r="B24">
        <f>SUMPRODUCT(B13:B15,E13:E15)</f>
        <v>0</v>
      </c>
      <c r="C24" t="s">
        <v>24</v>
      </c>
      <c r="D24">
        <v>-108.333333333333</v>
      </c>
      <c r="E24" t="str">
        <f>IF(B24&lt;=D24,"OK","EXCEEDED")</f>
        <v>EXCEEDED</v>
      </c>
    </row>
    <row r="25" spans="1:9" x14ac:dyDescent="0.3">
      <c r="A25" t="s">
        <v>26</v>
      </c>
      <c r="B25">
        <f>SUMPRODUCT(B13:B15,F13:F15)</f>
        <v>0</v>
      </c>
      <c r="C25" t="s">
        <v>24</v>
      </c>
      <c r="D25">
        <v>-183.333333333333</v>
      </c>
      <c r="E25" t="str">
        <f>IF(B25&lt;=D25,"OK","EXCEEDED")</f>
        <v>EXCEEDED</v>
      </c>
    </row>
    <row r="28" spans="1:9" x14ac:dyDescent="0.3">
      <c r="A28" s="3" t="s">
        <v>27</v>
      </c>
    </row>
    <row r="29" spans="1:9" x14ac:dyDescent="0.3">
      <c r="A29" s="4" t="s">
        <v>6</v>
      </c>
      <c r="B29" s="4" t="s">
        <v>28</v>
      </c>
      <c r="C29" s="4" t="s">
        <v>22</v>
      </c>
    </row>
    <row r="30" spans="1:9" x14ac:dyDescent="0.3">
      <c r="A30" t="s">
        <v>12</v>
      </c>
      <c r="B30">
        <v>1</v>
      </c>
      <c r="C30" t="str">
        <f>IF(B13&gt;=B30,"OK","BELOW MIN")</f>
        <v>BELOW MIN</v>
      </c>
    </row>
    <row r="31" spans="1:9" x14ac:dyDescent="0.3">
      <c r="A31" t="s">
        <v>13</v>
      </c>
      <c r="B31">
        <v>-1</v>
      </c>
      <c r="C31" t="str">
        <f>IF(B14&gt;=B31,"OK","BELOW MIN")</f>
        <v>OK</v>
      </c>
    </row>
    <row r="32" spans="1:9" ht="18" x14ac:dyDescent="0.35">
      <c r="A32" s="1" t="s">
        <v>0</v>
      </c>
      <c r="B32" s="2"/>
      <c r="C32" s="2"/>
      <c r="D32" s="2"/>
      <c r="E32" s="2"/>
      <c r="F32" s="2"/>
      <c r="G32" s="2"/>
      <c r="H32" s="2"/>
      <c r="I32" s="2"/>
    </row>
    <row r="34" spans="1:9" x14ac:dyDescent="0.3">
      <c r="A34" s="3" t="s">
        <v>1</v>
      </c>
    </row>
    <row r="35" spans="1:9" x14ac:dyDescent="0.3">
      <c r="A35" s="2" t="s">
        <v>2</v>
      </c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 t="s">
        <v>3</v>
      </c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 t="s">
        <v>4</v>
      </c>
      <c r="B37" s="2"/>
      <c r="C37" s="2"/>
      <c r="D37" s="2"/>
      <c r="E37" s="2"/>
      <c r="F37" s="2"/>
      <c r="G37" s="2"/>
      <c r="H37" s="2"/>
      <c r="I37" s="2"/>
    </row>
    <row r="40" spans="1:9" x14ac:dyDescent="0.3">
      <c r="A40" s="3" t="s">
        <v>5</v>
      </c>
    </row>
    <row r="41" spans="1:9" x14ac:dyDescent="0.3">
      <c r="A41" s="4" t="s">
        <v>6</v>
      </c>
      <c r="B41" s="4" t="s">
        <v>7</v>
      </c>
      <c r="C41" s="4" t="s">
        <v>8</v>
      </c>
      <c r="D41" s="4" t="s">
        <v>9</v>
      </c>
      <c r="E41" s="4" t="s">
        <v>10</v>
      </c>
      <c r="F41" s="4" t="s">
        <v>11</v>
      </c>
    </row>
    <row r="42" spans="1:9" x14ac:dyDescent="0.3">
      <c r="A42" t="s">
        <v>12</v>
      </c>
      <c r="B42">
        <v>0</v>
      </c>
      <c r="C42" s="5">
        <v>70</v>
      </c>
      <c r="D42">
        <v>8</v>
      </c>
      <c r="E42">
        <v>4</v>
      </c>
      <c r="F42">
        <v>2</v>
      </c>
    </row>
    <row r="43" spans="1:9" x14ac:dyDescent="0.3">
      <c r="A43" t="s">
        <v>13</v>
      </c>
      <c r="B43">
        <v>0</v>
      </c>
      <c r="C43" s="5">
        <v>75</v>
      </c>
      <c r="D43">
        <v>9</v>
      </c>
      <c r="E43">
        <v>4.5</v>
      </c>
      <c r="F43">
        <v>2.25</v>
      </c>
    </row>
    <row r="44" spans="1:9" x14ac:dyDescent="0.3">
      <c r="A44" t="s">
        <v>14</v>
      </c>
      <c r="B44">
        <v>0</v>
      </c>
      <c r="C44" s="5">
        <v>80</v>
      </c>
      <c r="D44">
        <v>10</v>
      </c>
      <c r="E44">
        <v>5</v>
      </c>
      <c r="F44">
        <v>2.5</v>
      </c>
    </row>
    <row r="46" spans="1:9" x14ac:dyDescent="0.3">
      <c r="A46" s="3" t="s">
        <v>15</v>
      </c>
    </row>
    <row r="47" spans="1:9" x14ac:dyDescent="0.3">
      <c r="A47" t="s">
        <v>16</v>
      </c>
      <c r="B47" s="6">
        <f>SUMPRODUCT(B42:B44,C42:C44)</f>
        <v>0</v>
      </c>
    </row>
    <row r="50" spans="1:9" x14ac:dyDescent="0.3">
      <c r="A50" s="3" t="s">
        <v>17</v>
      </c>
    </row>
    <row r="51" spans="1:9" x14ac:dyDescent="0.3">
      <c r="A51" s="4" t="s">
        <v>18</v>
      </c>
      <c r="B51" s="4" t="s">
        <v>19</v>
      </c>
      <c r="C51" s="4" t="s">
        <v>20</v>
      </c>
      <c r="D51" s="4" t="s">
        <v>21</v>
      </c>
      <c r="E51" s="4" t="s">
        <v>22</v>
      </c>
    </row>
    <row r="52" spans="1:9" x14ac:dyDescent="0.3">
      <c r="A52" t="s">
        <v>23</v>
      </c>
      <c r="B52">
        <f>SUMPRODUCT(B42:B44,D42:D44)</f>
        <v>0</v>
      </c>
      <c r="C52" t="s">
        <v>24</v>
      </c>
      <c r="D52">
        <v>-33.3333333333333</v>
      </c>
      <c r="E52" t="str">
        <f>IF(B52&lt;=D52,"OK","EXCEEDED")</f>
        <v>EXCEEDED</v>
      </c>
    </row>
    <row r="53" spans="1:9" x14ac:dyDescent="0.3">
      <c r="A53" t="s">
        <v>25</v>
      </c>
      <c r="B53">
        <f>SUMPRODUCT(B42:B44,E42:E44)</f>
        <v>0</v>
      </c>
      <c r="C53" t="s">
        <v>24</v>
      </c>
      <c r="D53">
        <v>-108.333333333333</v>
      </c>
      <c r="E53" t="str">
        <f>IF(B53&lt;=D53,"OK","EXCEEDED")</f>
        <v>EXCEEDED</v>
      </c>
    </row>
    <row r="54" spans="1:9" x14ac:dyDescent="0.3">
      <c r="A54" t="s">
        <v>26</v>
      </c>
      <c r="B54">
        <f>SUMPRODUCT(B42:B44,F42:F44)</f>
        <v>0</v>
      </c>
      <c r="C54" t="s">
        <v>24</v>
      </c>
      <c r="D54">
        <v>-183.333333333333</v>
      </c>
      <c r="E54" t="str">
        <f>IF(B54&lt;=D54,"OK","EXCEEDED")</f>
        <v>EXCEEDED</v>
      </c>
    </row>
    <row r="57" spans="1:9" x14ac:dyDescent="0.3">
      <c r="A57" s="3" t="s">
        <v>27</v>
      </c>
    </row>
    <row r="58" spans="1:9" x14ac:dyDescent="0.3">
      <c r="A58" s="4" t="s">
        <v>6</v>
      </c>
      <c r="B58" s="4" t="s">
        <v>28</v>
      </c>
      <c r="C58" s="4" t="s">
        <v>22</v>
      </c>
    </row>
    <row r="59" spans="1:9" x14ac:dyDescent="0.3">
      <c r="A59" t="s">
        <v>12</v>
      </c>
      <c r="B59">
        <v>1</v>
      </c>
      <c r="C59" t="str">
        <f>IF(B42&gt;=B59,"OK","BELOW MIN")</f>
        <v>BELOW MIN</v>
      </c>
    </row>
    <row r="60" spans="1:9" x14ac:dyDescent="0.3">
      <c r="A60" t="s">
        <v>13</v>
      </c>
      <c r="B60">
        <v>-1</v>
      </c>
      <c r="C60" t="str">
        <f>IF(B43&gt;=B60,"OK","BELOW MIN")</f>
        <v>OK</v>
      </c>
    </row>
    <row r="61" spans="1:9" ht="18" x14ac:dyDescent="0.35">
      <c r="A61" s="1" t="s">
        <v>0</v>
      </c>
      <c r="B61" s="2"/>
      <c r="C61" s="2"/>
      <c r="D61" s="2"/>
      <c r="E61" s="2"/>
      <c r="F61" s="2"/>
      <c r="G61" s="2"/>
      <c r="H61" s="2"/>
      <c r="I61" s="2"/>
    </row>
    <row r="63" spans="1:9" x14ac:dyDescent="0.3">
      <c r="A63" s="3" t="s">
        <v>1</v>
      </c>
    </row>
    <row r="64" spans="1:9" x14ac:dyDescent="0.3">
      <c r="A64" s="2" t="s">
        <v>2</v>
      </c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 t="s">
        <v>3</v>
      </c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 t="s">
        <v>4</v>
      </c>
      <c r="B66" s="2"/>
      <c r="C66" s="2"/>
      <c r="D66" s="2"/>
      <c r="E66" s="2"/>
      <c r="F66" s="2"/>
      <c r="G66" s="2"/>
      <c r="H66" s="2"/>
      <c r="I66" s="2"/>
    </row>
    <row r="69" spans="1:9" x14ac:dyDescent="0.3">
      <c r="A69" s="3" t="s">
        <v>5</v>
      </c>
    </row>
    <row r="70" spans="1:9" x14ac:dyDescent="0.3">
      <c r="A70" s="4" t="s">
        <v>6</v>
      </c>
      <c r="B70" s="4" t="s">
        <v>7</v>
      </c>
      <c r="C70" s="4" t="s">
        <v>8</v>
      </c>
      <c r="D70" s="4" t="s">
        <v>9</v>
      </c>
      <c r="E70" s="4" t="s">
        <v>10</v>
      </c>
      <c r="F70" s="4" t="s">
        <v>11</v>
      </c>
    </row>
    <row r="71" spans="1:9" x14ac:dyDescent="0.3">
      <c r="A71" t="s">
        <v>12</v>
      </c>
      <c r="B71">
        <v>0</v>
      </c>
      <c r="C71" s="5">
        <v>85</v>
      </c>
      <c r="D71">
        <v>11</v>
      </c>
      <c r="E71">
        <v>5.5</v>
      </c>
      <c r="F71">
        <v>2.75</v>
      </c>
    </row>
    <row r="72" spans="1:9" x14ac:dyDescent="0.3">
      <c r="A72" t="s">
        <v>13</v>
      </c>
      <c r="B72">
        <v>0</v>
      </c>
      <c r="C72" s="5">
        <v>90</v>
      </c>
      <c r="D72">
        <v>12</v>
      </c>
      <c r="E72">
        <v>6</v>
      </c>
      <c r="F72">
        <v>3</v>
      </c>
    </row>
    <row r="73" spans="1:9" x14ac:dyDescent="0.3">
      <c r="A73" t="s">
        <v>14</v>
      </c>
      <c r="B73">
        <v>0</v>
      </c>
      <c r="C73" s="5">
        <v>95</v>
      </c>
      <c r="D73">
        <v>13</v>
      </c>
      <c r="E73">
        <v>6.5</v>
      </c>
      <c r="F73">
        <v>3.25</v>
      </c>
    </row>
    <row r="75" spans="1:9" x14ac:dyDescent="0.3">
      <c r="A75" s="3" t="s">
        <v>15</v>
      </c>
    </row>
    <row r="76" spans="1:9" x14ac:dyDescent="0.3">
      <c r="A76" t="s">
        <v>16</v>
      </c>
      <c r="B76" s="6">
        <f>SUMPRODUCT(B71:B73,C71:C73)</f>
        <v>0</v>
      </c>
    </row>
    <row r="79" spans="1:9" x14ac:dyDescent="0.3">
      <c r="A79" s="3" t="s">
        <v>17</v>
      </c>
    </row>
    <row r="80" spans="1:9" x14ac:dyDescent="0.3">
      <c r="A80" s="4" t="s">
        <v>18</v>
      </c>
      <c r="B80" s="4" t="s">
        <v>19</v>
      </c>
      <c r="C80" s="4" t="s">
        <v>20</v>
      </c>
      <c r="D80" s="4" t="s">
        <v>21</v>
      </c>
      <c r="E80" s="4" t="s">
        <v>22</v>
      </c>
    </row>
    <row r="81" spans="1:5" x14ac:dyDescent="0.3">
      <c r="A81" t="s">
        <v>23</v>
      </c>
      <c r="B81">
        <f>SUMPRODUCT(B71:B73,D71:D73)</f>
        <v>0</v>
      </c>
      <c r="C81" t="s">
        <v>24</v>
      </c>
      <c r="D81">
        <v>-258.33333333333201</v>
      </c>
      <c r="E81" t="str">
        <f>IF(B81&lt;=D81,"OK","EXCEEDED")</f>
        <v>EXCEEDED</v>
      </c>
    </row>
    <row r="82" spans="1:5" x14ac:dyDescent="0.3">
      <c r="A82" t="s">
        <v>25</v>
      </c>
      <c r="B82">
        <f>SUMPRODUCT(B71:B73,E71:E73)</f>
        <v>0</v>
      </c>
      <c r="C82" t="s">
        <v>24</v>
      </c>
      <c r="D82">
        <v>-333.33333333333201</v>
      </c>
      <c r="E82" t="str">
        <f>IF(B82&lt;=D82,"OK","EXCEEDED")</f>
        <v>EXCEEDED</v>
      </c>
    </row>
    <row r="83" spans="1:5" x14ac:dyDescent="0.3">
      <c r="A83" t="s">
        <v>26</v>
      </c>
      <c r="B83">
        <f>SUMPRODUCT(B71:B73,F71:F73)</f>
        <v>0</v>
      </c>
      <c r="C83" t="s">
        <v>24</v>
      </c>
      <c r="D83">
        <v>-408.33333333333201</v>
      </c>
      <c r="E83" t="str">
        <f>IF(B83&lt;=D83,"OK","EXCEEDED")</f>
        <v>EXCEEDED</v>
      </c>
    </row>
    <row r="86" spans="1:5" x14ac:dyDescent="0.3">
      <c r="A86" s="3" t="s">
        <v>27</v>
      </c>
    </row>
    <row r="87" spans="1:5" x14ac:dyDescent="0.3">
      <c r="A87" s="4" t="s">
        <v>6</v>
      </c>
      <c r="B87" s="4" t="s">
        <v>28</v>
      </c>
      <c r="C87" s="4" t="s">
        <v>22</v>
      </c>
    </row>
    <row r="88" spans="1:5" x14ac:dyDescent="0.3">
      <c r="A88" t="s">
        <v>12</v>
      </c>
      <c r="B88">
        <v>-3</v>
      </c>
      <c r="C88" t="str">
        <f>IF(B71&gt;=B88,"OK","BELOW MIN")</f>
        <v>OK</v>
      </c>
    </row>
    <row r="89" spans="1:5" x14ac:dyDescent="0.3">
      <c r="A89" t="s">
        <v>13</v>
      </c>
      <c r="B89">
        <v>-5</v>
      </c>
      <c r="C89" t="str">
        <f>IF(B72&gt;=B89,"OK","BELOW MIN")</f>
        <v>OK</v>
      </c>
    </row>
  </sheetData>
  <mergeCells count="12">
    <mergeCell ref="A36:I36"/>
    <mergeCell ref="A37:I37"/>
    <mergeCell ref="A61:I61"/>
    <mergeCell ref="A64:I64"/>
    <mergeCell ref="A65:I65"/>
    <mergeCell ref="A66:I66"/>
    <mergeCell ref="A3:I3"/>
    <mergeCell ref="A6:I6"/>
    <mergeCell ref="A7:I7"/>
    <mergeCell ref="A8:I8"/>
    <mergeCell ref="A32:I32"/>
    <mergeCell ref="A35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2026-05-29T07:27:09Z</dcterms:created>
  <dcterms:modified xsi:type="dcterms:W3CDTF">2026-05-29T07:29:17Z</dcterms:modified>
</cp:coreProperties>
</file>