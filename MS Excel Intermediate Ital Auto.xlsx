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akhrul Syahmi\Desktop\"/>
    </mc:Choice>
  </mc:AlternateContent>
  <xr:revisionPtr revIDLastSave="0" documentId="13_ncr:1_{FE8BC563-78D5-4736-8926-B95322BEC3EC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Instructions" sheetId="1" r:id="rId1"/>
    <sheet name="Sales Data" sheetId="2" r:id="rId2"/>
    <sheet name="Reference" sheetId="6" r:id="rId3"/>
    <sheet name="Price" sheetId="7" r:id="rId4"/>
    <sheet name="HR Data" sheetId="3" r:id="rId5"/>
    <sheet name="Data Management" sheetId="8" r:id="rId6"/>
    <sheet name="Marketing Data" sheetId="4" r:id="rId7"/>
  </sheets>
  <definedNames>
    <definedName name="Price_A">Price!$B$1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8" l="1"/>
  <c r="D19" i="8"/>
  <c r="D20" i="8"/>
  <c r="F11" i="8"/>
  <c r="F12" i="8"/>
  <c r="F13" i="8"/>
  <c r="F10" i="8"/>
  <c r="M3" i="8"/>
  <c r="M4" i="8"/>
  <c r="M2" i="8"/>
  <c r="L3" i="8"/>
  <c r="L4" i="8"/>
  <c r="L2" i="8"/>
  <c r="K3" i="8"/>
  <c r="K4" i="8"/>
  <c r="K2" i="8"/>
  <c r="H2" i="8"/>
  <c r="J2" i="8"/>
  <c r="I2" i="8" a="1"/>
  <c r="I2" i="8" s="1"/>
  <c r="H3" i="8"/>
  <c r="H4" i="8"/>
  <c r="J3" i="8"/>
  <c r="J4" i="8"/>
  <c r="G4" i="8"/>
  <c r="G3" i="8"/>
  <c r="G2" i="8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2" i="2"/>
  <c r="D3" i="6"/>
  <c r="D22" i="6"/>
  <c r="E22" i="6"/>
  <c r="D23" i="6"/>
  <c r="E23" i="6"/>
  <c r="D24" i="6"/>
  <c r="E24" i="6"/>
  <c r="C23" i="6"/>
  <c r="C24" i="6"/>
  <c r="C22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<sst xmlns="http://schemas.openxmlformats.org/spreadsheetml/2006/main" count="3561" uniqueCount="585">
  <si>
    <t>Excel Intermediate Training - Case Study Instructions</t>
  </si>
  <si>
    <t>Module 1: Formula &amp; Function Mastery</t>
  </si>
  <si>
    <t>- Use IF function to assign commission rates based on sales amount.</t>
  </si>
  <si>
    <t>- Apply SUMIF to calculate total sales for each region.</t>
  </si>
  <si>
    <t>- Use COUNTIF to count expenses greater than 3000.</t>
  </si>
  <si>
    <t>- Apply NETWORKDAYS to calculate working days between two given dates.</t>
  </si>
  <si>
    <t>- Categorize student scores into grades using IFS.</t>
  </si>
  <si>
    <t>Module 2: Data Management &amp; Cleaning</t>
  </si>
  <si>
    <t>- Remove duplicate customer names.</t>
  </si>
  <si>
    <t>- Clean up email formatting using TRIM and LEN.</t>
  </si>
  <si>
    <t>- Create Data Validation dropdown for Category column.</t>
  </si>
  <si>
    <t>- Use Text-to-Columns to split CustomerName into First and Last name.</t>
  </si>
  <si>
    <t>Module 3: Data Analysis with PivotTables</t>
  </si>
  <si>
    <t>- Create a PivotTable to show total sales by product category.</t>
  </si>
  <si>
    <t>- Analyze employee attendance or sales by region using PivotTables.</t>
  </si>
  <si>
    <t>- Use slicers to filter sales by region.</t>
  </si>
  <si>
    <t>- Build a PivotChart to show quarterly revenue trends.</t>
  </si>
  <si>
    <t>Module 4: What-If Analysis &amp; Problem Solving</t>
  </si>
  <si>
    <t>- Use Goal Seek to find interest rate for a target loan repayment.</t>
  </si>
  <si>
    <t>- Build a one-variable Data Table for different price scenarios.</t>
  </si>
  <si>
    <t>- Build a two-variable Data Table for price vs. sales volume impact on profit.</t>
  </si>
  <si>
    <t>- Use Scenario Manager to compare financial outcomes (Best/Worst/Expected).</t>
  </si>
  <si>
    <t>Module 5: Visualization &amp; Reporting</t>
  </si>
  <si>
    <t>- Create a Combo Chart showing Revenue and Profit.</t>
  </si>
  <si>
    <t>- Build a Waterfall Chart for Expenses breakdown.</t>
  </si>
  <si>
    <t>- Use Conditional Formatting to highlight profits above 5000.</t>
  </si>
  <si>
    <t>- Create a Dashboard using slicers and charts.</t>
  </si>
  <si>
    <t>Module 6: Productivity &amp; Efficiency Tips</t>
  </si>
  <si>
    <t>- Create Named Ranges for sales data and use them in formulas.</t>
  </si>
  <si>
    <t>- Link sales data from multiple sheets into one summary.</t>
  </si>
  <si>
    <t>- Record a Macro to automate formatting of monthly reports.</t>
  </si>
  <si>
    <t>- Practice using keyboard shortcuts for efficiency.</t>
  </si>
  <si>
    <t>Region</t>
  </si>
  <si>
    <t>North</t>
  </si>
  <si>
    <t>South</t>
  </si>
  <si>
    <t>East</t>
  </si>
  <si>
    <t>West</t>
  </si>
  <si>
    <t>Email</t>
  </si>
  <si>
    <t>Category</t>
  </si>
  <si>
    <t>John Smith</t>
  </si>
  <si>
    <t>Product</t>
  </si>
  <si>
    <t>Laptop</t>
  </si>
  <si>
    <t>Electronics</t>
  </si>
  <si>
    <t>Tablet</t>
  </si>
  <si>
    <t>Phone</t>
  </si>
  <si>
    <t>InvoiceID</t>
  </si>
  <si>
    <t>Date</t>
  </si>
  <si>
    <t>Quantity</t>
  </si>
  <si>
    <t>UnitPrice</t>
  </si>
  <si>
    <t>Total</t>
  </si>
  <si>
    <t>Smartphone</t>
  </si>
  <si>
    <t>Clothing</t>
  </si>
  <si>
    <t>Shoes</t>
  </si>
  <si>
    <t>Furniture</t>
  </si>
  <si>
    <t>Shelf</t>
  </si>
  <si>
    <t>Jacket</t>
  </si>
  <si>
    <t>Food</t>
  </si>
  <si>
    <t>Cereal</t>
  </si>
  <si>
    <t>Desk</t>
  </si>
  <si>
    <t>Bread</t>
  </si>
  <si>
    <t>Chair</t>
  </si>
  <si>
    <t>Eggs</t>
  </si>
  <si>
    <t>Milk</t>
  </si>
  <si>
    <t>Pants</t>
  </si>
  <si>
    <t>Cabinet</t>
  </si>
  <si>
    <t>Shirt</t>
  </si>
  <si>
    <t>Headphones</t>
  </si>
  <si>
    <t>EmpID</t>
  </si>
  <si>
    <t>Name</t>
  </si>
  <si>
    <t>Department</t>
  </si>
  <si>
    <t>JobTitle</t>
  </si>
  <si>
    <t>JoinDate</t>
  </si>
  <si>
    <t>Salary</t>
  </si>
  <si>
    <t>John Lee</t>
  </si>
  <si>
    <t>IT</t>
  </si>
  <si>
    <t>Assistant</t>
  </si>
  <si>
    <t>01731030677</t>
  </si>
  <si>
    <t>Michael Bin</t>
  </si>
  <si>
    <t>Operations</t>
  </si>
  <si>
    <t>01962683225</t>
  </si>
  <si>
    <t>Fatimah Binti</t>
  </si>
  <si>
    <t>Officer</t>
  </si>
  <si>
    <t>01276881769</t>
  </si>
  <si>
    <t>Aisha Tan</t>
  </si>
  <si>
    <t>Executive</t>
  </si>
  <si>
    <t>01549115440</t>
  </si>
  <si>
    <t>Ahmad Binti</t>
  </si>
  <si>
    <t>Finance</t>
  </si>
  <si>
    <t>01633520700</t>
  </si>
  <si>
    <t>Ahmad Bin</t>
  </si>
  <si>
    <t>Marketing</t>
  </si>
  <si>
    <t>Manager</t>
  </si>
  <si>
    <t>01235661445</t>
  </si>
  <si>
    <t>Sophia Lee</t>
  </si>
  <si>
    <t>01600812872</t>
  </si>
  <si>
    <t>Nurul Tan</t>
  </si>
  <si>
    <t>01997908081</t>
  </si>
  <si>
    <t>Fatimah Bin</t>
  </si>
  <si>
    <t>Analyst</t>
  </si>
  <si>
    <t>01947613767</t>
  </si>
  <si>
    <t>Aisha Smith</t>
  </si>
  <si>
    <t>01243549523</t>
  </si>
  <si>
    <t>HR</t>
  </si>
  <si>
    <t>01444090630</t>
  </si>
  <si>
    <t>01304407683</t>
  </si>
  <si>
    <t>Sophia Binti</t>
  </si>
  <si>
    <t>01716661506</t>
  </si>
  <si>
    <t>Nurul Smith</t>
  </si>
  <si>
    <t>01910061837</t>
  </si>
  <si>
    <t>Siti Lee</t>
  </si>
  <si>
    <t>01745508619</t>
  </si>
  <si>
    <t>Michael Binti</t>
  </si>
  <si>
    <t>01439377298</t>
  </si>
  <si>
    <t>Michael Tan</t>
  </si>
  <si>
    <t>01882190471</t>
  </si>
  <si>
    <t>01287525407</t>
  </si>
  <si>
    <t>Siti Smith</t>
  </si>
  <si>
    <t>01337784657</t>
  </si>
  <si>
    <t>David Binti</t>
  </si>
  <si>
    <t>01758259666</t>
  </si>
  <si>
    <t>01282444343</t>
  </si>
  <si>
    <t>Aisha Lee</t>
  </si>
  <si>
    <t>01874074402</t>
  </si>
  <si>
    <t>Siti Binti</t>
  </si>
  <si>
    <t>01823271605</t>
  </si>
  <si>
    <t>Aisha Bin</t>
  </si>
  <si>
    <t>01488490118</t>
  </si>
  <si>
    <t>Siti Bin</t>
  </si>
  <si>
    <t>01812566713</t>
  </si>
  <si>
    <t>01853738131</t>
  </si>
  <si>
    <t>01120808635</t>
  </si>
  <si>
    <t>Ali Smith</t>
  </si>
  <si>
    <t>01160111794</t>
  </si>
  <si>
    <t>Sophia Tan</t>
  </si>
  <si>
    <t>01226248185</t>
  </si>
  <si>
    <t>Ahmad Lee</t>
  </si>
  <si>
    <t>01556077027</t>
  </si>
  <si>
    <t>01245404089</t>
  </si>
  <si>
    <t>Fatimah Tan</t>
  </si>
  <si>
    <t>01674869122</t>
  </si>
  <si>
    <t>01665078882</t>
  </si>
  <si>
    <t>Nurul Bin</t>
  </si>
  <si>
    <t>01767052131</t>
  </si>
  <si>
    <t>01627630861</t>
  </si>
  <si>
    <t>01877290102</t>
  </si>
  <si>
    <t>01518301429</t>
  </si>
  <si>
    <t>Nurul Lee</t>
  </si>
  <si>
    <t>01499081485</t>
  </si>
  <si>
    <t>01569153752</t>
  </si>
  <si>
    <t>01802329669</t>
  </si>
  <si>
    <t>01134932801</t>
  </si>
  <si>
    <t>01422938878</t>
  </si>
  <si>
    <t>01523973323</t>
  </si>
  <si>
    <t>01975269422</t>
  </si>
  <si>
    <t>Ali Binti</t>
  </si>
  <si>
    <t>01674278665</t>
  </si>
  <si>
    <t>01447417167</t>
  </si>
  <si>
    <t>01473675785</t>
  </si>
  <si>
    <t>Ahmad Smith</t>
  </si>
  <si>
    <t>01876905984</t>
  </si>
  <si>
    <t>John Bin</t>
  </si>
  <si>
    <t>01603133866</t>
  </si>
  <si>
    <t>01569228405</t>
  </si>
  <si>
    <t>Ali Tan</t>
  </si>
  <si>
    <t>01257502584</t>
  </si>
  <si>
    <t>David Smith</t>
  </si>
  <si>
    <t>01803535076</t>
  </si>
  <si>
    <t>01982124407</t>
  </si>
  <si>
    <t>01590554734</t>
  </si>
  <si>
    <t>01984081259</t>
  </si>
  <si>
    <t>01246835347</t>
  </si>
  <si>
    <t>01233872126</t>
  </si>
  <si>
    <t>Ahmad Tan</t>
  </si>
  <si>
    <t>01322036249</t>
  </si>
  <si>
    <t>01968438213</t>
  </si>
  <si>
    <t>01384138308</t>
  </si>
  <si>
    <t>Fatimah Lee</t>
  </si>
  <si>
    <t>01463657906</t>
  </si>
  <si>
    <t>01737129193</t>
  </si>
  <si>
    <t>01898725370</t>
  </si>
  <si>
    <t>01606455224</t>
  </si>
  <si>
    <t>David Lee</t>
  </si>
  <si>
    <t>01166984430</t>
  </si>
  <si>
    <t>Sophia Smith</t>
  </si>
  <si>
    <t>01497943702</t>
  </si>
  <si>
    <t>Michael Smith</t>
  </si>
  <si>
    <t>01228735615</t>
  </si>
  <si>
    <t>01966953961</t>
  </si>
  <si>
    <t>01797424903</t>
  </si>
  <si>
    <t>01841320455</t>
  </si>
  <si>
    <t>Ali Lee</t>
  </si>
  <si>
    <t>01607417092</t>
  </si>
  <si>
    <t>01927322145</t>
  </si>
  <si>
    <t>01935861721</t>
  </si>
  <si>
    <t>01175230621</t>
  </si>
  <si>
    <t>01610692999</t>
  </si>
  <si>
    <t>01877168711</t>
  </si>
  <si>
    <t>01824465603</t>
  </si>
  <si>
    <t>01919803422</t>
  </si>
  <si>
    <t>01817137199</t>
  </si>
  <si>
    <t>01777940443</t>
  </si>
  <si>
    <t>01307069125</t>
  </si>
  <si>
    <t>01600100256</t>
  </si>
  <si>
    <t>01239094600</t>
  </si>
  <si>
    <t>01568622282</t>
  </si>
  <si>
    <t>01430854893</t>
  </si>
  <si>
    <t>Michael Lee</t>
  </si>
  <si>
    <t>01348446405</t>
  </si>
  <si>
    <t>01388603414</t>
  </si>
  <si>
    <t>01391345738</t>
  </si>
  <si>
    <t>Aisha Binti</t>
  </si>
  <si>
    <t>01291079221</t>
  </si>
  <si>
    <t>01420343694</t>
  </si>
  <si>
    <t>01939525268</t>
  </si>
  <si>
    <t>01514401952</t>
  </si>
  <si>
    <t>01629362416</t>
  </si>
  <si>
    <t>01162994533</t>
  </si>
  <si>
    <t>01823463111</t>
  </si>
  <si>
    <t>01101912584</t>
  </si>
  <si>
    <t>01586764313</t>
  </si>
  <si>
    <t>01517330625</t>
  </si>
  <si>
    <t>01567800728</t>
  </si>
  <si>
    <t>01739188961</t>
  </si>
  <si>
    <t>01163923119</t>
  </si>
  <si>
    <t>John Binti</t>
  </si>
  <si>
    <t>01982717562</t>
  </si>
  <si>
    <t>01410927380</t>
  </si>
  <si>
    <t>David Bin</t>
  </si>
  <si>
    <t>01730133071</t>
  </si>
  <si>
    <t>01979008142</t>
  </si>
  <si>
    <t>01658665778</t>
  </si>
  <si>
    <t>01536466133</t>
  </si>
  <si>
    <t>01604021955</t>
  </si>
  <si>
    <t>01871401372</t>
  </si>
  <si>
    <t>01484942185</t>
  </si>
  <si>
    <t>01414280025</t>
  </si>
  <si>
    <t>01629237254</t>
  </si>
  <si>
    <t>01892787102</t>
  </si>
  <si>
    <t>01895550140</t>
  </si>
  <si>
    <t>01849589587</t>
  </si>
  <si>
    <t>01382388277</t>
  </si>
  <si>
    <t>01286455415</t>
  </si>
  <si>
    <t>01536419446</t>
  </si>
  <si>
    <t>01501745115</t>
  </si>
  <si>
    <t>01850646231</t>
  </si>
  <si>
    <t>01485951356</t>
  </si>
  <si>
    <t>01544191439</t>
  </si>
  <si>
    <t>01124245082</t>
  </si>
  <si>
    <t>David Tan</t>
  </si>
  <si>
    <t>01206541105</t>
  </si>
  <si>
    <t>Ali Bin</t>
  </si>
  <si>
    <t>01534540131</t>
  </si>
  <si>
    <t>01171537554</t>
  </si>
  <si>
    <t>01612216171</t>
  </si>
  <si>
    <t>01251861908</t>
  </si>
  <si>
    <t>01709762958</t>
  </si>
  <si>
    <t>01985562822</t>
  </si>
  <si>
    <t>01129565896</t>
  </si>
  <si>
    <t>Nurul Binti</t>
  </si>
  <si>
    <t>01505772796</t>
  </si>
  <si>
    <t>01708916376</t>
  </si>
  <si>
    <t>01686004258</t>
  </si>
  <si>
    <t>01926506992</t>
  </si>
  <si>
    <t>01547147538</t>
  </si>
  <si>
    <t>01474637669</t>
  </si>
  <si>
    <t>Fatimah Smith</t>
  </si>
  <si>
    <t>01197163884</t>
  </si>
  <si>
    <t>01924063874</t>
  </si>
  <si>
    <t>01501839173</t>
  </si>
  <si>
    <t>01926394380</t>
  </si>
  <si>
    <t>01828437691</t>
  </si>
  <si>
    <t>01702017951</t>
  </si>
  <si>
    <t>01498624455</t>
  </si>
  <si>
    <t>01241552629</t>
  </si>
  <si>
    <t>01917439061</t>
  </si>
  <si>
    <t>01795094017</t>
  </si>
  <si>
    <t>01943326934</t>
  </si>
  <si>
    <t>01358309383</t>
  </si>
  <si>
    <t>01963003640</t>
  </si>
  <si>
    <t>01784952169</t>
  </si>
  <si>
    <t>01960586616</t>
  </si>
  <si>
    <t>01519066512</t>
  </si>
  <si>
    <t>01295206099</t>
  </si>
  <si>
    <t>01669196061</t>
  </si>
  <si>
    <t>01741306971</t>
  </si>
  <si>
    <t>01860213351</t>
  </si>
  <si>
    <t>Sophia Bin</t>
  </si>
  <si>
    <t>01495279992</t>
  </si>
  <si>
    <t>01499127635</t>
  </si>
  <si>
    <t>01262787783</t>
  </si>
  <si>
    <t>01648525216</t>
  </si>
  <si>
    <t>01371051260</t>
  </si>
  <si>
    <t>01156318065</t>
  </si>
  <si>
    <t>01476422740</t>
  </si>
  <si>
    <t>01338475082</t>
  </si>
  <si>
    <t>01227575741</t>
  </si>
  <si>
    <t>John Tan</t>
  </si>
  <si>
    <t>01629726929</t>
  </si>
  <si>
    <t>01827532962</t>
  </si>
  <si>
    <t>01385939003</t>
  </si>
  <si>
    <t>01875650542</t>
  </si>
  <si>
    <t>01649541292</t>
  </si>
  <si>
    <t>01340197765</t>
  </si>
  <si>
    <t>01447545672</t>
  </si>
  <si>
    <t>01845282113</t>
  </si>
  <si>
    <t>01512745169</t>
  </si>
  <si>
    <t>01705470463</t>
  </si>
  <si>
    <t>01422824129</t>
  </si>
  <si>
    <t>01556859742</t>
  </si>
  <si>
    <t>01736778831</t>
  </si>
  <si>
    <t>01850926204</t>
  </si>
  <si>
    <t>01422984837</t>
  </si>
  <si>
    <t>01604806516</t>
  </si>
  <si>
    <t>01210861281</t>
  </si>
  <si>
    <t>01443448748</t>
  </si>
  <si>
    <t>01624136575</t>
  </si>
  <si>
    <t>01126379085</t>
  </si>
  <si>
    <t>01553826363</t>
  </si>
  <si>
    <t>01175968554</t>
  </si>
  <si>
    <t>01593054614</t>
  </si>
  <si>
    <t>01363494642</t>
  </si>
  <si>
    <t>01349811585</t>
  </si>
  <si>
    <t>01118268849</t>
  </si>
  <si>
    <t>01303388366</t>
  </si>
  <si>
    <t>01832999560</t>
  </si>
  <si>
    <t>01240428443</t>
  </si>
  <si>
    <t>01863500806</t>
  </si>
  <si>
    <t>01607028064</t>
  </si>
  <si>
    <t>01374750224</t>
  </si>
  <si>
    <t>01341607475</t>
  </si>
  <si>
    <t>01216142203</t>
  </si>
  <si>
    <t>CampaignID</t>
  </si>
  <si>
    <t>Channel</t>
  </si>
  <si>
    <t>CampaignName</t>
  </si>
  <si>
    <t>Clicks</t>
  </si>
  <si>
    <t>Impressions</t>
  </si>
  <si>
    <t>Conversions</t>
  </si>
  <si>
    <t>Cost</t>
  </si>
  <si>
    <t>ROI</t>
  </si>
  <si>
    <t>Email Campaign 38</t>
  </si>
  <si>
    <t>Google Ads</t>
  </si>
  <si>
    <t>Google Ads Campaign 35</t>
  </si>
  <si>
    <t>Facebook</t>
  </si>
  <si>
    <t>Facebook Campaign 22</t>
  </si>
  <si>
    <t>Facebook Campaign 13</t>
  </si>
  <si>
    <t>Facebook Campaign 32</t>
  </si>
  <si>
    <t>LinkedIn</t>
  </si>
  <si>
    <t>LinkedIn Campaign 26</t>
  </si>
  <si>
    <t>Email Campaign 18</t>
  </si>
  <si>
    <t>Instagram</t>
  </si>
  <si>
    <t>Instagram Campaign 21</t>
  </si>
  <si>
    <t>Facebook Campaign 9</t>
  </si>
  <si>
    <t>Instagram Campaign 33</t>
  </si>
  <si>
    <t>Email Campaign 34</t>
  </si>
  <si>
    <t>Facebook Campaign 17</t>
  </si>
  <si>
    <t>Instagram Campaign 37</t>
  </si>
  <si>
    <t>Google Ads Campaign 1</t>
  </si>
  <si>
    <t>LinkedIn Campaign 21</t>
  </si>
  <si>
    <t>Google Ads Campaign 7</t>
  </si>
  <si>
    <t>Google Ads Campaign 8</t>
  </si>
  <si>
    <t>Email Campaign 14</t>
  </si>
  <si>
    <t>Email Campaign 32</t>
  </si>
  <si>
    <t>Instagram Campaign 11</t>
  </si>
  <si>
    <t>Email Campaign 9</t>
  </si>
  <si>
    <t>LinkedIn Campaign 22</t>
  </si>
  <si>
    <t>Instagram Campaign 49</t>
  </si>
  <si>
    <t>Google Ads Campaign 39</t>
  </si>
  <si>
    <t>Email Campaign 13</t>
  </si>
  <si>
    <t>Facebook Campaign 21</t>
  </si>
  <si>
    <t>Email Campaign 44</t>
  </si>
  <si>
    <t>Instagram Campaign 3</t>
  </si>
  <si>
    <t>Instagram Campaign 39</t>
  </si>
  <si>
    <t>Facebook Campaign 42</t>
  </si>
  <si>
    <t>Facebook Campaign 3</t>
  </si>
  <si>
    <t>LinkedIn Campaign 42</t>
  </si>
  <si>
    <t>Instagram Campaign 9</t>
  </si>
  <si>
    <t>Google Ads Campaign 12</t>
  </si>
  <si>
    <t>Instagram Campaign 31</t>
  </si>
  <si>
    <t>Google Ads Campaign 47</t>
  </si>
  <si>
    <t>Google Ads Campaign 26</t>
  </si>
  <si>
    <t>Google Ads Campaign 45</t>
  </si>
  <si>
    <t>Email Campaign 3</t>
  </si>
  <si>
    <t>Instagram Campaign 24</t>
  </si>
  <si>
    <t>Email Campaign 19</t>
  </si>
  <si>
    <t>Email Campaign 12</t>
  </si>
  <si>
    <t>LinkedIn Campaign 19</t>
  </si>
  <si>
    <t>LinkedIn Campaign 33</t>
  </si>
  <si>
    <t>LinkedIn Campaign 47</t>
  </si>
  <si>
    <t>Facebook Campaign 4</t>
  </si>
  <si>
    <t>Facebook Campaign 47</t>
  </si>
  <si>
    <t>Instagram Campaign 10</t>
  </si>
  <si>
    <t>Facebook Campaign 45</t>
  </si>
  <si>
    <t>LinkedIn Campaign 46</t>
  </si>
  <si>
    <t>Instagram Campaign 4</t>
  </si>
  <si>
    <t>LinkedIn Campaign 24</t>
  </si>
  <si>
    <t>Instagram Campaign 14</t>
  </si>
  <si>
    <t>Google Ads Campaign 13</t>
  </si>
  <si>
    <t>Instagram Campaign 18</t>
  </si>
  <si>
    <t>Instagram Campaign 6</t>
  </si>
  <si>
    <t>Google Ads Campaign 24</t>
  </si>
  <si>
    <t>Google Ads Campaign 44</t>
  </si>
  <si>
    <t>Instagram Campaign 19</t>
  </si>
  <si>
    <t>Email Campaign 42</t>
  </si>
  <si>
    <t>Instagram Campaign 34</t>
  </si>
  <si>
    <t>Google Ads Campaign 49</t>
  </si>
  <si>
    <t>LinkedIn Campaign 10</t>
  </si>
  <si>
    <t>Email Campaign 24</t>
  </si>
  <si>
    <t>Google Ads Campaign 46</t>
  </si>
  <si>
    <t>Google Ads Campaign 15</t>
  </si>
  <si>
    <t>Email Campaign 28</t>
  </si>
  <si>
    <t>Email Campaign 11</t>
  </si>
  <si>
    <t>LinkedIn Campaign 36</t>
  </si>
  <si>
    <t>Facebook Campaign 40</t>
  </si>
  <si>
    <t>Google Ads Campaign 3</t>
  </si>
  <si>
    <t>Google Ads Campaign 38</t>
  </si>
  <si>
    <t>Facebook Campaign 43</t>
  </si>
  <si>
    <t>Facebook Campaign 12</t>
  </si>
  <si>
    <t>Email Campaign 21</t>
  </si>
  <si>
    <t>LinkedIn Campaign 27</t>
  </si>
  <si>
    <t>LinkedIn Campaign 20</t>
  </si>
  <si>
    <t>LinkedIn Campaign 44</t>
  </si>
  <si>
    <t>Instagram Campaign 12</t>
  </si>
  <si>
    <t>LinkedIn Campaign 5</t>
  </si>
  <si>
    <t>Facebook Campaign 20</t>
  </si>
  <si>
    <t>Instagram Campaign 28</t>
  </si>
  <si>
    <t>Facebook Campaign 8</t>
  </si>
  <si>
    <t>Google Ads Campaign 25</t>
  </si>
  <si>
    <t>LinkedIn Campaign 13</t>
  </si>
  <si>
    <t>Instagram Campaign 27</t>
  </si>
  <si>
    <t>LinkedIn Campaign 7</t>
  </si>
  <si>
    <t>Email Campaign 36</t>
  </si>
  <si>
    <t>Instagram Campaign 25</t>
  </si>
  <si>
    <t>Google Ads Campaign 30</t>
  </si>
  <si>
    <t>Email Campaign 41</t>
  </si>
  <si>
    <t>Email Campaign 16</t>
  </si>
  <si>
    <t>Email Campaign 46</t>
  </si>
  <si>
    <t>Google Ads Campaign 20</t>
  </si>
  <si>
    <t>Instagram Campaign 45</t>
  </si>
  <si>
    <t>Facebook Campaign 38</t>
  </si>
  <si>
    <t>LinkedIn Campaign 1</t>
  </si>
  <si>
    <t>Facebook Campaign 19</t>
  </si>
  <si>
    <t>LinkedIn Campaign 40</t>
  </si>
  <si>
    <t>Instagram Campaign 41</t>
  </si>
  <si>
    <t>Facebook Campaign 11</t>
  </si>
  <si>
    <t>Instagram Campaign 8</t>
  </si>
  <si>
    <t>Facebook Campaign 26</t>
  </si>
  <si>
    <t>LinkedIn Campaign 49</t>
  </si>
  <si>
    <t>Instagram Campaign 36</t>
  </si>
  <si>
    <t>LinkedIn Campaign 29</t>
  </si>
  <si>
    <t>LinkedIn Campaign 9</t>
  </si>
  <si>
    <t>Email Campaign 2</t>
  </si>
  <si>
    <t>Email Campaign 35</t>
  </si>
  <si>
    <t>Email Campaign 31</t>
  </si>
  <si>
    <t>LinkedIn Campaign 18</t>
  </si>
  <si>
    <t>Facebook Campaign 30</t>
  </si>
  <si>
    <t>Facebook Campaign 44</t>
  </si>
  <si>
    <t>LinkedIn Campaign 32</t>
  </si>
  <si>
    <t>Instagram Campaign 1</t>
  </si>
  <si>
    <t>LinkedIn Campaign 38</t>
  </si>
  <si>
    <t>Instagram Campaign 26</t>
  </si>
  <si>
    <t>Instagram Campaign 15</t>
  </si>
  <si>
    <t>LinkedIn Campaign 37</t>
  </si>
  <si>
    <t>Google Ads Campaign 32</t>
  </si>
  <si>
    <t>Email Campaign 4</t>
  </si>
  <si>
    <t>Email Campaign 40</t>
  </si>
  <si>
    <t>Facebook Campaign 39</t>
  </si>
  <si>
    <t>LinkedIn Campaign 11</t>
  </si>
  <si>
    <t>LinkedIn Campaign 41</t>
  </si>
  <si>
    <t>Email Campaign 26</t>
  </si>
  <si>
    <t>Google Ads Campaign 17</t>
  </si>
  <si>
    <t>Instagram Campaign 47</t>
  </si>
  <si>
    <t>Instagram Campaign 38</t>
  </si>
  <si>
    <t>Facebook Campaign 2</t>
  </si>
  <si>
    <t>Email Campaign 47</t>
  </si>
  <si>
    <t>Email Campaign 1</t>
  </si>
  <si>
    <t>Instagram Campaign 40</t>
  </si>
  <si>
    <t>LinkedIn Campaign 30</t>
  </si>
  <si>
    <t>Instagram Campaign 13</t>
  </si>
  <si>
    <t>Google Ads Campaign 16</t>
  </si>
  <si>
    <t>Instagram Campaign 17</t>
  </si>
  <si>
    <t>Google Ads Campaign 29</t>
  </si>
  <si>
    <t>Facebook Campaign 24</t>
  </si>
  <si>
    <t>Facebook Campaign 1</t>
  </si>
  <si>
    <t>Email Campaign 48</t>
  </si>
  <si>
    <t>Facebook Campaign 27</t>
  </si>
  <si>
    <t>Email Campaign 30</t>
  </si>
  <si>
    <t>LinkedIn Campaign 17</t>
  </si>
  <si>
    <t>Google Ads Campaign 41</t>
  </si>
  <si>
    <t>Email Campaign 22</t>
  </si>
  <si>
    <t>Google Ads Campaign 36</t>
  </si>
  <si>
    <t>Email Campaign 23</t>
  </si>
  <si>
    <t>Email Campaign 15</t>
  </si>
  <si>
    <t>Facebook Campaign 14</t>
  </si>
  <si>
    <t>Instagram Campaign 44</t>
  </si>
  <si>
    <t>Instagram Campaign 48</t>
  </si>
  <si>
    <t>LinkedIn Campaign 16</t>
  </si>
  <si>
    <t>Email Campaign 17</t>
  </si>
  <si>
    <t>Instagram Campaign 22</t>
  </si>
  <si>
    <t>Google Ads Campaign 42</t>
  </si>
  <si>
    <t>Google Ads Campaign 2</t>
  </si>
  <si>
    <t>Facebook Campaign 23</t>
  </si>
  <si>
    <t>Facebook Campaign 15</t>
  </si>
  <si>
    <t>LinkedIn Campaign 23</t>
  </si>
  <si>
    <t>Facebook Campaign 6</t>
  </si>
  <si>
    <t>Google Ads Campaign 48</t>
  </si>
  <si>
    <t>Facebook Campaign 36</t>
  </si>
  <si>
    <t>Instagram Campaign 32</t>
  </si>
  <si>
    <t>Email Campaign 6</t>
  </si>
  <si>
    <t>Email Campaign 49</t>
  </si>
  <si>
    <t>Facebook Campaign 33</t>
  </si>
  <si>
    <t>Email Campaign 29</t>
  </si>
  <si>
    <t>Google Ads Campaign 37</t>
  </si>
  <si>
    <t>Google Ads Campaign 33</t>
  </si>
  <si>
    <t>Google Ads Campaign 5</t>
  </si>
  <si>
    <t>Instagram Campaign 23</t>
  </si>
  <si>
    <t>Email Campaign 20</t>
  </si>
  <si>
    <t>Email Campaign 27</t>
  </si>
  <si>
    <t>LinkedIn Campaign 15</t>
  </si>
  <si>
    <t xml:space="preserve">Agent </t>
  </si>
  <si>
    <t>SA6</t>
  </si>
  <si>
    <t>SA7</t>
  </si>
  <si>
    <t>SA2</t>
  </si>
  <si>
    <t>SA4</t>
  </si>
  <si>
    <t>SA1</t>
  </si>
  <si>
    <t>SA3</t>
  </si>
  <si>
    <t>SA5</t>
  </si>
  <si>
    <t>Unit Price</t>
  </si>
  <si>
    <t>Unit Sold</t>
  </si>
  <si>
    <t>Item</t>
  </si>
  <si>
    <t>A</t>
  </si>
  <si>
    <t>B</t>
  </si>
  <si>
    <t>C</t>
  </si>
  <si>
    <t>Disc</t>
  </si>
  <si>
    <t>Jan</t>
  </si>
  <si>
    <t>Feb</t>
  </si>
  <si>
    <t>Mac</t>
  </si>
  <si>
    <t>Revenue</t>
  </si>
  <si>
    <t>Harga A</t>
  </si>
  <si>
    <t>Harga B</t>
  </si>
  <si>
    <t>Harga C</t>
  </si>
  <si>
    <t>Status</t>
  </si>
  <si>
    <t>Status 2</t>
  </si>
  <si>
    <t>YoS DATEDIF()</t>
  </si>
  <si>
    <t>Yos (Y,M,D)</t>
  </si>
  <si>
    <t>End Date</t>
  </si>
  <si>
    <t>End Date 2</t>
  </si>
  <si>
    <t>End Date (exc working day)</t>
  </si>
  <si>
    <t xml:space="preserve">Working Day </t>
  </si>
  <si>
    <t>AL</t>
  </si>
  <si>
    <t>Day Name</t>
  </si>
  <si>
    <t>Month Name</t>
  </si>
  <si>
    <t>Weekend</t>
  </si>
  <si>
    <t>Order ID</t>
  </si>
  <si>
    <t>Product ID</t>
  </si>
  <si>
    <t>P01</t>
  </si>
  <si>
    <t>OID01</t>
  </si>
  <si>
    <t>P02</t>
  </si>
  <si>
    <t>OID02</t>
  </si>
  <si>
    <t>P01-Oil</t>
  </si>
  <si>
    <t>P02-Water</t>
  </si>
  <si>
    <t>OID03</t>
  </si>
  <si>
    <t>Left</t>
  </si>
  <si>
    <t>Text Before Delimiter</t>
  </si>
  <si>
    <t>P010%Coffee</t>
  </si>
  <si>
    <t>Oil</t>
  </si>
  <si>
    <t>P010</t>
  </si>
  <si>
    <t>Coffee</t>
  </si>
  <si>
    <t>TextSplit</t>
  </si>
  <si>
    <t>Text After</t>
  </si>
  <si>
    <t>Emp ID</t>
  </si>
  <si>
    <t>SA2020L</t>
  </si>
  <si>
    <t>SA2023P</t>
  </si>
  <si>
    <t>FN2019P</t>
  </si>
  <si>
    <t>Mid</t>
  </si>
  <si>
    <t>Right</t>
  </si>
  <si>
    <t>P03</t>
  </si>
  <si>
    <t>Banana</t>
  </si>
  <si>
    <t>Product Name</t>
  </si>
  <si>
    <t>Harga</t>
  </si>
  <si>
    <t>OID04</t>
  </si>
  <si>
    <t>Score</t>
  </si>
  <si>
    <t>Gred</t>
  </si>
  <si>
    <t>Ali</t>
  </si>
  <si>
    <t>Abu</t>
  </si>
  <si>
    <t>Siti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</si>
</sst>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RM-43E]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9" fontId="0" fillId="0" borderId="0" xfId="0" applyNumberFormat="1"/>
    <xf numFmtId="0" fontId="0" fillId="0" borderId="1" xfId="0" applyBorder="1"/>
    <xf numFmtId="14" fontId="0" fillId="0" borderId="0" xfId="0" applyNumberFormat="1"/>
    <xf numFmtId="0" fontId="2" fillId="0" borderId="0" xfId="0" applyFont="1"/>
    <xf numFmtId="14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1" xfId="0" applyFont="1" applyBorder="1"/>
    <xf numFmtId="14" fontId="0" fillId="0" borderId="1" xfId="0" applyNumberFormat="1" applyBorder="1"/>
    <xf numFmtId="0" fontId="2" fillId="0" borderId="0" xfId="0" applyFont="1" applyFill="1" applyBorder="1"/>
    <xf numFmtId="0" fontId="0" fillId="0" borderId="0" xfId="0" applyFill="1" applyBorder="1"/>
    <xf numFmtId="0" fontId="2" fillId="0" borderId="3" xfId="0" applyFont="1" applyFill="1" applyBorder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Marketing Data'!A1"/><Relationship Id="rId2" Type="http://schemas.openxmlformats.org/officeDocument/2006/relationships/hyperlink" Target="#'HR Data'!A1"/><Relationship Id="rId1" Type="http://schemas.openxmlformats.org/officeDocument/2006/relationships/hyperlink" Target="#'Sales Data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Instruction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274320</xdr:colOff>
      <xdr:row>2</xdr:row>
      <xdr:rowOff>175260</xdr:rowOff>
    </xdr:from>
    <xdr:to>
      <xdr:col>4</xdr:col>
      <xdr:colOff>457200</xdr:colOff>
      <xdr:row>5</xdr:row>
      <xdr:rowOff>129540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152A1-284A-04F5-B7C8-95BE2441AAE7}"/>
            </a:ext>
          </a:extLst>
        </xdr:cNvPr>
        <xdr:cNvSpPr/>
      </xdr:nvSpPr>
      <xdr:spPr>
        <a:xfrm>
          <a:off x="4892040" y="541020"/>
          <a:ext cx="2011680" cy="5029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Sales</a:t>
          </a:r>
        </a:p>
      </xdr:txBody>
    </xdr:sp>
    <xdr:clientData/>
  </xdr:twoCellAnchor>
  <xdr:twoCellAnchor>
    <xdr:from>
      <xdr:col>1</xdr:col>
      <xdr:colOff>342900</xdr:colOff>
      <xdr:row>9</xdr:row>
      <xdr:rowOff>121920</xdr:rowOff>
    </xdr:from>
    <xdr:to>
      <xdr:col>4</xdr:col>
      <xdr:colOff>525780</xdr:colOff>
      <xdr:row>12</xdr:row>
      <xdr:rowOff>76200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37557F-15CC-4363-96F2-63A1F0E11D0A}"/>
            </a:ext>
          </a:extLst>
        </xdr:cNvPr>
        <xdr:cNvSpPr/>
      </xdr:nvSpPr>
      <xdr:spPr>
        <a:xfrm>
          <a:off x="4960620" y="1767840"/>
          <a:ext cx="2011680" cy="502920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HR Data</a:t>
          </a:r>
        </a:p>
      </xdr:txBody>
    </xdr:sp>
    <xdr:clientData/>
  </xdr:twoCellAnchor>
  <xdr:twoCellAnchor>
    <xdr:from>
      <xdr:col>1</xdr:col>
      <xdr:colOff>342900</xdr:colOff>
      <xdr:row>15</xdr:row>
      <xdr:rowOff>160020</xdr:rowOff>
    </xdr:from>
    <xdr:to>
      <xdr:col>4</xdr:col>
      <xdr:colOff>525780</xdr:colOff>
      <xdr:row>18</xdr:row>
      <xdr:rowOff>114300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EDC6F69-C064-4656-8B30-084EEC3C07F5}"/>
            </a:ext>
          </a:extLst>
        </xdr:cNvPr>
        <xdr:cNvSpPr/>
      </xdr:nvSpPr>
      <xdr:spPr>
        <a:xfrm>
          <a:off x="4960620" y="2903220"/>
          <a:ext cx="2011680" cy="50292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Marketing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365760</xdr:colOff>
      <xdr:row>1</xdr:row>
      <xdr:rowOff>106680</xdr:rowOff>
    </xdr:from>
    <xdr:to>
      <xdr:col>17</xdr:col>
      <xdr:colOff>579120</xdr:colOff>
      <xdr:row>4</xdr:row>
      <xdr:rowOff>76200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95B4B5-2220-1E11-1D56-CF6293928DAD}"/>
            </a:ext>
          </a:extLst>
        </xdr:cNvPr>
        <xdr:cNvSpPr/>
      </xdr:nvSpPr>
      <xdr:spPr>
        <a:xfrm>
          <a:off x="10287000" y="289560"/>
          <a:ext cx="1432560" cy="518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 b="1"/>
            <a:t>Instruction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"/>
  <sheetViews>
    <sheetView workbookViewId="0">
      <selection activeCell="A10" sqref="A10:A14"/>
    </sheetView>
  </sheetViews>
  <sheetFormatPr defaultRowHeight="14.4" x14ac:dyDescent="0.3"/>
  <cols>
    <col min="1" max="1" width="67.33203125" bestFit="1" customWidth="1"/>
  </cols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5" spans="1:1" x14ac:dyDescent="0.3">
      <c r="A25" t="s">
        <v>20</v>
      </c>
    </row>
    <row r="26" spans="1:1" x14ac:dyDescent="0.3">
      <c r="A26" t="s">
        <v>21</v>
      </c>
    </row>
    <row r="28" spans="1:1" x14ac:dyDescent="0.3">
      <c r="A28" t="s">
        <v>22</v>
      </c>
    </row>
    <row r="29" spans="1:1" x14ac:dyDescent="0.3">
      <c r="A29" t="s">
        <v>23</v>
      </c>
    </row>
    <row r="30" spans="1:1" x14ac:dyDescent="0.3">
      <c r="A30" t="s">
        <v>24</v>
      </c>
    </row>
    <row r="31" spans="1:1" x14ac:dyDescent="0.3">
      <c r="A31" t="s">
        <v>25</v>
      </c>
    </row>
    <row r="32" spans="1:1" x14ac:dyDescent="0.3">
      <c r="A32" t="s">
        <v>26</v>
      </c>
    </row>
    <row r="34" spans="1:1" x14ac:dyDescent="0.3">
      <c r="A34" t="s">
        <v>27</v>
      </c>
    </row>
    <row r="35" spans="1:1" x14ac:dyDescent="0.3">
      <c r="A35" t="s">
        <v>28</v>
      </c>
    </row>
    <row r="36" spans="1:1" x14ac:dyDescent="0.3">
      <c r="A36" t="s">
        <v>29</v>
      </c>
    </row>
    <row r="37" spans="1:1" x14ac:dyDescent="0.3">
      <c r="A37" t="s">
        <v>30</v>
      </c>
    </row>
    <row r="38" spans="1:1" x14ac:dyDescent="0.3">
      <c r="A38" t="s">
        <v>31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1"/>
  <sheetViews>
    <sheetView topLeftCell="C1" zoomScale="130" zoomScaleNormal="130" workbookViewId="0">
      <selection activeCell="K3" sqref="K3"/>
    </sheetView>
  </sheetViews>
  <sheetFormatPr defaultRowHeight="14.4" x14ac:dyDescent="0.3"/>
  <cols>
    <col min="1" max="1" width="11" bestFit="1" customWidth="1"/>
    <col min="2" max="2" width="24" customWidth="1"/>
    <col min="3" max="3" width="12.88671875" customWidth="1"/>
    <col min="4" max="4" width="19.88671875" customWidth="1"/>
    <col min="5" max="5" width="17" customWidth="1"/>
    <col min="8" max="8" width="19.44140625" customWidth="1"/>
    <col min="9" max="9" width="9.21875" customWidth="1"/>
    <col min="10" max="10" width="13.5546875" customWidth="1"/>
    <col min="11" max="11" width="24.88671875" bestFit="1" customWidth="1"/>
    <col min="12" max="12" width="5.33203125" bestFit="1" customWidth="1"/>
    <col min="13" max="13" width="18.77734375" customWidth="1"/>
  </cols>
  <sheetData>
    <row r="1" spans="1:12" x14ac:dyDescent="0.3">
      <c r="A1" s="1" t="s">
        <v>45</v>
      </c>
      <c r="B1" s="1" t="s">
        <v>46</v>
      </c>
      <c r="C1" s="1" t="s">
        <v>32</v>
      </c>
      <c r="D1" s="1" t="s">
        <v>38</v>
      </c>
      <c r="E1" s="1" t="s">
        <v>40</v>
      </c>
      <c r="F1" s="1" t="s">
        <v>47</v>
      </c>
      <c r="G1" s="1" t="s">
        <v>48</v>
      </c>
      <c r="H1" s="1" t="s">
        <v>49</v>
      </c>
      <c r="I1" s="3" t="s">
        <v>518</v>
      </c>
      <c r="J1" s="3" t="s">
        <v>540</v>
      </c>
      <c r="K1" s="3" t="s">
        <v>541</v>
      </c>
    </row>
    <row r="2" spans="1:12" x14ac:dyDescent="0.3">
      <c r="A2">
        <v>1</v>
      </c>
      <c r="B2" s="6">
        <v>45197</v>
      </c>
      <c r="C2" t="s">
        <v>35</v>
      </c>
      <c r="D2" t="s">
        <v>42</v>
      </c>
      <c r="E2" t="s">
        <v>50</v>
      </c>
      <c r="F2">
        <v>7</v>
      </c>
      <c r="G2">
        <v>400.31</v>
      </c>
      <c r="H2">
        <v>2802.17</v>
      </c>
      <c r="I2" t="s">
        <v>519</v>
      </c>
      <c r="J2" t="str">
        <f>IF(H2&gt;=2000,"Excellent👍","Average😒")</f>
        <v>Excellent👍</v>
      </c>
      <c r="K2" s="6" t="str">
        <f>IF(F2&lt;5,"Restock","Remain")</f>
        <v>Remain</v>
      </c>
    </row>
    <row r="3" spans="1:12" x14ac:dyDescent="0.3">
      <c r="A3">
        <v>2</v>
      </c>
      <c r="B3" s="6">
        <v>45029</v>
      </c>
      <c r="C3" t="s">
        <v>36</v>
      </c>
      <c r="D3" t="s">
        <v>51</v>
      </c>
      <c r="E3" t="s">
        <v>52</v>
      </c>
      <c r="F3">
        <v>8</v>
      </c>
      <c r="G3">
        <v>303.33999999999997</v>
      </c>
      <c r="H3">
        <v>2426.7199999999998</v>
      </c>
      <c r="I3" t="s">
        <v>523</v>
      </c>
      <c r="J3" t="str">
        <f t="shared" ref="J3:J66" si="0">IF(H3&gt;=2000,"Excellent👍","Average😒")</f>
        <v>Excellent👍</v>
      </c>
      <c r="K3" s="6" t="str">
        <f t="shared" ref="K3:K66" si="1">IF(F3&lt;5,"Restock","Remain")</f>
        <v>Remain</v>
      </c>
    </row>
    <row r="4" spans="1:12" x14ac:dyDescent="0.3">
      <c r="A4">
        <v>3</v>
      </c>
      <c r="B4" s="6">
        <v>45014</v>
      </c>
      <c r="C4" t="s">
        <v>35</v>
      </c>
      <c r="D4" t="s">
        <v>42</v>
      </c>
      <c r="E4" t="s">
        <v>50</v>
      </c>
      <c r="F4">
        <v>3</v>
      </c>
      <c r="G4">
        <v>58.99</v>
      </c>
      <c r="H4">
        <v>176.97</v>
      </c>
      <c r="I4" t="s">
        <v>523</v>
      </c>
      <c r="J4" t="str">
        <f t="shared" si="0"/>
        <v>Average😒</v>
      </c>
      <c r="K4" s="6" t="str">
        <f t="shared" si="1"/>
        <v>Restock</v>
      </c>
    </row>
    <row r="5" spans="1:12" x14ac:dyDescent="0.3">
      <c r="A5">
        <v>4</v>
      </c>
      <c r="B5" s="6">
        <v>45078</v>
      </c>
      <c r="C5" t="s">
        <v>33</v>
      </c>
      <c r="D5" t="s">
        <v>53</v>
      </c>
      <c r="E5" t="s">
        <v>54</v>
      </c>
      <c r="F5">
        <v>5</v>
      </c>
      <c r="G5">
        <v>304.55</v>
      </c>
      <c r="H5">
        <v>1522.75</v>
      </c>
      <c r="I5" t="s">
        <v>522</v>
      </c>
      <c r="J5" t="str">
        <f t="shared" si="0"/>
        <v>Average😒</v>
      </c>
      <c r="K5" s="6" t="str">
        <f t="shared" si="1"/>
        <v>Remain</v>
      </c>
    </row>
    <row r="6" spans="1:12" x14ac:dyDescent="0.3">
      <c r="A6">
        <v>5</v>
      </c>
      <c r="B6" s="6">
        <v>45184</v>
      </c>
      <c r="C6" t="s">
        <v>34</v>
      </c>
      <c r="D6" t="s">
        <v>51</v>
      </c>
      <c r="E6" t="s">
        <v>55</v>
      </c>
      <c r="F6">
        <v>3</v>
      </c>
      <c r="G6">
        <v>20.09</v>
      </c>
      <c r="H6">
        <v>60.27</v>
      </c>
      <c r="I6" t="s">
        <v>520</v>
      </c>
      <c r="J6" t="str">
        <f t="shared" si="0"/>
        <v>Average😒</v>
      </c>
      <c r="K6" s="6" t="str">
        <f t="shared" si="1"/>
        <v>Restock</v>
      </c>
    </row>
    <row r="7" spans="1:12" x14ac:dyDescent="0.3">
      <c r="A7">
        <v>6</v>
      </c>
      <c r="B7" s="6">
        <v>45220</v>
      </c>
      <c r="C7" t="s">
        <v>34</v>
      </c>
      <c r="D7" t="s">
        <v>51</v>
      </c>
      <c r="E7" t="s">
        <v>55</v>
      </c>
      <c r="F7">
        <v>8</v>
      </c>
      <c r="G7">
        <v>417.9</v>
      </c>
      <c r="H7">
        <v>3343.2</v>
      </c>
      <c r="I7" t="s">
        <v>524</v>
      </c>
      <c r="J7" t="str">
        <f t="shared" si="0"/>
        <v>Excellent👍</v>
      </c>
      <c r="K7" s="6" t="str">
        <f t="shared" si="1"/>
        <v>Remain</v>
      </c>
      <c r="L7" s="7"/>
    </row>
    <row r="8" spans="1:12" x14ac:dyDescent="0.3">
      <c r="A8">
        <v>7</v>
      </c>
      <c r="B8" s="6">
        <v>45203</v>
      </c>
      <c r="C8" t="s">
        <v>33</v>
      </c>
      <c r="D8" t="s">
        <v>42</v>
      </c>
      <c r="E8" t="s">
        <v>41</v>
      </c>
      <c r="F8">
        <v>2</v>
      </c>
      <c r="G8">
        <v>99.09</v>
      </c>
      <c r="H8">
        <v>198.18</v>
      </c>
      <c r="I8" t="s">
        <v>525</v>
      </c>
      <c r="J8" t="str">
        <f t="shared" si="0"/>
        <v>Average😒</v>
      </c>
      <c r="K8" s="6" t="str">
        <f t="shared" si="1"/>
        <v>Restock</v>
      </c>
    </row>
    <row r="9" spans="1:12" x14ac:dyDescent="0.3">
      <c r="A9">
        <v>8</v>
      </c>
      <c r="B9" s="6">
        <v>44948</v>
      </c>
      <c r="C9" t="s">
        <v>36</v>
      </c>
      <c r="D9" t="s">
        <v>56</v>
      </c>
      <c r="E9" t="s">
        <v>57</v>
      </c>
      <c r="F9">
        <v>1</v>
      </c>
      <c r="G9">
        <v>159.08000000000001</v>
      </c>
      <c r="H9">
        <v>159.08000000000001</v>
      </c>
      <c r="I9" t="s">
        <v>520</v>
      </c>
      <c r="J9" t="str">
        <f t="shared" si="0"/>
        <v>Average😒</v>
      </c>
      <c r="K9" s="6" t="str">
        <f t="shared" si="1"/>
        <v>Restock</v>
      </c>
    </row>
    <row r="10" spans="1:12" x14ac:dyDescent="0.3">
      <c r="A10">
        <v>9</v>
      </c>
      <c r="B10" s="6">
        <v>44985</v>
      </c>
      <c r="C10" t="s">
        <v>36</v>
      </c>
      <c r="D10" t="s">
        <v>53</v>
      </c>
      <c r="E10" t="s">
        <v>58</v>
      </c>
      <c r="F10">
        <v>9</v>
      </c>
      <c r="G10">
        <v>152.69999999999999</v>
      </c>
      <c r="H10">
        <v>1374.3</v>
      </c>
      <c r="I10" t="s">
        <v>520</v>
      </c>
      <c r="J10" t="str">
        <f t="shared" si="0"/>
        <v>Average😒</v>
      </c>
      <c r="K10" s="6" t="str">
        <f t="shared" si="1"/>
        <v>Remain</v>
      </c>
    </row>
    <row r="11" spans="1:12" x14ac:dyDescent="0.3">
      <c r="A11">
        <v>10</v>
      </c>
      <c r="B11" s="6">
        <v>45170</v>
      </c>
      <c r="C11" t="s">
        <v>33</v>
      </c>
      <c r="D11" t="s">
        <v>42</v>
      </c>
      <c r="E11" t="s">
        <v>43</v>
      </c>
      <c r="F11">
        <v>3</v>
      </c>
      <c r="G11">
        <v>197.41</v>
      </c>
      <c r="H11">
        <v>592.23</v>
      </c>
      <c r="I11" t="s">
        <v>522</v>
      </c>
      <c r="J11" t="str">
        <f t="shared" si="0"/>
        <v>Average😒</v>
      </c>
      <c r="K11" s="6" t="str">
        <f t="shared" si="1"/>
        <v>Restock</v>
      </c>
    </row>
    <row r="12" spans="1:12" x14ac:dyDescent="0.3">
      <c r="A12">
        <v>11</v>
      </c>
      <c r="B12" s="6">
        <v>45233</v>
      </c>
      <c r="C12" t="s">
        <v>33</v>
      </c>
      <c r="D12" t="s">
        <v>56</v>
      </c>
      <c r="E12" t="s">
        <v>59</v>
      </c>
      <c r="F12">
        <v>9</v>
      </c>
      <c r="G12">
        <v>32.76</v>
      </c>
      <c r="H12">
        <v>294.83999999999997</v>
      </c>
      <c r="I12" t="s">
        <v>523</v>
      </c>
      <c r="J12" t="str">
        <f t="shared" si="0"/>
        <v>Average😒</v>
      </c>
      <c r="K12" s="6" t="str">
        <f t="shared" si="1"/>
        <v>Remain</v>
      </c>
    </row>
    <row r="13" spans="1:12" x14ac:dyDescent="0.3">
      <c r="A13">
        <v>12</v>
      </c>
      <c r="B13" s="6">
        <v>45093</v>
      </c>
      <c r="C13" t="s">
        <v>34</v>
      </c>
      <c r="D13" t="s">
        <v>53</v>
      </c>
      <c r="E13" t="s">
        <v>60</v>
      </c>
      <c r="F13">
        <v>7</v>
      </c>
      <c r="G13">
        <v>93.56</v>
      </c>
      <c r="H13">
        <v>654.92000000000007</v>
      </c>
      <c r="I13" t="s">
        <v>523</v>
      </c>
      <c r="J13" t="str">
        <f t="shared" si="0"/>
        <v>Average😒</v>
      </c>
      <c r="K13" s="6" t="str">
        <f t="shared" si="1"/>
        <v>Remain</v>
      </c>
    </row>
    <row r="14" spans="1:12" x14ac:dyDescent="0.3">
      <c r="A14">
        <v>13</v>
      </c>
      <c r="B14" s="6">
        <v>45242</v>
      </c>
      <c r="C14" t="s">
        <v>35</v>
      </c>
      <c r="D14" t="s">
        <v>56</v>
      </c>
      <c r="E14" t="s">
        <v>57</v>
      </c>
      <c r="F14">
        <v>2</v>
      </c>
      <c r="G14">
        <v>474.95</v>
      </c>
      <c r="H14">
        <v>949.9</v>
      </c>
      <c r="I14" t="s">
        <v>525</v>
      </c>
      <c r="J14" t="str">
        <f t="shared" si="0"/>
        <v>Average😒</v>
      </c>
      <c r="K14" s="6" t="str">
        <f t="shared" si="1"/>
        <v>Restock</v>
      </c>
    </row>
    <row r="15" spans="1:12" x14ac:dyDescent="0.3">
      <c r="A15">
        <v>14</v>
      </c>
      <c r="B15" s="6">
        <v>45272</v>
      </c>
      <c r="C15" t="s">
        <v>36</v>
      </c>
      <c r="D15" t="s">
        <v>56</v>
      </c>
      <c r="E15" t="s">
        <v>61</v>
      </c>
      <c r="F15">
        <v>2</v>
      </c>
      <c r="G15">
        <v>198.85</v>
      </c>
      <c r="H15">
        <v>397.7</v>
      </c>
      <c r="I15" t="s">
        <v>519</v>
      </c>
      <c r="J15" t="str">
        <f t="shared" si="0"/>
        <v>Average😒</v>
      </c>
      <c r="K15" s="6" t="str">
        <f t="shared" si="1"/>
        <v>Restock</v>
      </c>
    </row>
    <row r="16" spans="1:12" x14ac:dyDescent="0.3">
      <c r="A16">
        <v>15</v>
      </c>
      <c r="B16" s="6">
        <v>45018</v>
      </c>
      <c r="C16" t="s">
        <v>34</v>
      </c>
      <c r="D16" t="s">
        <v>56</v>
      </c>
      <c r="E16" t="s">
        <v>61</v>
      </c>
      <c r="F16">
        <v>5</v>
      </c>
      <c r="G16">
        <v>123.14</v>
      </c>
      <c r="H16">
        <v>615.70000000000005</v>
      </c>
      <c r="I16" t="s">
        <v>525</v>
      </c>
      <c r="J16" t="str">
        <f t="shared" si="0"/>
        <v>Average😒</v>
      </c>
      <c r="K16" s="6" t="str">
        <f t="shared" si="1"/>
        <v>Remain</v>
      </c>
    </row>
    <row r="17" spans="1:11" x14ac:dyDescent="0.3">
      <c r="A17">
        <v>16</v>
      </c>
      <c r="B17" s="6">
        <v>45190</v>
      </c>
      <c r="C17" t="s">
        <v>35</v>
      </c>
      <c r="D17" t="s">
        <v>53</v>
      </c>
      <c r="E17" t="s">
        <v>60</v>
      </c>
      <c r="F17">
        <v>7</v>
      </c>
      <c r="G17">
        <v>308.89999999999998</v>
      </c>
      <c r="H17">
        <v>2162.3000000000002</v>
      </c>
      <c r="I17" t="s">
        <v>520</v>
      </c>
      <c r="J17" t="str">
        <f t="shared" si="0"/>
        <v>Excellent👍</v>
      </c>
      <c r="K17" s="6" t="str">
        <f t="shared" si="1"/>
        <v>Remain</v>
      </c>
    </row>
    <row r="18" spans="1:11" x14ac:dyDescent="0.3">
      <c r="A18">
        <v>17</v>
      </c>
      <c r="B18" s="6">
        <v>44976</v>
      </c>
      <c r="C18" t="s">
        <v>34</v>
      </c>
      <c r="D18" t="s">
        <v>42</v>
      </c>
      <c r="E18" t="s">
        <v>43</v>
      </c>
      <c r="F18">
        <v>3</v>
      </c>
      <c r="G18">
        <v>455.57</v>
      </c>
      <c r="H18">
        <v>1366.71</v>
      </c>
      <c r="I18" t="s">
        <v>524</v>
      </c>
      <c r="J18" t="str">
        <f t="shared" si="0"/>
        <v>Average😒</v>
      </c>
      <c r="K18" s="6" t="str">
        <f t="shared" si="1"/>
        <v>Restock</v>
      </c>
    </row>
    <row r="19" spans="1:11" x14ac:dyDescent="0.3">
      <c r="A19">
        <v>18</v>
      </c>
      <c r="B19" s="6">
        <v>44980</v>
      </c>
      <c r="C19" t="s">
        <v>33</v>
      </c>
      <c r="D19" t="s">
        <v>56</v>
      </c>
      <c r="E19" t="s">
        <v>62</v>
      </c>
      <c r="F19">
        <v>8</v>
      </c>
      <c r="G19">
        <v>380.13</v>
      </c>
      <c r="H19">
        <v>3041.04</v>
      </c>
      <c r="I19" t="s">
        <v>525</v>
      </c>
      <c r="J19" t="str">
        <f t="shared" si="0"/>
        <v>Excellent👍</v>
      </c>
      <c r="K19" s="6" t="str">
        <f t="shared" si="1"/>
        <v>Remain</v>
      </c>
    </row>
    <row r="20" spans="1:11" x14ac:dyDescent="0.3">
      <c r="A20">
        <v>19</v>
      </c>
      <c r="B20" s="6">
        <v>45117</v>
      </c>
      <c r="C20" t="s">
        <v>35</v>
      </c>
      <c r="D20" t="s">
        <v>42</v>
      </c>
      <c r="E20" t="s">
        <v>41</v>
      </c>
      <c r="F20">
        <v>4</v>
      </c>
      <c r="G20">
        <v>100.58</v>
      </c>
      <c r="H20">
        <v>402.32</v>
      </c>
      <c r="I20" t="s">
        <v>523</v>
      </c>
      <c r="J20" t="str">
        <f t="shared" si="0"/>
        <v>Average😒</v>
      </c>
      <c r="K20" s="6" t="str">
        <f t="shared" si="1"/>
        <v>Restock</v>
      </c>
    </row>
    <row r="21" spans="1:11" x14ac:dyDescent="0.3">
      <c r="A21">
        <v>20</v>
      </c>
      <c r="B21" s="6">
        <v>45088</v>
      </c>
      <c r="C21" t="s">
        <v>35</v>
      </c>
      <c r="D21" t="s">
        <v>53</v>
      </c>
      <c r="E21" t="s">
        <v>58</v>
      </c>
      <c r="F21">
        <v>2</v>
      </c>
      <c r="G21">
        <v>389.82</v>
      </c>
      <c r="H21">
        <v>779.64</v>
      </c>
      <c r="I21" t="s">
        <v>523</v>
      </c>
      <c r="J21" t="str">
        <f t="shared" si="0"/>
        <v>Average😒</v>
      </c>
      <c r="K21" s="6" t="str">
        <f t="shared" si="1"/>
        <v>Restock</v>
      </c>
    </row>
    <row r="22" spans="1:11" x14ac:dyDescent="0.3">
      <c r="A22">
        <v>21</v>
      </c>
      <c r="B22" s="6">
        <v>45230</v>
      </c>
      <c r="C22" t="s">
        <v>35</v>
      </c>
      <c r="D22" t="s">
        <v>42</v>
      </c>
      <c r="E22" t="s">
        <v>41</v>
      </c>
      <c r="F22">
        <v>4</v>
      </c>
      <c r="G22">
        <v>302.97000000000003</v>
      </c>
      <c r="H22">
        <v>1211.8800000000001</v>
      </c>
      <c r="I22" t="s">
        <v>519</v>
      </c>
      <c r="J22" t="str">
        <f t="shared" si="0"/>
        <v>Average😒</v>
      </c>
      <c r="K22" s="6" t="str">
        <f t="shared" si="1"/>
        <v>Restock</v>
      </c>
    </row>
    <row r="23" spans="1:11" x14ac:dyDescent="0.3">
      <c r="A23">
        <v>22</v>
      </c>
      <c r="B23" s="6">
        <v>45178</v>
      </c>
      <c r="C23" t="s">
        <v>34</v>
      </c>
      <c r="D23" t="s">
        <v>53</v>
      </c>
      <c r="E23" t="s">
        <v>60</v>
      </c>
      <c r="F23">
        <v>8</v>
      </c>
      <c r="G23">
        <v>289.52</v>
      </c>
      <c r="H23">
        <v>2316.16</v>
      </c>
      <c r="I23" t="s">
        <v>520</v>
      </c>
      <c r="J23" t="str">
        <f t="shared" si="0"/>
        <v>Excellent👍</v>
      </c>
      <c r="K23" s="6" t="str">
        <f t="shared" si="1"/>
        <v>Remain</v>
      </c>
    </row>
    <row r="24" spans="1:11" x14ac:dyDescent="0.3">
      <c r="A24">
        <v>23</v>
      </c>
      <c r="B24" s="6">
        <v>45139</v>
      </c>
      <c r="C24" t="s">
        <v>34</v>
      </c>
      <c r="D24" t="s">
        <v>51</v>
      </c>
      <c r="E24" t="s">
        <v>63</v>
      </c>
      <c r="F24">
        <v>9</v>
      </c>
      <c r="G24">
        <v>480.97</v>
      </c>
      <c r="H24">
        <v>4328.7299999999996</v>
      </c>
      <c r="I24" t="s">
        <v>521</v>
      </c>
      <c r="J24" t="str">
        <f t="shared" si="0"/>
        <v>Excellent👍</v>
      </c>
      <c r="K24" s="6" t="str">
        <f t="shared" si="1"/>
        <v>Remain</v>
      </c>
    </row>
    <row r="25" spans="1:11" x14ac:dyDescent="0.3">
      <c r="A25">
        <v>24</v>
      </c>
      <c r="B25" s="6">
        <v>45206</v>
      </c>
      <c r="C25" t="s">
        <v>33</v>
      </c>
      <c r="D25" t="s">
        <v>53</v>
      </c>
      <c r="E25" t="s">
        <v>64</v>
      </c>
      <c r="F25">
        <v>2</v>
      </c>
      <c r="G25">
        <v>274.45</v>
      </c>
      <c r="H25">
        <v>548.9</v>
      </c>
      <c r="I25" t="s">
        <v>523</v>
      </c>
      <c r="J25" t="str">
        <f t="shared" si="0"/>
        <v>Average😒</v>
      </c>
      <c r="K25" s="6" t="str">
        <f t="shared" si="1"/>
        <v>Restock</v>
      </c>
    </row>
    <row r="26" spans="1:11" x14ac:dyDescent="0.3">
      <c r="A26">
        <v>25</v>
      </c>
      <c r="B26" s="6">
        <v>44967</v>
      </c>
      <c r="C26" t="s">
        <v>33</v>
      </c>
      <c r="D26" t="s">
        <v>51</v>
      </c>
      <c r="E26" t="s">
        <v>65</v>
      </c>
      <c r="F26">
        <v>9</v>
      </c>
      <c r="G26">
        <v>147.66</v>
      </c>
      <c r="H26">
        <v>1328.94</v>
      </c>
      <c r="I26" t="s">
        <v>525</v>
      </c>
      <c r="J26" t="str">
        <f t="shared" si="0"/>
        <v>Average😒</v>
      </c>
      <c r="K26" s="6" t="str">
        <f t="shared" si="1"/>
        <v>Remain</v>
      </c>
    </row>
    <row r="27" spans="1:11" x14ac:dyDescent="0.3">
      <c r="A27">
        <v>26</v>
      </c>
      <c r="B27" s="6">
        <v>44935</v>
      </c>
      <c r="C27" t="s">
        <v>35</v>
      </c>
      <c r="D27" t="s">
        <v>51</v>
      </c>
      <c r="E27" t="s">
        <v>63</v>
      </c>
      <c r="F27">
        <v>1</v>
      </c>
      <c r="G27">
        <v>17.66</v>
      </c>
      <c r="H27">
        <v>17.66</v>
      </c>
      <c r="I27" t="s">
        <v>521</v>
      </c>
      <c r="J27" t="str">
        <f t="shared" si="0"/>
        <v>Average😒</v>
      </c>
      <c r="K27" s="6" t="str">
        <f t="shared" si="1"/>
        <v>Restock</v>
      </c>
    </row>
    <row r="28" spans="1:11" x14ac:dyDescent="0.3">
      <c r="A28">
        <v>27</v>
      </c>
      <c r="B28" s="6">
        <v>45062</v>
      </c>
      <c r="C28" t="s">
        <v>33</v>
      </c>
      <c r="D28" t="s">
        <v>53</v>
      </c>
      <c r="E28" t="s">
        <v>60</v>
      </c>
      <c r="F28">
        <v>8</v>
      </c>
      <c r="G28">
        <v>203.49</v>
      </c>
      <c r="H28">
        <v>1627.92</v>
      </c>
      <c r="I28" t="s">
        <v>519</v>
      </c>
      <c r="J28" t="str">
        <f t="shared" si="0"/>
        <v>Average😒</v>
      </c>
      <c r="K28" s="6" t="str">
        <f t="shared" si="1"/>
        <v>Remain</v>
      </c>
    </row>
    <row r="29" spans="1:11" x14ac:dyDescent="0.3">
      <c r="A29">
        <v>28</v>
      </c>
      <c r="B29" s="6">
        <v>45007</v>
      </c>
      <c r="C29" t="s">
        <v>35</v>
      </c>
      <c r="D29" t="s">
        <v>42</v>
      </c>
      <c r="E29" t="s">
        <v>41</v>
      </c>
      <c r="F29">
        <v>8</v>
      </c>
      <c r="G29">
        <v>16.899999999999999</v>
      </c>
      <c r="H29">
        <v>135.19999999999999</v>
      </c>
      <c r="I29" t="s">
        <v>524</v>
      </c>
      <c r="J29" t="str">
        <f t="shared" si="0"/>
        <v>Average😒</v>
      </c>
      <c r="K29" s="6" t="str">
        <f t="shared" si="1"/>
        <v>Remain</v>
      </c>
    </row>
    <row r="30" spans="1:11" x14ac:dyDescent="0.3">
      <c r="A30">
        <v>29</v>
      </c>
      <c r="B30" s="6">
        <v>45215</v>
      </c>
      <c r="C30" t="s">
        <v>33</v>
      </c>
      <c r="D30" t="s">
        <v>42</v>
      </c>
      <c r="E30" t="s">
        <v>66</v>
      </c>
      <c r="F30">
        <v>8</v>
      </c>
      <c r="G30">
        <v>367.21</v>
      </c>
      <c r="H30">
        <v>2937.68</v>
      </c>
      <c r="I30" t="s">
        <v>519</v>
      </c>
      <c r="J30" t="str">
        <f t="shared" si="0"/>
        <v>Excellent👍</v>
      </c>
      <c r="K30" s="6" t="str">
        <f t="shared" si="1"/>
        <v>Remain</v>
      </c>
    </row>
    <row r="31" spans="1:11" x14ac:dyDescent="0.3">
      <c r="A31">
        <v>30</v>
      </c>
      <c r="B31" s="6">
        <v>44967</v>
      </c>
      <c r="C31" t="s">
        <v>36</v>
      </c>
      <c r="D31" t="s">
        <v>51</v>
      </c>
      <c r="E31" t="s">
        <v>65</v>
      </c>
      <c r="F31">
        <v>5</v>
      </c>
      <c r="G31">
        <v>463.89</v>
      </c>
      <c r="H31">
        <v>2319.4499999999998</v>
      </c>
      <c r="I31" t="s">
        <v>524</v>
      </c>
      <c r="J31" t="str">
        <f t="shared" si="0"/>
        <v>Excellent👍</v>
      </c>
      <c r="K31" s="6" t="str">
        <f t="shared" si="1"/>
        <v>Remain</v>
      </c>
    </row>
    <row r="32" spans="1:11" x14ac:dyDescent="0.3">
      <c r="A32">
        <v>31</v>
      </c>
      <c r="B32" s="6">
        <v>45194</v>
      </c>
      <c r="C32" t="s">
        <v>34</v>
      </c>
      <c r="D32" t="s">
        <v>56</v>
      </c>
      <c r="E32" t="s">
        <v>61</v>
      </c>
      <c r="F32">
        <v>7</v>
      </c>
      <c r="G32">
        <v>426.52</v>
      </c>
      <c r="H32">
        <v>2985.64</v>
      </c>
      <c r="I32" t="s">
        <v>520</v>
      </c>
      <c r="J32" t="str">
        <f t="shared" si="0"/>
        <v>Excellent👍</v>
      </c>
      <c r="K32" s="6" t="str">
        <f t="shared" si="1"/>
        <v>Remain</v>
      </c>
    </row>
    <row r="33" spans="1:11" x14ac:dyDescent="0.3">
      <c r="A33">
        <v>32</v>
      </c>
      <c r="B33" s="6">
        <v>44988</v>
      </c>
      <c r="C33" t="s">
        <v>33</v>
      </c>
      <c r="D33" t="s">
        <v>42</v>
      </c>
      <c r="E33" t="s">
        <v>43</v>
      </c>
      <c r="F33">
        <v>2</v>
      </c>
      <c r="G33">
        <v>56.75</v>
      </c>
      <c r="H33">
        <v>113.5</v>
      </c>
      <c r="I33" t="s">
        <v>519</v>
      </c>
      <c r="J33" t="str">
        <f t="shared" si="0"/>
        <v>Average😒</v>
      </c>
      <c r="K33" s="6" t="str">
        <f t="shared" si="1"/>
        <v>Restock</v>
      </c>
    </row>
    <row r="34" spans="1:11" x14ac:dyDescent="0.3">
      <c r="A34">
        <v>33</v>
      </c>
      <c r="B34" s="6">
        <v>45098</v>
      </c>
      <c r="C34" t="s">
        <v>34</v>
      </c>
      <c r="D34" t="s">
        <v>42</v>
      </c>
      <c r="E34" t="s">
        <v>43</v>
      </c>
      <c r="F34">
        <v>8</v>
      </c>
      <c r="G34">
        <v>336.3</v>
      </c>
      <c r="H34">
        <v>2690.4</v>
      </c>
      <c r="I34" t="s">
        <v>519</v>
      </c>
      <c r="J34" t="str">
        <f t="shared" si="0"/>
        <v>Excellent👍</v>
      </c>
      <c r="K34" s="6" t="str">
        <f t="shared" si="1"/>
        <v>Remain</v>
      </c>
    </row>
    <row r="35" spans="1:11" x14ac:dyDescent="0.3">
      <c r="A35">
        <v>34</v>
      </c>
      <c r="B35" s="6">
        <v>44961</v>
      </c>
      <c r="C35" t="s">
        <v>36</v>
      </c>
      <c r="D35" t="s">
        <v>51</v>
      </c>
      <c r="E35" t="s">
        <v>55</v>
      </c>
      <c r="F35">
        <v>8</v>
      </c>
      <c r="G35">
        <v>144.61000000000001</v>
      </c>
      <c r="H35">
        <v>1156.8800000000001</v>
      </c>
      <c r="I35" t="s">
        <v>519</v>
      </c>
      <c r="J35" t="str">
        <f t="shared" si="0"/>
        <v>Average😒</v>
      </c>
      <c r="K35" s="6" t="str">
        <f t="shared" si="1"/>
        <v>Remain</v>
      </c>
    </row>
    <row r="36" spans="1:11" x14ac:dyDescent="0.3">
      <c r="A36">
        <v>35</v>
      </c>
      <c r="B36" s="6">
        <v>45057</v>
      </c>
      <c r="C36" t="s">
        <v>33</v>
      </c>
      <c r="D36" t="s">
        <v>56</v>
      </c>
      <c r="E36" t="s">
        <v>61</v>
      </c>
      <c r="F36">
        <v>1</v>
      </c>
      <c r="G36">
        <v>197.63</v>
      </c>
      <c r="H36">
        <v>197.63</v>
      </c>
      <c r="I36" t="s">
        <v>519</v>
      </c>
      <c r="J36" t="str">
        <f t="shared" si="0"/>
        <v>Average😒</v>
      </c>
      <c r="K36" s="6" t="str">
        <f t="shared" si="1"/>
        <v>Restock</v>
      </c>
    </row>
    <row r="37" spans="1:11" x14ac:dyDescent="0.3">
      <c r="A37">
        <v>36</v>
      </c>
      <c r="B37" s="6">
        <v>45181</v>
      </c>
      <c r="C37" t="s">
        <v>33</v>
      </c>
      <c r="D37" t="s">
        <v>56</v>
      </c>
      <c r="E37" t="s">
        <v>59</v>
      </c>
      <c r="F37">
        <v>1</v>
      </c>
      <c r="G37">
        <v>363.65</v>
      </c>
      <c r="H37">
        <v>363.65</v>
      </c>
      <c r="I37" t="s">
        <v>521</v>
      </c>
      <c r="J37" t="str">
        <f t="shared" si="0"/>
        <v>Average😒</v>
      </c>
      <c r="K37" s="6" t="str">
        <f t="shared" si="1"/>
        <v>Restock</v>
      </c>
    </row>
    <row r="38" spans="1:11" x14ac:dyDescent="0.3">
      <c r="A38">
        <v>37</v>
      </c>
      <c r="B38" s="6">
        <v>45133</v>
      </c>
      <c r="C38" t="s">
        <v>36</v>
      </c>
      <c r="D38" t="s">
        <v>53</v>
      </c>
      <c r="E38" t="s">
        <v>60</v>
      </c>
      <c r="F38">
        <v>7</v>
      </c>
      <c r="G38">
        <v>29.81</v>
      </c>
      <c r="H38">
        <v>208.67</v>
      </c>
      <c r="I38" t="s">
        <v>522</v>
      </c>
      <c r="J38" t="str">
        <f t="shared" si="0"/>
        <v>Average😒</v>
      </c>
      <c r="K38" s="6" t="str">
        <f t="shared" si="1"/>
        <v>Remain</v>
      </c>
    </row>
    <row r="39" spans="1:11" x14ac:dyDescent="0.3">
      <c r="A39">
        <v>38</v>
      </c>
      <c r="B39" s="6">
        <v>45157</v>
      </c>
      <c r="C39" t="s">
        <v>35</v>
      </c>
      <c r="D39" t="s">
        <v>51</v>
      </c>
      <c r="E39" t="s">
        <v>63</v>
      </c>
      <c r="F39">
        <v>3</v>
      </c>
      <c r="G39">
        <v>25.4</v>
      </c>
      <c r="H39">
        <v>76.199999999999989</v>
      </c>
      <c r="I39" t="s">
        <v>520</v>
      </c>
      <c r="J39" t="str">
        <f t="shared" si="0"/>
        <v>Average😒</v>
      </c>
      <c r="K39" s="6" t="str">
        <f t="shared" si="1"/>
        <v>Restock</v>
      </c>
    </row>
    <row r="40" spans="1:11" x14ac:dyDescent="0.3">
      <c r="A40">
        <v>39</v>
      </c>
      <c r="B40" s="6">
        <v>45022</v>
      </c>
      <c r="C40" t="s">
        <v>33</v>
      </c>
      <c r="D40" t="s">
        <v>53</v>
      </c>
      <c r="E40" t="s">
        <v>54</v>
      </c>
      <c r="F40">
        <v>1</v>
      </c>
      <c r="G40">
        <v>164.03</v>
      </c>
      <c r="H40">
        <v>164.03</v>
      </c>
      <c r="I40" t="s">
        <v>520</v>
      </c>
      <c r="J40" t="str">
        <f t="shared" si="0"/>
        <v>Average😒</v>
      </c>
      <c r="K40" s="6" t="str">
        <f t="shared" si="1"/>
        <v>Restock</v>
      </c>
    </row>
    <row r="41" spans="1:11" x14ac:dyDescent="0.3">
      <c r="A41">
        <v>40</v>
      </c>
      <c r="B41" s="6">
        <v>45157</v>
      </c>
      <c r="C41" t="s">
        <v>35</v>
      </c>
      <c r="D41" t="s">
        <v>53</v>
      </c>
      <c r="E41" t="s">
        <v>58</v>
      </c>
      <c r="F41">
        <v>4</v>
      </c>
      <c r="G41">
        <v>454.71</v>
      </c>
      <c r="H41">
        <v>1818.84</v>
      </c>
      <c r="I41" t="s">
        <v>525</v>
      </c>
      <c r="J41" t="str">
        <f t="shared" si="0"/>
        <v>Average😒</v>
      </c>
      <c r="K41" s="6" t="str">
        <f t="shared" si="1"/>
        <v>Restock</v>
      </c>
    </row>
    <row r="42" spans="1:11" x14ac:dyDescent="0.3">
      <c r="A42">
        <v>41</v>
      </c>
      <c r="B42" s="6">
        <v>45253</v>
      </c>
      <c r="C42" t="s">
        <v>36</v>
      </c>
      <c r="D42" t="s">
        <v>56</v>
      </c>
      <c r="E42" t="s">
        <v>62</v>
      </c>
      <c r="F42">
        <v>4</v>
      </c>
      <c r="G42">
        <v>472</v>
      </c>
      <c r="H42">
        <v>1888</v>
      </c>
      <c r="I42" t="s">
        <v>524</v>
      </c>
      <c r="J42" t="str">
        <f t="shared" si="0"/>
        <v>Average😒</v>
      </c>
      <c r="K42" s="6" t="str">
        <f t="shared" si="1"/>
        <v>Restock</v>
      </c>
    </row>
    <row r="43" spans="1:11" x14ac:dyDescent="0.3">
      <c r="A43">
        <v>42</v>
      </c>
      <c r="B43" s="6">
        <v>44992</v>
      </c>
      <c r="C43" t="s">
        <v>36</v>
      </c>
      <c r="D43" t="s">
        <v>53</v>
      </c>
      <c r="E43" t="s">
        <v>60</v>
      </c>
      <c r="F43">
        <v>3</v>
      </c>
      <c r="G43">
        <v>89</v>
      </c>
      <c r="H43">
        <v>267</v>
      </c>
      <c r="I43" t="s">
        <v>520</v>
      </c>
      <c r="J43" t="str">
        <f t="shared" si="0"/>
        <v>Average😒</v>
      </c>
      <c r="K43" s="6" t="str">
        <f t="shared" si="1"/>
        <v>Restock</v>
      </c>
    </row>
    <row r="44" spans="1:11" x14ac:dyDescent="0.3">
      <c r="A44">
        <v>43</v>
      </c>
      <c r="B44" s="6">
        <v>45210</v>
      </c>
      <c r="C44" t="s">
        <v>34</v>
      </c>
      <c r="D44" t="s">
        <v>53</v>
      </c>
      <c r="E44" t="s">
        <v>54</v>
      </c>
      <c r="F44">
        <v>9</v>
      </c>
      <c r="G44">
        <v>61.69</v>
      </c>
      <c r="H44">
        <v>555.21</v>
      </c>
      <c r="I44" t="s">
        <v>519</v>
      </c>
      <c r="J44" t="str">
        <f t="shared" si="0"/>
        <v>Average😒</v>
      </c>
      <c r="K44" s="6" t="str">
        <f t="shared" si="1"/>
        <v>Remain</v>
      </c>
    </row>
    <row r="45" spans="1:11" x14ac:dyDescent="0.3">
      <c r="A45">
        <v>44</v>
      </c>
      <c r="B45" s="6">
        <v>45257</v>
      </c>
      <c r="C45" t="s">
        <v>36</v>
      </c>
      <c r="D45" t="s">
        <v>56</v>
      </c>
      <c r="E45" t="s">
        <v>62</v>
      </c>
      <c r="F45">
        <v>4</v>
      </c>
      <c r="G45">
        <v>447.35</v>
      </c>
      <c r="H45">
        <v>1789.4</v>
      </c>
      <c r="I45" t="s">
        <v>521</v>
      </c>
      <c r="J45" t="str">
        <f t="shared" si="0"/>
        <v>Average😒</v>
      </c>
      <c r="K45" s="6" t="str">
        <f t="shared" si="1"/>
        <v>Restock</v>
      </c>
    </row>
    <row r="46" spans="1:11" x14ac:dyDescent="0.3">
      <c r="A46">
        <v>45</v>
      </c>
      <c r="B46" s="6">
        <v>45157</v>
      </c>
      <c r="C46" t="s">
        <v>35</v>
      </c>
      <c r="D46" t="s">
        <v>51</v>
      </c>
      <c r="E46" t="s">
        <v>65</v>
      </c>
      <c r="F46">
        <v>7</v>
      </c>
      <c r="G46">
        <v>449.08</v>
      </c>
      <c r="H46">
        <v>3143.56</v>
      </c>
      <c r="I46" t="s">
        <v>522</v>
      </c>
      <c r="J46" t="str">
        <f t="shared" si="0"/>
        <v>Excellent👍</v>
      </c>
      <c r="K46" s="6" t="str">
        <f t="shared" si="1"/>
        <v>Remain</v>
      </c>
    </row>
    <row r="47" spans="1:11" x14ac:dyDescent="0.3">
      <c r="A47">
        <v>46</v>
      </c>
      <c r="B47" s="6">
        <v>45209</v>
      </c>
      <c r="C47" t="s">
        <v>35</v>
      </c>
      <c r="D47" t="s">
        <v>42</v>
      </c>
      <c r="E47" t="s">
        <v>41</v>
      </c>
      <c r="F47">
        <v>1</v>
      </c>
      <c r="G47">
        <v>143.34</v>
      </c>
      <c r="H47">
        <v>143.34</v>
      </c>
      <c r="I47" t="s">
        <v>520</v>
      </c>
      <c r="J47" t="str">
        <f t="shared" si="0"/>
        <v>Average😒</v>
      </c>
      <c r="K47" s="6" t="str">
        <f t="shared" si="1"/>
        <v>Restock</v>
      </c>
    </row>
    <row r="48" spans="1:11" x14ac:dyDescent="0.3">
      <c r="A48">
        <v>47</v>
      </c>
      <c r="B48" s="6">
        <v>45159</v>
      </c>
      <c r="C48" t="s">
        <v>35</v>
      </c>
      <c r="D48" t="s">
        <v>42</v>
      </c>
      <c r="E48" t="s">
        <v>41</v>
      </c>
      <c r="F48">
        <v>9</v>
      </c>
      <c r="G48">
        <v>410.83</v>
      </c>
      <c r="H48">
        <v>3697.47</v>
      </c>
      <c r="I48" t="s">
        <v>521</v>
      </c>
      <c r="J48" t="str">
        <f t="shared" si="0"/>
        <v>Excellent👍</v>
      </c>
      <c r="K48" s="6" t="str">
        <f t="shared" si="1"/>
        <v>Remain</v>
      </c>
    </row>
    <row r="49" spans="1:11" x14ac:dyDescent="0.3">
      <c r="A49">
        <v>48</v>
      </c>
      <c r="B49" s="6">
        <v>45063</v>
      </c>
      <c r="C49" t="s">
        <v>33</v>
      </c>
      <c r="D49" t="s">
        <v>56</v>
      </c>
      <c r="E49" t="s">
        <v>59</v>
      </c>
      <c r="F49">
        <v>3</v>
      </c>
      <c r="G49">
        <v>13.41</v>
      </c>
      <c r="H49">
        <v>40.229999999999997</v>
      </c>
      <c r="I49" t="s">
        <v>519</v>
      </c>
      <c r="J49" t="str">
        <f t="shared" si="0"/>
        <v>Average😒</v>
      </c>
      <c r="K49" s="6" t="str">
        <f t="shared" si="1"/>
        <v>Restock</v>
      </c>
    </row>
    <row r="50" spans="1:11" x14ac:dyDescent="0.3">
      <c r="A50">
        <v>49</v>
      </c>
      <c r="B50" s="6">
        <v>45160</v>
      </c>
      <c r="C50" t="s">
        <v>34</v>
      </c>
      <c r="D50" t="s">
        <v>56</v>
      </c>
      <c r="E50" t="s">
        <v>57</v>
      </c>
      <c r="F50">
        <v>5</v>
      </c>
      <c r="G50">
        <v>349.29</v>
      </c>
      <c r="H50">
        <v>1746.45</v>
      </c>
      <c r="I50" t="s">
        <v>525</v>
      </c>
      <c r="J50" t="str">
        <f t="shared" si="0"/>
        <v>Average😒</v>
      </c>
      <c r="K50" s="6" t="str">
        <f t="shared" si="1"/>
        <v>Remain</v>
      </c>
    </row>
    <row r="51" spans="1:11" x14ac:dyDescent="0.3">
      <c r="A51">
        <v>50</v>
      </c>
      <c r="B51" s="6">
        <v>45086</v>
      </c>
      <c r="C51" t="s">
        <v>35</v>
      </c>
      <c r="D51" t="s">
        <v>51</v>
      </c>
      <c r="E51" t="s">
        <v>65</v>
      </c>
      <c r="F51">
        <v>8</v>
      </c>
      <c r="G51">
        <v>472.03</v>
      </c>
      <c r="H51">
        <v>3776.24</v>
      </c>
      <c r="I51" t="s">
        <v>525</v>
      </c>
      <c r="J51" t="str">
        <f t="shared" si="0"/>
        <v>Excellent👍</v>
      </c>
      <c r="K51" s="6" t="str">
        <f t="shared" si="1"/>
        <v>Remain</v>
      </c>
    </row>
    <row r="52" spans="1:11" x14ac:dyDescent="0.3">
      <c r="A52">
        <v>51</v>
      </c>
      <c r="B52" s="6">
        <v>45039</v>
      </c>
      <c r="C52" t="s">
        <v>34</v>
      </c>
      <c r="D52" t="s">
        <v>53</v>
      </c>
      <c r="E52" t="s">
        <v>54</v>
      </c>
      <c r="F52">
        <v>8</v>
      </c>
      <c r="G52">
        <v>354.48</v>
      </c>
      <c r="H52">
        <v>2835.84</v>
      </c>
      <c r="I52" t="s">
        <v>523</v>
      </c>
      <c r="J52" t="str">
        <f t="shared" si="0"/>
        <v>Excellent👍</v>
      </c>
      <c r="K52" s="6" t="str">
        <f t="shared" si="1"/>
        <v>Remain</v>
      </c>
    </row>
    <row r="53" spans="1:11" x14ac:dyDescent="0.3">
      <c r="A53">
        <v>52</v>
      </c>
      <c r="B53" s="6">
        <v>45194</v>
      </c>
      <c r="C53" t="s">
        <v>36</v>
      </c>
      <c r="D53" t="s">
        <v>51</v>
      </c>
      <c r="E53" t="s">
        <v>63</v>
      </c>
      <c r="F53">
        <v>1</v>
      </c>
      <c r="G53">
        <v>134.41999999999999</v>
      </c>
      <c r="H53">
        <v>134.41999999999999</v>
      </c>
      <c r="I53" t="s">
        <v>525</v>
      </c>
      <c r="J53" t="str">
        <f t="shared" si="0"/>
        <v>Average😒</v>
      </c>
      <c r="K53" s="6" t="str">
        <f t="shared" si="1"/>
        <v>Restock</v>
      </c>
    </row>
    <row r="54" spans="1:11" x14ac:dyDescent="0.3">
      <c r="A54">
        <v>53</v>
      </c>
      <c r="B54" s="6">
        <v>45039</v>
      </c>
      <c r="C54" t="s">
        <v>35</v>
      </c>
      <c r="D54" t="s">
        <v>56</v>
      </c>
      <c r="E54" t="s">
        <v>59</v>
      </c>
      <c r="F54">
        <v>7</v>
      </c>
      <c r="G54">
        <v>253.65</v>
      </c>
      <c r="H54">
        <v>1775.55</v>
      </c>
      <c r="I54" t="s">
        <v>520</v>
      </c>
      <c r="J54" t="str">
        <f t="shared" si="0"/>
        <v>Average😒</v>
      </c>
      <c r="K54" s="6" t="str">
        <f t="shared" si="1"/>
        <v>Remain</v>
      </c>
    </row>
    <row r="55" spans="1:11" x14ac:dyDescent="0.3">
      <c r="A55">
        <v>54</v>
      </c>
      <c r="B55" s="6">
        <v>45007</v>
      </c>
      <c r="C55" t="s">
        <v>33</v>
      </c>
      <c r="D55" t="s">
        <v>53</v>
      </c>
      <c r="E55" t="s">
        <v>58</v>
      </c>
      <c r="F55">
        <v>5</v>
      </c>
      <c r="G55">
        <v>149.57</v>
      </c>
      <c r="H55">
        <v>747.84999999999991</v>
      </c>
      <c r="I55" t="s">
        <v>525</v>
      </c>
      <c r="J55" t="str">
        <f t="shared" si="0"/>
        <v>Average😒</v>
      </c>
      <c r="K55" s="6" t="str">
        <f t="shared" si="1"/>
        <v>Remain</v>
      </c>
    </row>
    <row r="56" spans="1:11" x14ac:dyDescent="0.3">
      <c r="A56">
        <v>55</v>
      </c>
      <c r="B56" s="6">
        <v>45146</v>
      </c>
      <c r="C56" t="s">
        <v>35</v>
      </c>
      <c r="D56" t="s">
        <v>56</v>
      </c>
      <c r="E56" t="s">
        <v>62</v>
      </c>
      <c r="F56">
        <v>1</v>
      </c>
      <c r="G56">
        <v>488.54</v>
      </c>
      <c r="H56">
        <v>488.54</v>
      </c>
      <c r="I56" t="s">
        <v>521</v>
      </c>
      <c r="J56" t="str">
        <f t="shared" si="0"/>
        <v>Average😒</v>
      </c>
      <c r="K56" s="6" t="str">
        <f t="shared" si="1"/>
        <v>Restock</v>
      </c>
    </row>
    <row r="57" spans="1:11" x14ac:dyDescent="0.3">
      <c r="A57">
        <v>56</v>
      </c>
      <c r="B57" s="6">
        <v>45150</v>
      </c>
      <c r="C57" t="s">
        <v>33</v>
      </c>
      <c r="D57" t="s">
        <v>53</v>
      </c>
      <c r="E57" t="s">
        <v>60</v>
      </c>
      <c r="F57">
        <v>6</v>
      </c>
      <c r="G57">
        <v>26.19</v>
      </c>
      <c r="H57">
        <v>157.13999999999999</v>
      </c>
      <c r="I57" t="s">
        <v>525</v>
      </c>
      <c r="J57" t="str">
        <f t="shared" si="0"/>
        <v>Average😒</v>
      </c>
      <c r="K57" s="6" t="str">
        <f t="shared" si="1"/>
        <v>Remain</v>
      </c>
    </row>
    <row r="58" spans="1:11" x14ac:dyDescent="0.3">
      <c r="A58">
        <v>57</v>
      </c>
      <c r="B58" s="6">
        <v>45052</v>
      </c>
      <c r="C58" t="s">
        <v>34</v>
      </c>
      <c r="D58" t="s">
        <v>51</v>
      </c>
      <c r="E58" t="s">
        <v>55</v>
      </c>
      <c r="F58">
        <v>1</v>
      </c>
      <c r="G58">
        <v>320.83</v>
      </c>
      <c r="H58">
        <v>320.83</v>
      </c>
      <c r="I58" t="s">
        <v>524</v>
      </c>
      <c r="J58" t="str">
        <f t="shared" si="0"/>
        <v>Average😒</v>
      </c>
      <c r="K58" s="6" t="str">
        <f t="shared" si="1"/>
        <v>Restock</v>
      </c>
    </row>
    <row r="59" spans="1:11" x14ac:dyDescent="0.3">
      <c r="A59">
        <v>58</v>
      </c>
      <c r="B59" s="6">
        <v>45144</v>
      </c>
      <c r="C59" t="s">
        <v>35</v>
      </c>
      <c r="D59" t="s">
        <v>56</v>
      </c>
      <c r="E59" t="s">
        <v>61</v>
      </c>
      <c r="F59">
        <v>2</v>
      </c>
      <c r="G59">
        <v>270.16000000000003</v>
      </c>
      <c r="H59">
        <v>540.32000000000005</v>
      </c>
      <c r="I59" t="s">
        <v>523</v>
      </c>
      <c r="J59" t="str">
        <f t="shared" si="0"/>
        <v>Average😒</v>
      </c>
      <c r="K59" s="6" t="str">
        <f t="shared" si="1"/>
        <v>Restock</v>
      </c>
    </row>
    <row r="60" spans="1:11" x14ac:dyDescent="0.3">
      <c r="A60">
        <v>59</v>
      </c>
      <c r="B60" s="6">
        <v>45250</v>
      </c>
      <c r="C60" t="s">
        <v>33</v>
      </c>
      <c r="D60" t="s">
        <v>42</v>
      </c>
      <c r="E60" t="s">
        <v>66</v>
      </c>
      <c r="F60">
        <v>6</v>
      </c>
      <c r="G60">
        <v>128.61000000000001</v>
      </c>
      <c r="H60">
        <v>771.66000000000008</v>
      </c>
      <c r="I60" t="s">
        <v>521</v>
      </c>
      <c r="J60" t="str">
        <f t="shared" si="0"/>
        <v>Average😒</v>
      </c>
      <c r="K60" s="6" t="str">
        <f t="shared" si="1"/>
        <v>Remain</v>
      </c>
    </row>
    <row r="61" spans="1:11" x14ac:dyDescent="0.3">
      <c r="A61">
        <v>60</v>
      </c>
      <c r="B61" s="6">
        <v>45049</v>
      </c>
      <c r="C61" t="s">
        <v>35</v>
      </c>
      <c r="D61" t="s">
        <v>53</v>
      </c>
      <c r="E61" t="s">
        <v>64</v>
      </c>
      <c r="F61">
        <v>7</v>
      </c>
      <c r="G61">
        <v>383.19</v>
      </c>
      <c r="H61">
        <v>2682.33</v>
      </c>
      <c r="I61" t="s">
        <v>524</v>
      </c>
      <c r="J61" t="str">
        <f t="shared" si="0"/>
        <v>Excellent👍</v>
      </c>
      <c r="K61" s="6" t="str">
        <f t="shared" si="1"/>
        <v>Remain</v>
      </c>
    </row>
    <row r="62" spans="1:11" x14ac:dyDescent="0.3">
      <c r="A62">
        <v>61</v>
      </c>
      <c r="B62" s="6">
        <v>45206</v>
      </c>
      <c r="C62" t="s">
        <v>34</v>
      </c>
      <c r="D62" t="s">
        <v>42</v>
      </c>
      <c r="E62" t="s">
        <v>41</v>
      </c>
      <c r="F62">
        <v>1</v>
      </c>
      <c r="G62">
        <v>366.83</v>
      </c>
      <c r="H62">
        <v>366.83</v>
      </c>
      <c r="I62" t="s">
        <v>523</v>
      </c>
      <c r="J62" t="str">
        <f t="shared" si="0"/>
        <v>Average😒</v>
      </c>
      <c r="K62" s="6" t="str">
        <f t="shared" si="1"/>
        <v>Restock</v>
      </c>
    </row>
    <row r="63" spans="1:11" x14ac:dyDescent="0.3">
      <c r="A63">
        <v>62</v>
      </c>
      <c r="B63" s="6">
        <v>45124</v>
      </c>
      <c r="C63" t="s">
        <v>33</v>
      </c>
      <c r="D63" t="s">
        <v>53</v>
      </c>
      <c r="E63" t="s">
        <v>60</v>
      </c>
      <c r="F63">
        <v>5</v>
      </c>
      <c r="G63">
        <v>319.83</v>
      </c>
      <c r="H63">
        <v>1599.15</v>
      </c>
      <c r="I63" t="s">
        <v>522</v>
      </c>
      <c r="J63" t="str">
        <f t="shared" si="0"/>
        <v>Average😒</v>
      </c>
      <c r="K63" s="6" t="str">
        <f t="shared" si="1"/>
        <v>Remain</v>
      </c>
    </row>
    <row r="64" spans="1:11" x14ac:dyDescent="0.3">
      <c r="A64">
        <v>63</v>
      </c>
      <c r="B64" s="6">
        <v>45166</v>
      </c>
      <c r="C64" t="s">
        <v>36</v>
      </c>
      <c r="D64" t="s">
        <v>42</v>
      </c>
      <c r="E64" t="s">
        <v>43</v>
      </c>
      <c r="F64">
        <v>6</v>
      </c>
      <c r="G64">
        <v>272.52999999999997</v>
      </c>
      <c r="H64">
        <v>1635.18</v>
      </c>
      <c r="I64" t="s">
        <v>520</v>
      </c>
      <c r="J64" t="str">
        <f t="shared" si="0"/>
        <v>Average😒</v>
      </c>
      <c r="K64" s="6" t="str">
        <f t="shared" si="1"/>
        <v>Remain</v>
      </c>
    </row>
    <row r="65" spans="1:11" x14ac:dyDescent="0.3">
      <c r="A65">
        <v>64</v>
      </c>
      <c r="B65" s="6">
        <v>45113</v>
      </c>
      <c r="C65" t="s">
        <v>36</v>
      </c>
      <c r="D65" t="s">
        <v>56</v>
      </c>
      <c r="E65" t="s">
        <v>57</v>
      </c>
      <c r="F65">
        <v>1</v>
      </c>
      <c r="G65">
        <v>83.85</v>
      </c>
      <c r="H65">
        <v>83.85</v>
      </c>
      <c r="I65" t="s">
        <v>522</v>
      </c>
      <c r="J65" t="str">
        <f t="shared" si="0"/>
        <v>Average😒</v>
      </c>
      <c r="K65" s="6" t="str">
        <f t="shared" si="1"/>
        <v>Restock</v>
      </c>
    </row>
    <row r="66" spans="1:11" x14ac:dyDescent="0.3">
      <c r="A66">
        <v>65</v>
      </c>
      <c r="B66" s="6">
        <v>45185</v>
      </c>
      <c r="C66" t="s">
        <v>36</v>
      </c>
      <c r="D66" t="s">
        <v>56</v>
      </c>
      <c r="E66" t="s">
        <v>59</v>
      </c>
      <c r="F66">
        <v>6</v>
      </c>
      <c r="G66">
        <v>350.95</v>
      </c>
      <c r="H66">
        <v>2105.6999999999998</v>
      </c>
      <c r="I66" t="s">
        <v>525</v>
      </c>
      <c r="J66" t="str">
        <f t="shared" si="0"/>
        <v>Excellent👍</v>
      </c>
      <c r="K66" s="6" t="str">
        <f t="shared" si="1"/>
        <v>Remain</v>
      </c>
    </row>
    <row r="67" spans="1:11" x14ac:dyDescent="0.3">
      <c r="A67">
        <v>66</v>
      </c>
      <c r="B67" s="6">
        <v>45272</v>
      </c>
      <c r="C67" t="s">
        <v>36</v>
      </c>
      <c r="D67" t="s">
        <v>56</v>
      </c>
      <c r="E67" t="s">
        <v>61</v>
      </c>
      <c r="F67">
        <v>4</v>
      </c>
      <c r="G67">
        <v>169.72</v>
      </c>
      <c r="H67">
        <v>678.88</v>
      </c>
      <c r="I67" t="s">
        <v>520</v>
      </c>
      <c r="J67" t="str">
        <f t="shared" ref="J67:J130" si="2">IF(H67&gt;=2000,"Excellent👍","Average😒")</f>
        <v>Average😒</v>
      </c>
      <c r="K67" s="6" t="str">
        <f t="shared" ref="K67:K130" si="3">IF(F67&lt;5,"Restock","Remain")</f>
        <v>Restock</v>
      </c>
    </row>
    <row r="68" spans="1:11" x14ac:dyDescent="0.3">
      <c r="A68">
        <v>67</v>
      </c>
      <c r="B68" s="6">
        <v>45074</v>
      </c>
      <c r="C68" t="s">
        <v>34</v>
      </c>
      <c r="D68" t="s">
        <v>56</v>
      </c>
      <c r="E68" t="s">
        <v>57</v>
      </c>
      <c r="F68">
        <v>3</v>
      </c>
      <c r="G68">
        <v>406.66</v>
      </c>
      <c r="H68">
        <v>1219.98</v>
      </c>
      <c r="I68" t="s">
        <v>521</v>
      </c>
      <c r="J68" t="str">
        <f t="shared" si="2"/>
        <v>Average😒</v>
      </c>
      <c r="K68" s="6" t="str">
        <f t="shared" si="3"/>
        <v>Restock</v>
      </c>
    </row>
    <row r="69" spans="1:11" x14ac:dyDescent="0.3">
      <c r="A69">
        <v>68</v>
      </c>
      <c r="B69" s="6">
        <v>45054</v>
      </c>
      <c r="C69" t="s">
        <v>34</v>
      </c>
      <c r="D69" t="s">
        <v>53</v>
      </c>
      <c r="E69" t="s">
        <v>60</v>
      </c>
      <c r="F69">
        <v>7</v>
      </c>
      <c r="G69">
        <v>95.44</v>
      </c>
      <c r="H69">
        <v>668.07999999999993</v>
      </c>
      <c r="I69" t="s">
        <v>519</v>
      </c>
      <c r="J69" t="str">
        <f t="shared" si="2"/>
        <v>Average😒</v>
      </c>
      <c r="K69" s="6" t="str">
        <f t="shared" si="3"/>
        <v>Remain</v>
      </c>
    </row>
    <row r="70" spans="1:11" x14ac:dyDescent="0.3">
      <c r="A70">
        <v>69</v>
      </c>
      <c r="B70" s="6">
        <v>45055</v>
      </c>
      <c r="C70" t="s">
        <v>33</v>
      </c>
      <c r="D70" t="s">
        <v>56</v>
      </c>
      <c r="E70" t="s">
        <v>61</v>
      </c>
      <c r="F70">
        <v>7</v>
      </c>
      <c r="G70">
        <v>469</v>
      </c>
      <c r="H70">
        <v>3283</v>
      </c>
      <c r="I70" t="s">
        <v>524</v>
      </c>
      <c r="J70" t="str">
        <f t="shared" si="2"/>
        <v>Excellent👍</v>
      </c>
      <c r="K70" s="6" t="str">
        <f t="shared" si="3"/>
        <v>Remain</v>
      </c>
    </row>
    <row r="71" spans="1:11" x14ac:dyDescent="0.3">
      <c r="A71">
        <v>70</v>
      </c>
      <c r="B71" s="6">
        <v>45077</v>
      </c>
      <c r="C71" t="s">
        <v>35</v>
      </c>
      <c r="D71" t="s">
        <v>51</v>
      </c>
      <c r="E71" t="s">
        <v>65</v>
      </c>
      <c r="F71">
        <v>9</v>
      </c>
      <c r="G71">
        <v>65.599999999999994</v>
      </c>
      <c r="H71">
        <v>590.4</v>
      </c>
      <c r="I71" t="s">
        <v>523</v>
      </c>
      <c r="J71" t="str">
        <f t="shared" si="2"/>
        <v>Average😒</v>
      </c>
      <c r="K71" s="6" t="str">
        <f t="shared" si="3"/>
        <v>Remain</v>
      </c>
    </row>
    <row r="72" spans="1:11" x14ac:dyDescent="0.3">
      <c r="A72">
        <v>71</v>
      </c>
      <c r="B72" s="6">
        <v>45070</v>
      </c>
      <c r="C72" t="s">
        <v>36</v>
      </c>
      <c r="D72" t="s">
        <v>56</v>
      </c>
      <c r="E72" t="s">
        <v>57</v>
      </c>
      <c r="F72">
        <v>3</v>
      </c>
      <c r="G72">
        <v>121.99</v>
      </c>
      <c r="H72">
        <v>365.97</v>
      </c>
      <c r="I72" t="s">
        <v>521</v>
      </c>
      <c r="J72" t="str">
        <f t="shared" si="2"/>
        <v>Average😒</v>
      </c>
      <c r="K72" s="6" t="str">
        <f t="shared" si="3"/>
        <v>Restock</v>
      </c>
    </row>
    <row r="73" spans="1:11" x14ac:dyDescent="0.3">
      <c r="A73">
        <v>72</v>
      </c>
      <c r="B73" s="6">
        <v>44928</v>
      </c>
      <c r="C73" t="s">
        <v>36</v>
      </c>
      <c r="D73" t="s">
        <v>51</v>
      </c>
      <c r="E73" t="s">
        <v>65</v>
      </c>
      <c r="F73">
        <v>9</v>
      </c>
      <c r="G73">
        <v>263.14999999999998</v>
      </c>
      <c r="H73">
        <v>2368.35</v>
      </c>
      <c r="I73" t="s">
        <v>522</v>
      </c>
      <c r="J73" t="str">
        <f t="shared" si="2"/>
        <v>Excellent👍</v>
      </c>
      <c r="K73" s="6" t="str">
        <f t="shared" si="3"/>
        <v>Remain</v>
      </c>
    </row>
    <row r="74" spans="1:11" x14ac:dyDescent="0.3">
      <c r="A74">
        <v>73</v>
      </c>
      <c r="B74" s="6">
        <v>45066</v>
      </c>
      <c r="C74" t="s">
        <v>34</v>
      </c>
      <c r="D74" t="s">
        <v>42</v>
      </c>
      <c r="E74" t="s">
        <v>43</v>
      </c>
      <c r="F74">
        <v>1</v>
      </c>
      <c r="G74">
        <v>55.62</v>
      </c>
      <c r="H74">
        <v>55.62</v>
      </c>
      <c r="I74" t="s">
        <v>522</v>
      </c>
      <c r="J74" t="str">
        <f t="shared" si="2"/>
        <v>Average😒</v>
      </c>
      <c r="K74" s="6" t="str">
        <f t="shared" si="3"/>
        <v>Restock</v>
      </c>
    </row>
    <row r="75" spans="1:11" x14ac:dyDescent="0.3">
      <c r="A75">
        <v>74</v>
      </c>
      <c r="B75" s="6">
        <v>44935</v>
      </c>
      <c r="C75" t="s">
        <v>34</v>
      </c>
      <c r="D75" t="s">
        <v>51</v>
      </c>
      <c r="E75" t="s">
        <v>52</v>
      </c>
      <c r="F75">
        <v>5</v>
      </c>
      <c r="G75">
        <v>451.2</v>
      </c>
      <c r="H75">
        <v>2256</v>
      </c>
      <c r="I75" t="s">
        <v>519</v>
      </c>
      <c r="J75" t="str">
        <f t="shared" si="2"/>
        <v>Excellent👍</v>
      </c>
      <c r="K75" s="6" t="str">
        <f t="shared" si="3"/>
        <v>Remain</v>
      </c>
    </row>
    <row r="76" spans="1:11" x14ac:dyDescent="0.3">
      <c r="A76">
        <v>75</v>
      </c>
      <c r="B76" s="6">
        <v>45230</v>
      </c>
      <c r="C76" t="s">
        <v>35</v>
      </c>
      <c r="D76" t="s">
        <v>56</v>
      </c>
      <c r="E76" t="s">
        <v>59</v>
      </c>
      <c r="F76">
        <v>9</v>
      </c>
      <c r="G76">
        <v>181.11</v>
      </c>
      <c r="H76">
        <v>1629.99</v>
      </c>
      <c r="I76" t="s">
        <v>520</v>
      </c>
      <c r="J76" t="str">
        <f t="shared" si="2"/>
        <v>Average😒</v>
      </c>
      <c r="K76" s="6" t="str">
        <f t="shared" si="3"/>
        <v>Remain</v>
      </c>
    </row>
    <row r="77" spans="1:11" x14ac:dyDescent="0.3">
      <c r="A77">
        <v>76</v>
      </c>
      <c r="B77" s="6">
        <v>44980</v>
      </c>
      <c r="C77" t="s">
        <v>33</v>
      </c>
      <c r="D77" t="s">
        <v>42</v>
      </c>
      <c r="E77" t="s">
        <v>66</v>
      </c>
      <c r="F77">
        <v>3</v>
      </c>
      <c r="G77">
        <v>429.6</v>
      </c>
      <c r="H77">
        <v>1288.8</v>
      </c>
      <c r="I77" t="s">
        <v>524</v>
      </c>
      <c r="J77" t="str">
        <f t="shared" si="2"/>
        <v>Average😒</v>
      </c>
      <c r="K77" s="6" t="str">
        <f t="shared" si="3"/>
        <v>Restock</v>
      </c>
    </row>
    <row r="78" spans="1:11" x14ac:dyDescent="0.3">
      <c r="A78">
        <v>77</v>
      </c>
      <c r="B78" s="6">
        <v>45042</v>
      </c>
      <c r="C78" t="s">
        <v>33</v>
      </c>
      <c r="D78" t="s">
        <v>56</v>
      </c>
      <c r="E78" t="s">
        <v>62</v>
      </c>
      <c r="F78">
        <v>8</v>
      </c>
      <c r="G78">
        <v>445.01</v>
      </c>
      <c r="H78">
        <v>3560.08</v>
      </c>
      <c r="I78" t="s">
        <v>520</v>
      </c>
      <c r="J78" t="str">
        <f t="shared" si="2"/>
        <v>Excellent👍</v>
      </c>
      <c r="K78" s="6" t="str">
        <f t="shared" si="3"/>
        <v>Remain</v>
      </c>
    </row>
    <row r="79" spans="1:11" x14ac:dyDescent="0.3">
      <c r="A79">
        <v>78</v>
      </c>
      <c r="B79" s="6">
        <v>45030</v>
      </c>
      <c r="C79" t="s">
        <v>35</v>
      </c>
      <c r="D79" t="s">
        <v>53</v>
      </c>
      <c r="E79" t="s">
        <v>64</v>
      </c>
      <c r="F79">
        <v>1</v>
      </c>
      <c r="G79">
        <v>89.2</v>
      </c>
      <c r="H79">
        <v>89.2</v>
      </c>
      <c r="I79" t="s">
        <v>524</v>
      </c>
      <c r="J79" t="str">
        <f t="shared" si="2"/>
        <v>Average😒</v>
      </c>
      <c r="K79" s="6" t="str">
        <f t="shared" si="3"/>
        <v>Restock</v>
      </c>
    </row>
    <row r="80" spans="1:11" x14ac:dyDescent="0.3">
      <c r="A80">
        <v>79</v>
      </c>
      <c r="B80" s="6">
        <v>45038</v>
      </c>
      <c r="C80" t="s">
        <v>35</v>
      </c>
      <c r="D80" t="s">
        <v>51</v>
      </c>
      <c r="E80" t="s">
        <v>52</v>
      </c>
      <c r="F80">
        <v>4</v>
      </c>
      <c r="G80">
        <v>294.54000000000002</v>
      </c>
      <c r="H80">
        <v>1178.1600000000001</v>
      </c>
      <c r="I80" t="s">
        <v>522</v>
      </c>
      <c r="J80" t="str">
        <f t="shared" si="2"/>
        <v>Average😒</v>
      </c>
      <c r="K80" s="6" t="str">
        <f t="shared" si="3"/>
        <v>Restock</v>
      </c>
    </row>
    <row r="81" spans="1:11" x14ac:dyDescent="0.3">
      <c r="A81">
        <v>80</v>
      </c>
      <c r="B81" s="6">
        <v>45275</v>
      </c>
      <c r="C81" t="s">
        <v>33</v>
      </c>
      <c r="D81" t="s">
        <v>56</v>
      </c>
      <c r="E81" t="s">
        <v>59</v>
      </c>
      <c r="F81">
        <v>9</v>
      </c>
      <c r="G81">
        <v>335.12</v>
      </c>
      <c r="H81">
        <v>3016.08</v>
      </c>
      <c r="I81" t="s">
        <v>519</v>
      </c>
      <c r="J81" t="str">
        <f t="shared" si="2"/>
        <v>Excellent👍</v>
      </c>
      <c r="K81" s="6" t="str">
        <f t="shared" si="3"/>
        <v>Remain</v>
      </c>
    </row>
    <row r="82" spans="1:11" x14ac:dyDescent="0.3">
      <c r="A82">
        <v>81</v>
      </c>
      <c r="B82" s="6">
        <v>45264</v>
      </c>
      <c r="C82" t="s">
        <v>35</v>
      </c>
      <c r="D82" t="s">
        <v>56</v>
      </c>
      <c r="E82" t="s">
        <v>59</v>
      </c>
      <c r="F82">
        <v>2</v>
      </c>
      <c r="G82">
        <v>88.8</v>
      </c>
      <c r="H82">
        <v>177.6</v>
      </c>
      <c r="I82" t="s">
        <v>520</v>
      </c>
      <c r="J82" t="str">
        <f t="shared" si="2"/>
        <v>Average😒</v>
      </c>
      <c r="K82" s="6" t="str">
        <f t="shared" si="3"/>
        <v>Restock</v>
      </c>
    </row>
    <row r="83" spans="1:11" x14ac:dyDescent="0.3">
      <c r="A83">
        <v>82</v>
      </c>
      <c r="B83" s="6">
        <v>45134</v>
      </c>
      <c r="C83" t="s">
        <v>35</v>
      </c>
      <c r="D83" t="s">
        <v>42</v>
      </c>
      <c r="E83" t="s">
        <v>50</v>
      </c>
      <c r="F83">
        <v>2</v>
      </c>
      <c r="G83">
        <v>349.03</v>
      </c>
      <c r="H83">
        <v>698.06</v>
      </c>
      <c r="I83" t="s">
        <v>525</v>
      </c>
      <c r="J83" t="str">
        <f t="shared" si="2"/>
        <v>Average😒</v>
      </c>
      <c r="K83" s="6" t="str">
        <f t="shared" si="3"/>
        <v>Restock</v>
      </c>
    </row>
    <row r="84" spans="1:11" x14ac:dyDescent="0.3">
      <c r="A84">
        <v>83</v>
      </c>
      <c r="B84" s="6">
        <v>44994</v>
      </c>
      <c r="C84" t="s">
        <v>34</v>
      </c>
      <c r="D84" t="s">
        <v>53</v>
      </c>
      <c r="E84" t="s">
        <v>60</v>
      </c>
      <c r="F84">
        <v>9</v>
      </c>
      <c r="G84">
        <v>96.2</v>
      </c>
      <c r="H84">
        <v>865.80000000000007</v>
      </c>
      <c r="I84" t="s">
        <v>525</v>
      </c>
      <c r="J84" t="str">
        <f t="shared" si="2"/>
        <v>Average😒</v>
      </c>
      <c r="K84" s="6" t="str">
        <f t="shared" si="3"/>
        <v>Remain</v>
      </c>
    </row>
    <row r="85" spans="1:11" x14ac:dyDescent="0.3">
      <c r="A85">
        <v>84</v>
      </c>
      <c r="B85" s="6">
        <v>45230</v>
      </c>
      <c r="C85" t="s">
        <v>35</v>
      </c>
      <c r="D85" t="s">
        <v>51</v>
      </c>
      <c r="E85" t="s">
        <v>65</v>
      </c>
      <c r="F85">
        <v>1</v>
      </c>
      <c r="G85">
        <v>252.01</v>
      </c>
      <c r="H85">
        <v>252.01</v>
      </c>
      <c r="I85" t="s">
        <v>521</v>
      </c>
      <c r="J85" t="str">
        <f t="shared" si="2"/>
        <v>Average😒</v>
      </c>
      <c r="K85" s="6" t="str">
        <f t="shared" si="3"/>
        <v>Restock</v>
      </c>
    </row>
    <row r="86" spans="1:11" x14ac:dyDescent="0.3">
      <c r="A86">
        <v>85</v>
      </c>
      <c r="B86" s="6">
        <v>45061</v>
      </c>
      <c r="C86" t="s">
        <v>34</v>
      </c>
      <c r="D86" t="s">
        <v>42</v>
      </c>
      <c r="E86" t="s">
        <v>41</v>
      </c>
      <c r="F86">
        <v>4</v>
      </c>
      <c r="G86">
        <v>189.57</v>
      </c>
      <c r="H86">
        <v>758.28</v>
      </c>
      <c r="I86" t="s">
        <v>522</v>
      </c>
      <c r="J86" t="str">
        <f t="shared" si="2"/>
        <v>Average😒</v>
      </c>
      <c r="K86" s="6" t="str">
        <f t="shared" si="3"/>
        <v>Restock</v>
      </c>
    </row>
    <row r="87" spans="1:11" x14ac:dyDescent="0.3">
      <c r="A87">
        <v>86</v>
      </c>
      <c r="B87" s="6">
        <v>44959</v>
      </c>
      <c r="C87" t="s">
        <v>35</v>
      </c>
      <c r="D87" t="s">
        <v>56</v>
      </c>
      <c r="E87" t="s">
        <v>57</v>
      </c>
      <c r="F87">
        <v>3</v>
      </c>
      <c r="G87">
        <v>332.23</v>
      </c>
      <c r="H87">
        <v>996.69</v>
      </c>
      <c r="I87" t="s">
        <v>524</v>
      </c>
      <c r="J87" t="str">
        <f t="shared" si="2"/>
        <v>Average😒</v>
      </c>
      <c r="K87" s="6" t="str">
        <f t="shared" si="3"/>
        <v>Restock</v>
      </c>
    </row>
    <row r="88" spans="1:11" x14ac:dyDescent="0.3">
      <c r="A88">
        <v>87</v>
      </c>
      <c r="B88" s="6">
        <v>44948</v>
      </c>
      <c r="C88" t="s">
        <v>33</v>
      </c>
      <c r="D88" t="s">
        <v>56</v>
      </c>
      <c r="E88" t="s">
        <v>59</v>
      </c>
      <c r="F88">
        <v>3</v>
      </c>
      <c r="G88">
        <v>321.8</v>
      </c>
      <c r="H88">
        <v>965.40000000000009</v>
      </c>
      <c r="I88" t="s">
        <v>520</v>
      </c>
      <c r="J88" t="str">
        <f t="shared" si="2"/>
        <v>Average😒</v>
      </c>
      <c r="K88" s="6" t="str">
        <f t="shared" si="3"/>
        <v>Restock</v>
      </c>
    </row>
    <row r="89" spans="1:11" x14ac:dyDescent="0.3">
      <c r="A89">
        <v>88</v>
      </c>
      <c r="B89" s="6">
        <v>44977</v>
      </c>
      <c r="C89" t="s">
        <v>33</v>
      </c>
      <c r="D89" t="s">
        <v>53</v>
      </c>
      <c r="E89" t="s">
        <v>64</v>
      </c>
      <c r="F89">
        <v>6</v>
      </c>
      <c r="G89">
        <v>489.66</v>
      </c>
      <c r="H89">
        <v>2937.96</v>
      </c>
      <c r="I89" t="s">
        <v>524</v>
      </c>
      <c r="J89" t="str">
        <f t="shared" si="2"/>
        <v>Excellent👍</v>
      </c>
      <c r="K89" s="6" t="str">
        <f t="shared" si="3"/>
        <v>Remain</v>
      </c>
    </row>
    <row r="90" spans="1:11" x14ac:dyDescent="0.3">
      <c r="A90">
        <v>89</v>
      </c>
      <c r="B90" s="6">
        <v>44953</v>
      </c>
      <c r="C90" t="s">
        <v>33</v>
      </c>
      <c r="D90" t="s">
        <v>56</v>
      </c>
      <c r="E90" t="s">
        <v>62</v>
      </c>
      <c r="F90">
        <v>6</v>
      </c>
      <c r="G90">
        <v>453.99</v>
      </c>
      <c r="H90">
        <v>2723.94</v>
      </c>
      <c r="I90" t="s">
        <v>525</v>
      </c>
      <c r="J90" t="str">
        <f t="shared" si="2"/>
        <v>Excellent👍</v>
      </c>
      <c r="K90" s="6" t="str">
        <f t="shared" si="3"/>
        <v>Remain</v>
      </c>
    </row>
    <row r="91" spans="1:11" x14ac:dyDescent="0.3">
      <c r="A91">
        <v>90</v>
      </c>
      <c r="B91" s="6">
        <v>45023</v>
      </c>
      <c r="C91" t="s">
        <v>33</v>
      </c>
      <c r="D91" t="s">
        <v>53</v>
      </c>
      <c r="E91" t="s">
        <v>60</v>
      </c>
      <c r="F91">
        <v>2</v>
      </c>
      <c r="G91">
        <v>181.54</v>
      </c>
      <c r="H91">
        <v>363.08</v>
      </c>
      <c r="I91" t="s">
        <v>525</v>
      </c>
      <c r="J91" t="str">
        <f t="shared" si="2"/>
        <v>Average😒</v>
      </c>
      <c r="K91" s="6" t="str">
        <f t="shared" si="3"/>
        <v>Restock</v>
      </c>
    </row>
    <row r="92" spans="1:11" x14ac:dyDescent="0.3">
      <c r="A92">
        <v>91</v>
      </c>
      <c r="B92" s="6">
        <v>45243</v>
      </c>
      <c r="C92" t="s">
        <v>36</v>
      </c>
      <c r="D92" t="s">
        <v>53</v>
      </c>
      <c r="E92" t="s">
        <v>64</v>
      </c>
      <c r="F92">
        <v>1</v>
      </c>
      <c r="G92">
        <v>105.67</v>
      </c>
      <c r="H92">
        <v>105.67</v>
      </c>
      <c r="I92" t="s">
        <v>525</v>
      </c>
      <c r="J92" t="str">
        <f t="shared" si="2"/>
        <v>Average😒</v>
      </c>
      <c r="K92" s="6" t="str">
        <f t="shared" si="3"/>
        <v>Restock</v>
      </c>
    </row>
    <row r="93" spans="1:11" x14ac:dyDescent="0.3">
      <c r="A93">
        <v>92</v>
      </c>
      <c r="B93" s="6">
        <v>45118</v>
      </c>
      <c r="C93" t="s">
        <v>36</v>
      </c>
      <c r="D93" t="s">
        <v>56</v>
      </c>
      <c r="E93" t="s">
        <v>59</v>
      </c>
      <c r="F93">
        <v>3</v>
      </c>
      <c r="G93">
        <v>290.27999999999997</v>
      </c>
      <c r="H93">
        <v>870.83999999999992</v>
      </c>
      <c r="I93" t="s">
        <v>522</v>
      </c>
      <c r="J93" t="str">
        <f t="shared" si="2"/>
        <v>Average😒</v>
      </c>
      <c r="K93" s="6" t="str">
        <f t="shared" si="3"/>
        <v>Restock</v>
      </c>
    </row>
    <row r="94" spans="1:11" x14ac:dyDescent="0.3">
      <c r="A94">
        <v>93</v>
      </c>
      <c r="B94" s="6">
        <v>45098</v>
      </c>
      <c r="C94" t="s">
        <v>35</v>
      </c>
      <c r="D94" t="s">
        <v>51</v>
      </c>
      <c r="E94" t="s">
        <v>65</v>
      </c>
      <c r="F94">
        <v>1</v>
      </c>
      <c r="G94">
        <v>31.37</v>
      </c>
      <c r="H94">
        <v>31.37</v>
      </c>
      <c r="I94" t="s">
        <v>521</v>
      </c>
      <c r="J94" t="str">
        <f t="shared" si="2"/>
        <v>Average😒</v>
      </c>
      <c r="K94" s="6" t="str">
        <f t="shared" si="3"/>
        <v>Restock</v>
      </c>
    </row>
    <row r="95" spans="1:11" x14ac:dyDescent="0.3">
      <c r="A95">
        <v>94</v>
      </c>
      <c r="B95" s="6">
        <v>45159</v>
      </c>
      <c r="C95" t="s">
        <v>36</v>
      </c>
      <c r="D95" t="s">
        <v>42</v>
      </c>
      <c r="E95" t="s">
        <v>50</v>
      </c>
      <c r="F95">
        <v>5</v>
      </c>
      <c r="G95">
        <v>442.91</v>
      </c>
      <c r="H95">
        <v>2214.5500000000002</v>
      </c>
      <c r="I95" t="s">
        <v>523</v>
      </c>
      <c r="J95" t="str">
        <f t="shared" si="2"/>
        <v>Excellent👍</v>
      </c>
      <c r="K95" s="6" t="str">
        <f t="shared" si="3"/>
        <v>Remain</v>
      </c>
    </row>
    <row r="96" spans="1:11" x14ac:dyDescent="0.3">
      <c r="A96">
        <v>95</v>
      </c>
      <c r="B96" s="6">
        <v>45228</v>
      </c>
      <c r="C96" t="s">
        <v>34</v>
      </c>
      <c r="D96" t="s">
        <v>53</v>
      </c>
      <c r="E96" t="s">
        <v>58</v>
      </c>
      <c r="F96">
        <v>5</v>
      </c>
      <c r="G96">
        <v>464.88</v>
      </c>
      <c r="H96">
        <v>2324.4</v>
      </c>
      <c r="I96" t="s">
        <v>522</v>
      </c>
      <c r="J96" t="str">
        <f t="shared" si="2"/>
        <v>Excellent👍</v>
      </c>
      <c r="K96" s="6" t="str">
        <f t="shared" si="3"/>
        <v>Remain</v>
      </c>
    </row>
    <row r="97" spans="1:11" x14ac:dyDescent="0.3">
      <c r="A97">
        <v>96</v>
      </c>
      <c r="B97" s="6">
        <v>45114</v>
      </c>
      <c r="C97" t="s">
        <v>33</v>
      </c>
      <c r="D97" t="s">
        <v>56</v>
      </c>
      <c r="E97" t="s">
        <v>61</v>
      </c>
      <c r="F97">
        <v>5</v>
      </c>
      <c r="G97">
        <v>290.42</v>
      </c>
      <c r="H97">
        <v>1452.1</v>
      </c>
      <c r="I97" t="s">
        <v>521</v>
      </c>
      <c r="J97" t="str">
        <f t="shared" si="2"/>
        <v>Average😒</v>
      </c>
      <c r="K97" s="6" t="str">
        <f t="shared" si="3"/>
        <v>Remain</v>
      </c>
    </row>
    <row r="98" spans="1:11" x14ac:dyDescent="0.3">
      <c r="A98">
        <v>97</v>
      </c>
      <c r="B98" s="6">
        <v>45179</v>
      </c>
      <c r="C98" t="s">
        <v>35</v>
      </c>
      <c r="D98" t="s">
        <v>56</v>
      </c>
      <c r="E98" t="s">
        <v>61</v>
      </c>
      <c r="F98">
        <v>1</v>
      </c>
      <c r="G98">
        <v>46.92</v>
      </c>
      <c r="H98">
        <v>46.92</v>
      </c>
      <c r="I98" t="s">
        <v>525</v>
      </c>
      <c r="J98" t="str">
        <f t="shared" si="2"/>
        <v>Average😒</v>
      </c>
      <c r="K98" s="6" t="str">
        <f t="shared" si="3"/>
        <v>Restock</v>
      </c>
    </row>
    <row r="99" spans="1:11" x14ac:dyDescent="0.3">
      <c r="A99">
        <v>98</v>
      </c>
      <c r="B99" s="6">
        <v>45087</v>
      </c>
      <c r="C99" t="s">
        <v>36</v>
      </c>
      <c r="D99" t="s">
        <v>42</v>
      </c>
      <c r="E99" t="s">
        <v>66</v>
      </c>
      <c r="F99">
        <v>5</v>
      </c>
      <c r="G99">
        <v>103.55</v>
      </c>
      <c r="H99">
        <v>517.75</v>
      </c>
      <c r="I99" t="s">
        <v>521</v>
      </c>
      <c r="J99" t="str">
        <f t="shared" si="2"/>
        <v>Average😒</v>
      </c>
      <c r="K99" s="6" t="str">
        <f t="shared" si="3"/>
        <v>Remain</v>
      </c>
    </row>
    <row r="100" spans="1:11" x14ac:dyDescent="0.3">
      <c r="A100">
        <v>99</v>
      </c>
      <c r="B100" s="6">
        <v>45207</v>
      </c>
      <c r="C100" t="s">
        <v>36</v>
      </c>
      <c r="D100" t="s">
        <v>42</v>
      </c>
      <c r="E100" t="s">
        <v>41</v>
      </c>
      <c r="F100">
        <v>3</v>
      </c>
      <c r="G100">
        <v>93.05</v>
      </c>
      <c r="H100">
        <v>279.14999999999998</v>
      </c>
      <c r="I100" t="s">
        <v>525</v>
      </c>
      <c r="J100" t="str">
        <f t="shared" si="2"/>
        <v>Average😒</v>
      </c>
      <c r="K100" s="6" t="str">
        <f t="shared" si="3"/>
        <v>Restock</v>
      </c>
    </row>
    <row r="101" spans="1:11" x14ac:dyDescent="0.3">
      <c r="A101">
        <v>100</v>
      </c>
      <c r="B101" s="6">
        <v>45286</v>
      </c>
      <c r="C101" t="s">
        <v>36</v>
      </c>
      <c r="D101" t="s">
        <v>42</v>
      </c>
      <c r="E101" t="s">
        <v>50</v>
      </c>
      <c r="F101">
        <v>6</v>
      </c>
      <c r="G101">
        <v>351.05</v>
      </c>
      <c r="H101">
        <v>2106.3000000000002</v>
      </c>
      <c r="I101" t="s">
        <v>521</v>
      </c>
      <c r="J101" t="str">
        <f t="shared" si="2"/>
        <v>Excellent👍</v>
      </c>
      <c r="K101" s="6" t="str">
        <f t="shared" si="3"/>
        <v>Remain</v>
      </c>
    </row>
    <row r="102" spans="1:11" x14ac:dyDescent="0.3">
      <c r="A102">
        <v>101</v>
      </c>
      <c r="B102" s="6">
        <v>45268</v>
      </c>
      <c r="C102" t="s">
        <v>36</v>
      </c>
      <c r="D102" t="s">
        <v>51</v>
      </c>
      <c r="E102" t="s">
        <v>52</v>
      </c>
      <c r="F102">
        <v>8</v>
      </c>
      <c r="G102">
        <v>112.37</v>
      </c>
      <c r="H102">
        <v>898.96</v>
      </c>
      <c r="I102" t="s">
        <v>521</v>
      </c>
      <c r="J102" t="str">
        <f t="shared" si="2"/>
        <v>Average😒</v>
      </c>
      <c r="K102" s="6" t="str">
        <f t="shared" si="3"/>
        <v>Remain</v>
      </c>
    </row>
    <row r="103" spans="1:11" x14ac:dyDescent="0.3">
      <c r="A103">
        <v>102</v>
      </c>
      <c r="B103" s="6">
        <v>45081</v>
      </c>
      <c r="C103" t="s">
        <v>35</v>
      </c>
      <c r="D103" t="s">
        <v>53</v>
      </c>
      <c r="E103" t="s">
        <v>64</v>
      </c>
      <c r="F103">
        <v>7</v>
      </c>
      <c r="G103">
        <v>78.64</v>
      </c>
      <c r="H103">
        <v>550.48</v>
      </c>
      <c r="I103" t="s">
        <v>522</v>
      </c>
      <c r="J103" t="str">
        <f t="shared" si="2"/>
        <v>Average😒</v>
      </c>
      <c r="K103" s="6" t="str">
        <f t="shared" si="3"/>
        <v>Remain</v>
      </c>
    </row>
    <row r="104" spans="1:11" x14ac:dyDescent="0.3">
      <c r="A104">
        <v>103</v>
      </c>
      <c r="B104" s="6">
        <v>45030</v>
      </c>
      <c r="C104" t="s">
        <v>34</v>
      </c>
      <c r="D104" t="s">
        <v>51</v>
      </c>
      <c r="E104" t="s">
        <v>63</v>
      </c>
      <c r="F104">
        <v>2</v>
      </c>
      <c r="G104">
        <v>168.05</v>
      </c>
      <c r="H104">
        <v>336.1</v>
      </c>
      <c r="I104" t="s">
        <v>521</v>
      </c>
      <c r="J104" t="str">
        <f t="shared" si="2"/>
        <v>Average😒</v>
      </c>
      <c r="K104" s="6" t="str">
        <f t="shared" si="3"/>
        <v>Restock</v>
      </c>
    </row>
    <row r="105" spans="1:11" x14ac:dyDescent="0.3">
      <c r="A105">
        <v>104</v>
      </c>
      <c r="B105" s="6">
        <v>45172</v>
      </c>
      <c r="C105" t="s">
        <v>35</v>
      </c>
      <c r="D105" t="s">
        <v>42</v>
      </c>
      <c r="E105" t="s">
        <v>50</v>
      </c>
      <c r="F105">
        <v>1</v>
      </c>
      <c r="G105">
        <v>76.94</v>
      </c>
      <c r="H105">
        <v>76.94</v>
      </c>
      <c r="I105" t="s">
        <v>523</v>
      </c>
      <c r="J105" t="str">
        <f t="shared" si="2"/>
        <v>Average😒</v>
      </c>
      <c r="K105" s="6" t="str">
        <f t="shared" si="3"/>
        <v>Restock</v>
      </c>
    </row>
    <row r="106" spans="1:11" x14ac:dyDescent="0.3">
      <c r="A106">
        <v>105</v>
      </c>
      <c r="B106" s="6">
        <v>45173</v>
      </c>
      <c r="C106" t="s">
        <v>34</v>
      </c>
      <c r="D106" t="s">
        <v>56</v>
      </c>
      <c r="E106" t="s">
        <v>57</v>
      </c>
      <c r="F106">
        <v>7</v>
      </c>
      <c r="G106">
        <v>153.86000000000001</v>
      </c>
      <c r="H106">
        <v>1077.02</v>
      </c>
      <c r="I106" t="s">
        <v>519</v>
      </c>
      <c r="J106" t="str">
        <f t="shared" si="2"/>
        <v>Average😒</v>
      </c>
      <c r="K106" s="6" t="str">
        <f t="shared" si="3"/>
        <v>Remain</v>
      </c>
    </row>
    <row r="107" spans="1:11" x14ac:dyDescent="0.3">
      <c r="A107">
        <v>106</v>
      </c>
      <c r="B107" s="6">
        <v>44939</v>
      </c>
      <c r="C107" t="s">
        <v>35</v>
      </c>
      <c r="D107" t="s">
        <v>53</v>
      </c>
      <c r="E107" t="s">
        <v>58</v>
      </c>
      <c r="F107">
        <v>3</v>
      </c>
      <c r="G107">
        <v>135.54</v>
      </c>
      <c r="H107">
        <v>406.62</v>
      </c>
      <c r="I107" t="s">
        <v>520</v>
      </c>
      <c r="J107" t="str">
        <f t="shared" si="2"/>
        <v>Average😒</v>
      </c>
      <c r="K107" s="6" t="str">
        <f t="shared" si="3"/>
        <v>Restock</v>
      </c>
    </row>
    <row r="108" spans="1:11" x14ac:dyDescent="0.3">
      <c r="A108">
        <v>107</v>
      </c>
      <c r="B108" s="6">
        <v>45099</v>
      </c>
      <c r="C108" t="s">
        <v>33</v>
      </c>
      <c r="D108" t="s">
        <v>56</v>
      </c>
      <c r="E108" t="s">
        <v>61</v>
      </c>
      <c r="F108">
        <v>7</v>
      </c>
      <c r="G108">
        <v>255.74</v>
      </c>
      <c r="H108">
        <v>1790.18</v>
      </c>
      <c r="I108" t="s">
        <v>520</v>
      </c>
      <c r="J108" t="str">
        <f t="shared" si="2"/>
        <v>Average😒</v>
      </c>
      <c r="K108" s="6" t="str">
        <f t="shared" si="3"/>
        <v>Remain</v>
      </c>
    </row>
    <row r="109" spans="1:11" x14ac:dyDescent="0.3">
      <c r="A109">
        <v>108</v>
      </c>
      <c r="B109" s="6">
        <v>45068</v>
      </c>
      <c r="C109" t="s">
        <v>36</v>
      </c>
      <c r="D109" t="s">
        <v>51</v>
      </c>
      <c r="E109" t="s">
        <v>63</v>
      </c>
      <c r="F109">
        <v>4</v>
      </c>
      <c r="G109">
        <v>328.48</v>
      </c>
      <c r="H109">
        <v>1313.92</v>
      </c>
      <c r="I109" t="s">
        <v>525</v>
      </c>
      <c r="J109" t="str">
        <f t="shared" si="2"/>
        <v>Average😒</v>
      </c>
      <c r="K109" s="6" t="str">
        <f t="shared" si="3"/>
        <v>Restock</v>
      </c>
    </row>
    <row r="110" spans="1:11" x14ac:dyDescent="0.3">
      <c r="A110">
        <v>109</v>
      </c>
      <c r="B110" s="6">
        <v>45018</v>
      </c>
      <c r="C110" t="s">
        <v>35</v>
      </c>
      <c r="D110" t="s">
        <v>56</v>
      </c>
      <c r="E110" t="s">
        <v>62</v>
      </c>
      <c r="F110">
        <v>3</v>
      </c>
      <c r="G110">
        <v>175.62</v>
      </c>
      <c r="H110">
        <v>526.86</v>
      </c>
      <c r="I110" t="s">
        <v>519</v>
      </c>
      <c r="J110" t="str">
        <f t="shared" si="2"/>
        <v>Average😒</v>
      </c>
      <c r="K110" s="6" t="str">
        <f t="shared" si="3"/>
        <v>Restock</v>
      </c>
    </row>
    <row r="111" spans="1:11" x14ac:dyDescent="0.3">
      <c r="A111">
        <v>110</v>
      </c>
      <c r="B111" s="6">
        <v>45141</v>
      </c>
      <c r="C111" t="s">
        <v>35</v>
      </c>
      <c r="D111" t="s">
        <v>42</v>
      </c>
      <c r="E111" t="s">
        <v>43</v>
      </c>
      <c r="F111">
        <v>2</v>
      </c>
      <c r="G111">
        <v>56.05</v>
      </c>
      <c r="H111">
        <v>112.1</v>
      </c>
      <c r="I111" t="s">
        <v>520</v>
      </c>
      <c r="J111" t="str">
        <f t="shared" si="2"/>
        <v>Average😒</v>
      </c>
      <c r="K111" s="6" t="str">
        <f t="shared" si="3"/>
        <v>Restock</v>
      </c>
    </row>
    <row r="112" spans="1:11" x14ac:dyDescent="0.3">
      <c r="A112">
        <v>111</v>
      </c>
      <c r="B112" s="6">
        <v>45112</v>
      </c>
      <c r="C112" t="s">
        <v>36</v>
      </c>
      <c r="D112" t="s">
        <v>42</v>
      </c>
      <c r="E112" t="s">
        <v>41</v>
      </c>
      <c r="F112">
        <v>6</v>
      </c>
      <c r="G112">
        <v>170.79</v>
      </c>
      <c r="H112">
        <v>1024.74</v>
      </c>
      <c r="I112" t="s">
        <v>522</v>
      </c>
      <c r="J112" t="str">
        <f t="shared" si="2"/>
        <v>Average😒</v>
      </c>
      <c r="K112" s="6" t="str">
        <f t="shared" si="3"/>
        <v>Remain</v>
      </c>
    </row>
    <row r="113" spans="1:11" x14ac:dyDescent="0.3">
      <c r="A113">
        <v>112</v>
      </c>
      <c r="B113" s="6">
        <v>45268</v>
      </c>
      <c r="C113" t="s">
        <v>35</v>
      </c>
      <c r="D113" t="s">
        <v>51</v>
      </c>
      <c r="E113" t="s">
        <v>63</v>
      </c>
      <c r="F113">
        <v>6</v>
      </c>
      <c r="G113">
        <v>299.51</v>
      </c>
      <c r="H113">
        <v>1797.06</v>
      </c>
      <c r="I113" t="s">
        <v>522</v>
      </c>
      <c r="J113" t="str">
        <f t="shared" si="2"/>
        <v>Average😒</v>
      </c>
      <c r="K113" s="6" t="str">
        <f t="shared" si="3"/>
        <v>Remain</v>
      </c>
    </row>
    <row r="114" spans="1:11" x14ac:dyDescent="0.3">
      <c r="A114">
        <v>113</v>
      </c>
      <c r="B114" s="6">
        <v>45252</v>
      </c>
      <c r="C114" t="s">
        <v>34</v>
      </c>
      <c r="D114" t="s">
        <v>51</v>
      </c>
      <c r="E114" t="s">
        <v>55</v>
      </c>
      <c r="F114">
        <v>1</v>
      </c>
      <c r="G114">
        <v>28.3</v>
      </c>
      <c r="H114">
        <v>28.3</v>
      </c>
      <c r="I114" t="s">
        <v>519</v>
      </c>
      <c r="J114" t="str">
        <f t="shared" si="2"/>
        <v>Average😒</v>
      </c>
      <c r="K114" s="6" t="str">
        <f t="shared" si="3"/>
        <v>Restock</v>
      </c>
    </row>
    <row r="115" spans="1:11" x14ac:dyDescent="0.3">
      <c r="A115">
        <v>114</v>
      </c>
      <c r="B115" s="6">
        <v>45027</v>
      </c>
      <c r="C115" t="s">
        <v>33</v>
      </c>
      <c r="D115" t="s">
        <v>56</v>
      </c>
      <c r="E115" t="s">
        <v>62</v>
      </c>
      <c r="F115">
        <v>6</v>
      </c>
      <c r="G115">
        <v>273.17</v>
      </c>
      <c r="H115">
        <v>1639.02</v>
      </c>
      <c r="I115" t="s">
        <v>519</v>
      </c>
      <c r="J115" t="str">
        <f t="shared" si="2"/>
        <v>Average😒</v>
      </c>
      <c r="K115" s="6" t="str">
        <f t="shared" si="3"/>
        <v>Remain</v>
      </c>
    </row>
    <row r="116" spans="1:11" x14ac:dyDescent="0.3">
      <c r="A116">
        <v>115</v>
      </c>
      <c r="B116" s="6">
        <v>44986</v>
      </c>
      <c r="C116" t="s">
        <v>35</v>
      </c>
      <c r="D116" t="s">
        <v>51</v>
      </c>
      <c r="E116" t="s">
        <v>55</v>
      </c>
      <c r="F116">
        <v>1</v>
      </c>
      <c r="G116">
        <v>415.66</v>
      </c>
      <c r="H116">
        <v>415.66</v>
      </c>
      <c r="I116" t="s">
        <v>519</v>
      </c>
      <c r="J116" t="str">
        <f t="shared" si="2"/>
        <v>Average😒</v>
      </c>
      <c r="K116" s="6" t="str">
        <f t="shared" si="3"/>
        <v>Restock</v>
      </c>
    </row>
    <row r="117" spans="1:11" x14ac:dyDescent="0.3">
      <c r="A117">
        <v>116</v>
      </c>
      <c r="B117" s="6">
        <v>45188</v>
      </c>
      <c r="C117" t="s">
        <v>35</v>
      </c>
      <c r="D117" t="s">
        <v>51</v>
      </c>
      <c r="E117" t="s">
        <v>55</v>
      </c>
      <c r="F117">
        <v>5</v>
      </c>
      <c r="G117">
        <v>234.06</v>
      </c>
      <c r="H117">
        <v>1170.3</v>
      </c>
      <c r="I117" t="s">
        <v>524</v>
      </c>
      <c r="J117" t="str">
        <f t="shared" si="2"/>
        <v>Average😒</v>
      </c>
      <c r="K117" s="6" t="str">
        <f t="shared" si="3"/>
        <v>Remain</v>
      </c>
    </row>
    <row r="118" spans="1:11" x14ac:dyDescent="0.3">
      <c r="A118">
        <v>117</v>
      </c>
      <c r="B118" s="6">
        <v>45281</v>
      </c>
      <c r="C118" t="s">
        <v>33</v>
      </c>
      <c r="D118" t="s">
        <v>53</v>
      </c>
      <c r="E118" t="s">
        <v>60</v>
      </c>
      <c r="F118">
        <v>4</v>
      </c>
      <c r="G118">
        <v>211.56</v>
      </c>
      <c r="H118">
        <v>846.24</v>
      </c>
      <c r="I118" t="s">
        <v>520</v>
      </c>
      <c r="J118" t="str">
        <f t="shared" si="2"/>
        <v>Average😒</v>
      </c>
      <c r="K118" s="6" t="str">
        <f t="shared" si="3"/>
        <v>Restock</v>
      </c>
    </row>
    <row r="119" spans="1:11" x14ac:dyDescent="0.3">
      <c r="A119">
        <v>118</v>
      </c>
      <c r="B119" s="6">
        <v>45070</v>
      </c>
      <c r="C119" t="s">
        <v>36</v>
      </c>
      <c r="D119" t="s">
        <v>53</v>
      </c>
      <c r="E119" t="s">
        <v>58</v>
      </c>
      <c r="F119">
        <v>7</v>
      </c>
      <c r="G119">
        <v>77.790000000000006</v>
      </c>
      <c r="H119">
        <v>544.53000000000009</v>
      </c>
      <c r="I119" t="s">
        <v>519</v>
      </c>
      <c r="J119" t="str">
        <f t="shared" si="2"/>
        <v>Average😒</v>
      </c>
      <c r="K119" s="6" t="str">
        <f t="shared" si="3"/>
        <v>Remain</v>
      </c>
    </row>
    <row r="120" spans="1:11" x14ac:dyDescent="0.3">
      <c r="A120">
        <v>119</v>
      </c>
      <c r="B120" s="6">
        <v>45084</v>
      </c>
      <c r="C120" t="s">
        <v>34</v>
      </c>
      <c r="D120" t="s">
        <v>42</v>
      </c>
      <c r="E120" t="s">
        <v>66</v>
      </c>
      <c r="F120">
        <v>2</v>
      </c>
      <c r="G120">
        <v>262.99</v>
      </c>
      <c r="H120">
        <v>525.98</v>
      </c>
      <c r="I120" t="s">
        <v>523</v>
      </c>
      <c r="J120" t="str">
        <f t="shared" si="2"/>
        <v>Average😒</v>
      </c>
      <c r="K120" s="6" t="str">
        <f t="shared" si="3"/>
        <v>Restock</v>
      </c>
    </row>
    <row r="121" spans="1:11" x14ac:dyDescent="0.3">
      <c r="A121">
        <v>120</v>
      </c>
      <c r="B121" s="6">
        <v>45245</v>
      </c>
      <c r="C121" t="s">
        <v>34</v>
      </c>
      <c r="D121" t="s">
        <v>53</v>
      </c>
      <c r="E121" t="s">
        <v>64</v>
      </c>
      <c r="F121">
        <v>3</v>
      </c>
      <c r="G121">
        <v>399.64</v>
      </c>
      <c r="H121">
        <v>1198.92</v>
      </c>
      <c r="I121" t="s">
        <v>524</v>
      </c>
      <c r="J121" t="str">
        <f t="shared" si="2"/>
        <v>Average😒</v>
      </c>
      <c r="K121" s="6" t="str">
        <f t="shared" si="3"/>
        <v>Restock</v>
      </c>
    </row>
    <row r="122" spans="1:11" x14ac:dyDescent="0.3">
      <c r="A122">
        <v>121</v>
      </c>
      <c r="B122" s="6">
        <v>45272</v>
      </c>
      <c r="C122" t="s">
        <v>36</v>
      </c>
      <c r="D122" t="s">
        <v>51</v>
      </c>
      <c r="E122" t="s">
        <v>65</v>
      </c>
      <c r="F122">
        <v>3</v>
      </c>
      <c r="G122">
        <v>225.1</v>
      </c>
      <c r="H122">
        <v>675.3</v>
      </c>
      <c r="I122" t="s">
        <v>522</v>
      </c>
      <c r="J122" t="str">
        <f t="shared" si="2"/>
        <v>Average😒</v>
      </c>
      <c r="K122" s="6" t="str">
        <f t="shared" si="3"/>
        <v>Restock</v>
      </c>
    </row>
    <row r="123" spans="1:11" x14ac:dyDescent="0.3">
      <c r="A123">
        <v>122</v>
      </c>
      <c r="B123" s="6">
        <v>45244</v>
      </c>
      <c r="C123" t="s">
        <v>35</v>
      </c>
      <c r="D123" t="s">
        <v>53</v>
      </c>
      <c r="E123" t="s">
        <v>58</v>
      </c>
      <c r="F123">
        <v>5</v>
      </c>
      <c r="G123">
        <v>100.32</v>
      </c>
      <c r="H123">
        <v>501.6</v>
      </c>
      <c r="I123" t="s">
        <v>523</v>
      </c>
      <c r="J123" t="str">
        <f t="shared" si="2"/>
        <v>Average😒</v>
      </c>
      <c r="K123" s="6" t="str">
        <f t="shared" si="3"/>
        <v>Remain</v>
      </c>
    </row>
    <row r="124" spans="1:11" x14ac:dyDescent="0.3">
      <c r="A124">
        <v>123</v>
      </c>
      <c r="B124" s="6">
        <v>45055</v>
      </c>
      <c r="C124" t="s">
        <v>35</v>
      </c>
      <c r="D124" t="s">
        <v>53</v>
      </c>
      <c r="E124" t="s">
        <v>60</v>
      </c>
      <c r="F124">
        <v>7</v>
      </c>
      <c r="G124">
        <v>219.87</v>
      </c>
      <c r="H124">
        <v>1539.09</v>
      </c>
      <c r="I124" t="s">
        <v>524</v>
      </c>
      <c r="J124" t="str">
        <f t="shared" si="2"/>
        <v>Average😒</v>
      </c>
      <c r="K124" s="6" t="str">
        <f t="shared" si="3"/>
        <v>Remain</v>
      </c>
    </row>
    <row r="125" spans="1:11" x14ac:dyDescent="0.3">
      <c r="A125">
        <v>124</v>
      </c>
      <c r="B125" s="6">
        <v>45022</v>
      </c>
      <c r="C125" t="s">
        <v>34</v>
      </c>
      <c r="D125" t="s">
        <v>53</v>
      </c>
      <c r="E125" t="s">
        <v>58</v>
      </c>
      <c r="F125">
        <v>1</v>
      </c>
      <c r="G125">
        <v>226.75</v>
      </c>
      <c r="H125">
        <v>226.75</v>
      </c>
      <c r="I125" t="s">
        <v>525</v>
      </c>
      <c r="J125" t="str">
        <f t="shared" si="2"/>
        <v>Average😒</v>
      </c>
      <c r="K125" s="6" t="str">
        <f t="shared" si="3"/>
        <v>Restock</v>
      </c>
    </row>
    <row r="126" spans="1:11" x14ac:dyDescent="0.3">
      <c r="A126">
        <v>125</v>
      </c>
      <c r="B126" s="6">
        <v>45163</v>
      </c>
      <c r="C126" t="s">
        <v>35</v>
      </c>
      <c r="D126" t="s">
        <v>56</v>
      </c>
      <c r="E126" t="s">
        <v>57</v>
      </c>
      <c r="F126">
        <v>6</v>
      </c>
      <c r="G126">
        <v>360.15</v>
      </c>
      <c r="H126">
        <v>2160.9</v>
      </c>
      <c r="I126" t="s">
        <v>521</v>
      </c>
      <c r="J126" t="str">
        <f t="shared" si="2"/>
        <v>Excellent👍</v>
      </c>
      <c r="K126" s="6" t="str">
        <f t="shared" si="3"/>
        <v>Remain</v>
      </c>
    </row>
    <row r="127" spans="1:11" x14ac:dyDescent="0.3">
      <c r="A127">
        <v>126</v>
      </c>
      <c r="B127" s="6">
        <v>45115</v>
      </c>
      <c r="C127" t="s">
        <v>33</v>
      </c>
      <c r="D127" t="s">
        <v>53</v>
      </c>
      <c r="E127" t="s">
        <v>54</v>
      </c>
      <c r="F127">
        <v>5</v>
      </c>
      <c r="G127">
        <v>322.75</v>
      </c>
      <c r="H127">
        <v>1613.75</v>
      </c>
      <c r="I127" t="s">
        <v>525</v>
      </c>
      <c r="J127" t="str">
        <f t="shared" si="2"/>
        <v>Average😒</v>
      </c>
      <c r="K127" s="6" t="str">
        <f t="shared" si="3"/>
        <v>Remain</v>
      </c>
    </row>
    <row r="128" spans="1:11" x14ac:dyDescent="0.3">
      <c r="A128">
        <v>127</v>
      </c>
      <c r="B128" s="6">
        <v>44995</v>
      </c>
      <c r="C128" t="s">
        <v>35</v>
      </c>
      <c r="D128" t="s">
        <v>42</v>
      </c>
      <c r="E128" t="s">
        <v>41</v>
      </c>
      <c r="F128">
        <v>7</v>
      </c>
      <c r="G128">
        <v>331.98</v>
      </c>
      <c r="H128">
        <v>2323.86</v>
      </c>
      <c r="I128" t="s">
        <v>523</v>
      </c>
      <c r="J128" t="str">
        <f t="shared" si="2"/>
        <v>Excellent👍</v>
      </c>
      <c r="K128" s="6" t="str">
        <f t="shared" si="3"/>
        <v>Remain</v>
      </c>
    </row>
    <row r="129" spans="1:11" x14ac:dyDescent="0.3">
      <c r="A129">
        <v>128</v>
      </c>
      <c r="B129" s="6">
        <v>45002</v>
      </c>
      <c r="C129" t="s">
        <v>33</v>
      </c>
      <c r="D129" t="s">
        <v>51</v>
      </c>
      <c r="E129" t="s">
        <v>55</v>
      </c>
      <c r="F129">
        <v>6</v>
      </c>
      <c r="G129">
        <v>367.72</v>
      </c>
      <c r="H129">
        <v>2206.3200000000002</v>
      </c>
      <c r="I129" t="s">
        <v>522</v>
      </c>
      <c r="J129" t="str">
        <f t="shared" si="2"/>
        <v>Excellent👍</v>
      </c>
      <c r="K129" s="6" t="str">
        <f t="shared" si="3"/>
        <v>Remain</v>
      </c>
    </row>
    <row r="130" spans="1:11" x14ac:dyDescent="0.3">
      <c r="A130">
        <v>129</v>
      </c>
      <c r="B130" s="6">
        <v>45111</v>
      </c>
      <c r="C130" t="s">
        <v>33</v>
      </c>
      <c r="D130" t="s">
        <v>53</v>
      </c>
      <c r="E130" t="s">
        <v>64</v>
      </c>
      <c r="F130">
        <v>3</v>
      </c>
      <c r="G130">
        <v>381.34</v>
      </c>
      <c r="H130">
        <v>1144.02</v>
      </c>
      <c r="I130" t="s">
        <v>525</v>
      </c>
      <c r="J130" t="str">
        <f t="shared" si="2"/>
        <v>Average😒</v>
      </c>
      <c r="K130" s="6" t="str">
        <f t="shared" si="3"/>
        <v>Restock</v>
      </c>
    </row>
    <row r="131" spans="1:11" x14ac:dyDescent="0.3">
      <c r="A131">
        <v>130</v>
      </c>
      <c r="B131" s="6">
        <v>45020</v>
      </c>
      <c r="C131" t="s">
        <v>33</v>
      </c>
      <c r="D131" t="s">
        <v>56</v>
      </c>
      <c r="E131" t="s">
        <v>57</v>
      </c>
      <c r="F131">
        <v>5</v>
      </c>
      <c r="G131">
        <v>56.14</v>
      </c>
      <c r="H131">
        <v>280.7</v>
      </c>
      <c r="I131" t="s">
        <v>522</v>
      </c>
      <c r="J131" t="str">
        <f t="shared" ref="J131:J194" si="4">IF(H131&gt;=2000,"Excellent👍","Average😒")</f>
        <v>Average😒</v>
      </c>
      <c r="K131" s="6" t="str">
        <f t="shared" ref="K131:K194" si="5">IF(F131&lt;5,"Restock","Remain")</f>
        <v>Remain</v>
      </c>
    </row>
    <row r="132" spans="1:11" x14ac:dyDescent="0.3">
      <c r="A132">
        <v>131</v>
      </c>
      <c r="B132" s="6">
        <v>45144</v>
      </c>
      <c r="C132" t="s">
        <v>36</v>
      </c>
      <c r="D132" t="s">
        <v>51</v>
      </c>
      <c r="E132" t="s">
        <v>63</v>
      </c>
      <c r="F132">
        <v>4</v>
      </c>
      <c r="G132">
        <v>95.91</v>
      </c>
      <c r="H132">
        <v>383.64</v>
      </c>
      <c r="I132" t="s">
        <v>521</v>
      </c>
      <c r="J132" t="str">
        <f t="shared" si="4"/>
        <v>Average😒</v>
      </c>
      <c r="K132" s="6" t="str">
        <f t="shared" si="5"/>
        <v>Restock</v>
      </c>
    </row>
    <row r="133" spans="1:11" x14ac:dyDescent="0.3">
      <c r="A133">
        <v>132</v>
      </c>
      <c r="B133" s="6">
        <v>45215</v>
      </c>
      <c r="C133" t="s">
        <v>36</v>
      </c>
      <c r="D133" t="s">
        <v>53</v>
      </c>
      <c r="E133" t="s">
        <v>58</v>
      </c>
      <c r="F133">
        <v>5</v>
      </c>
      <c r="G133">
        <v>242</v>
      </c>
      <c r="H133">
        <v>1210</v>
      </c>
      <c r="I133" t="s">
        <v>523</v>
      </c>
      <c r="J133" t="str">
        <f t="shared" si="4"/>
        <v>Average😒</v>
      </c>
      <c r="K133" s="6" t="str">
        <f t="shared" si="5"/>
        <v>Remain</v>
      </c>
    </row>
    <row r="134" spans="1:11" x14ac:dyDescent="0.3">
      <c r="A134">
        <v>133</v>
      </c>
      <c r="B134" s="6">
        <v>44936</v>
      </c>
      <c r="C134" t="s">
        <v>34</v>
      </c>
      <c r="D134" t="s">
        <v>51</v>
      </c>
      <c r="E134" t="s">
        <v>52</v>
      </c>
      <c r="F134">
        <v>5</v>
      </c>
      <c r="G134">
        <v>205.27</v>
      </c>
      <c r="H134">
        <v>1026.3499999999999</v>
      </c>
      <c r="I134" t="s">
        <v>525</v>
      </c>
      <c r="J134" t="str">
        <f t="shared" si="4"/>
        <v>Average😒</v>
      </c>
      <c r="K134" s="6" t="str">
        <f t="shared" si="5"/>
        <v>Remain</v>
      </c>
    </row>
    <row r="135" spans="1:11" x14ac:dyDescent="0.3">
      <c r="A135">
        <v>134</v>
      </c>
      <c r="B135" s="6">
        <v>45216</v>
      </c>
      <c r="C135" t="s">
        <v>36</v>
      </c>
      <c r="D135" t="s">
        <v>51</v>
      </c>
      <c r="E135" t="s">
        <v>65</v>
      </c>
      <c r="F135">
        <v>6</v>
      </c>
      <c r="G135">
        <v>321.2</v>
      </c>
      <c r="H135">
        <v>1927.2</v>
      </c>
      <c r="I135" t="s">
        <v>525</v>
      </c>
      <c r="J135" t="str">
        <f t="shared" si="4"/>
        <v>Average😒</v>
      </c>
      <c r="K135" s="6" t="str">
        <f t="shared" si="5"/>
        <v>Remain</v>
      </c>
    </row>
    <row r="136" spans="1:11" x14ac:dyDescent="0.3">
      <c r="A136">
        <v>135</v>
      </c>
      <c r="B136" s="6">
        <v>45176</v>
      </c>
      <c r="C136" t="s">
        <v>36</v>
      </c>
      <c r="D136" t="s">
        <v>56</v>
      </c>
      <c r="E136" t="s">
        <v>61</v>
      </c>
      <c r="F136">
        <v>4</v>
      </c>
      <c r="G136">
        <v>193.56</v>
      </c>
      <c r="H136">
        <v>774.24</v>
      </c>
      <c r="I136" t="s">
        <v>520</v>
      </c>
      <c r="J136" t="str">
        <f t="shared" si="4"/>
        <v>Average😒</v>
      </c>
      <c r="K136" s="6" t="str">
        <f t="shared" si="5"/>
        <v>Restock</v>
      </c>
    </row>
    <row r="137" spans="1:11" x14ac:dyDescent="0.3">
      <c r="A137">
        <v>136</v>
      </c>
      <c r="B137" s="6">
        <v>45183</v>
      </c>
      <c r="C137" t="s">
        <v>33</v>
      </c>
      <c r="D137" t="s">
        <v>42</v>
      </c>
      <c r="E137" t="s">
        <v>50</v>
      </c>
      <c r="F137">
        <v>3</v>
      </c>
      <c r="G137">
        <v>256.54000000000002</v>
      </c>
      <c r="H137">
        <v>769.62000000000012</v>
      </c>
      <c r="I137" t="s">
        <v>523</v>
      </c>
      <c r="J137" t="str">
        <f t="shared" si="4"/>
        <v>Average😒</v>
      </c>
      <c r="K137" s="6" t="str">
        <f t="shared" si="5"/>
        <v>Restock</v>
      </c>
    </row>
    <row r="138" spans="1:11" x14ac:dyDescent="0.3">
      <c r="A138">
        <v>137</v>
      </c>
      <c r="B138" s="6">
        <v>44930</v>
      </c>
      <c r="C138" t="s">
        <v>36</v>
      </c>
      <c r="D138" t="s">
        <v>51</v>
      </c>
      <c r="E138" t="s">
        <v>55</v>
      </c>
      <c r="F138">
        <v>8</v>
      </c>
      <c r="G138">
        <v>332.76</v>
      </c>
      <c r="H138">
        <v>2662.08</v>
      </c>
      <c r="I138" t="s">
        <v>521</v>
      </c>
      <c r="J138" t="str">
        <f t="shared" si="4"/>
        <v>Excellent👍</v>
      </c>
      <c r="K138" s="6" t="str">
        <f t="shared" si="5"/>
        <v>Remain</v>
      </c>
    </row>
    <row r="139" spans="1:11" x14ac:dyDescent="0.3">
      <c r="A139">
        <v>138</v>
      </c>
      <c r="B139" s="6">
        <v>45184</v>
      </c>
      <c r="C139" t="s">
        <v>35</v>
      </c>
      <c r="D139" t="s">
        <v>42</v>
      </c>
      <c r="E139" t="s">
        <v>43</v>
      </c>
      <c r="F139">
        <v>8</v>
      </c>
      <c r="G139">
        <v>472.51</v>
      </c>
      <c r="H139">
        <v>3780.08</v>
      </c>
      <c r="I139" t="s">
        <v>521</v>
      </c>
      <c r="J139" t="str">
        <f t="shared" si="4"/>
        <v>Excellent👍</v>
      </c>
      <c r="K139" s="6" t="str">
        <f t="shared" si="5"/>
        <v>Remain</v>
      </c>
    </row>
    <row r="140" spans="1:11" x14ac:dyDescent="0.3">
      <c r="A140">
        <v>139</v>
      </c>
      <c r="B140" s="6">
        <v>45086</v>
      </c>
      <c r="C140" t="s">
        <v>35</v>
      </c>
      <c r="D140" t="s">
        <v>56</v>
      </c>
      <c r="E140" t="s">
        <v>57</v>
      </c>
      <c r="F140">
        <v>1</v>
      </c>
      <c r="G140">
        <v>434.93</v>
      </c>
      <c r="H140">
        <v>434.93</v>
      </c>
      <c r="I140" t="s">
        <v>520</v>
      </c>
      <c r="J140" t="str">
        <f t="shared" si="4"/>
        <v>Average😒</v>
      </c>
      <c r="K140" s="6" t="str">
        <f t="shared" si="5"/>
        <v>Restock</v>
      </c>
    </row>
    <row r="141" spans="1:11" x14ac:dyDescent="0.3">
      <c r="A141">
        <v>140</v>
      </c>
      <c r="B141" s="6">
        <v>45104</v>
      </c>
      <c r="C141" t="s">
        <v>36</v>
      </c>
      <c r="D141" t="s">
        <v>42</v>
      </c>
      <c r="E141" t="s">
        <v>43</v>
      </c>
      <c r="F141">
        <v>4</v>
      </c>
      <c r="G141">
        <v>291.98</v>
      </c>
      <c r="H141">
        <v>1167.92</v>
      </c>
      <c r="I141" t="s">
        <v>519</v>
      </c>
      <c r="J141" t="str">
        <f t="shared" si="4"/>
        <v>Average😒</v>
      </c>
      <c r="K141" s="6" t="str">
        <f t="shared" si="5"/>
        <v>Restock</v>
      </c>
    </row>
    <row r="142" spans="1:11" x14ac:dyDescent="0.3">
      <c r="A142">
        <v>141</v>
      </c>
      <c r="B142" s="6">
        <v>45105</v>
      </c>
      <c r="C142" t="s">
        <v>33</v>
      </c>
      <c r="D142" t="s">
        <v>42</v>
      </c>
      <c r="E142" t="s">
        <v>66</v>
      </c>
      <c r="F142">
        <v>3</v>
      </c>
      <c r="G142">
        <v>325.20999999999998</v>
      </c>
      <c r="H142">
        <v>975.62999999999988</v>
      </c>
      <c r="I142" t="s">
        <v>525</v>
      </c>
      <c r="J142" t="str">
        <f t="shared" si="4"/>
        <v>Average😒</v>
      </c>
      <c r="K142" s="6" t="str">
        <f t="shared" si="5"/>
        <v>Restock</v>
      </c>
    </row>
    <row r="143" spans="1:11" x14ac:dyDescent="0.3">
      <c r="A143">
        <v>142</v>
      </c>
      <c r="B143" s="6">
        <v>44991</v>
      </c>
      <c r="C143" t="s">
        <v>33</v>
      </c>
      <c r="D143" t="s">
        <v>56</v>
      </c>
      <c r="E143" t="s">
        <v>61</v>
      </c>
      <c r="F143">
        <v>5</v>
      </c>
      <c r="G143">
        <v>316.70999999999998</v>
      </c>
      <c r="H143">
        <v>1583.55</v>
      </c>
      <c r="I143" t="s">
        <v>525</v>
      </c>
      <c r="J143" t="str">
        <f t="shared" si="4"/>
        <v>Average😒</v>
      </c>
      <c r="K143" s="6" t="str">
        <f t="shared" si="5"/>
        <v>Remain</v>
      </c>
    </row>
    <row r="144" spans="1:11" x14ac:dyDescent="0.3">
      <c r="A144">
        <v>143</v>
      </c>
      <c r="B144" s="6">
        <v>44969</v>
      </c>
      <c r="C144" t="s">
        <v>35</v>
      </c>
      <c r="D144" t="s">
        <v>51</v>
      </c>
      <c r="E144" t="s">
        <v>65</v>
      </c>
      <c r="F144">
        <v>1</v>
      </c>
      <c r="G144">
        <v>329.23</v>
      </c>
      <c r="H144">
        <v>329.23</v>
      </c>
      <c r="I144" t="s">
        <v>522</v>
      </c>
      <c r="J144" t="str">
        <f t="shared" si="4"/>
        <v>Average😒</v>
      </c>
      <c r="K144" s="6" t="str">
        <f t="shared" si="5"/>
        <v>Restock</v>
      </c>
    </row>
    <row r="145" spans="1:11" x14ac:dyDescent="0.3">
      <c r="A145">
        <v>144</v>
      </c>
      <c r="B145" s="6">
        <v>45168</v>
      </c>
      <c r="C145" t="s">
        <v>36</v>
      </c>
      <c r="D145" t="s">
        <v>51</v>
      </c>
      <c r="E145" t="s">
        <v>63</v>
      </c>
      <c r="F145">
        <v>2</v>
      </c>
      <c r="G145">
        <v>29.09</v>
      </c>
      <c r="H145">
        <v>58.18</v>
      </c>
      <c r="I145" t="s">
        <v>525</v>
      </c>
      <c r="J145" t="str">
        <f t="shared" si="4"/>
        <v>Average😒</v>
      </c>
      <c r="K145" s="6" t="str">
        <f t="shared" si="5"/>
        <v>Restock</v>
      </c>
    </row>
    <row r="146" spans="1:11" x14ac:dyDescent="0.3">
      <c r="A146">
        <v>145</v>
      </c>
      <c r="B146" s="6">
        <v>45016</v>
      </c>
      <c r="C146" t="s">
        <v>34</v>
      </c>
      <c r="D146" t="s">
        <v>42</v>
      </c>
      <c r="E146" t="s">
        <v>43</v>
      </c>
      <c r="F146">
        <v>3</v>
      </c>
      <c r="G146">
        <v>174.91</v>
      </c>
      <c r="H146">
        <v>524.73</v>
      </c>
      <c r="I146" t="s">
        <v>525</v>
      </c>
      <c r="J146" t="str">
        <f t="shared" si="4"/>
        <v>Average😒</v>
      </c>
      <c r="K146" s="6" t="str">
        <f t="shared" si="5"/>
        <v>Restock</v>
      </c>
    </row>
    <row r="147" spans="1:11" x14ac:dyDescent="0.3">
      <c r="A147">
        <v>146</v>
      </c>
      <c r="B147" s="6">
        <v>45016</v>
      </c>
      <c r="C147" t="s">
        <v>34</v>
      </c>
      <c r="D147" t="s">
        <v>42</v>
      </c>
      <c r="E147" t="s">
        <v>41</v>
      </c>
      <c r="F147">
        <v>8</v>
      </c>
      <c r="G147">
        <v>198.84</v>
      </c>
      <c r="H147">
        <v>1590.72</v>
      </c>
      <c r="I147" t="s">
        <v>520</v>
      </c>
      <c r="J147" t="str">
        <f t="shared" si="4"/>
        <v>Average😒</v>
      </c>
      <c r="K147" s="6" t="str">
        <f t="shared" si="5"/>
        <v>Remain</v>
      </c>
    </row>
    <row r="148" spans="1:11" x14ac:dyDescent="0.3">
      <c r="A148">
        <v>147</v>
      </c>
      <c r="B148" s="6">
        <v>45122</v>
      </c>
      <c r="C148" t="s">
        <v>36</v>
      </c>
      <c r="D148" t="s">
        <v>51</v>
      </c>
      <c r="E148" t="s">
        <v>52</v>
      </c>
      <c r="F148">
        <v>2</v>
      </c>
      <c r="G148">
        <v>137.74</v>
      </c>
      <c r="H148">
        <v>275.48</v>
      </c>
      <c r="I148" t="s">
        <v>522</v>
      </c>
      <c r="J148" t="str">
        <f t="shared" si="4"/>
        <v>Average😒</v>
      </c>
      <c r="K148" s="6" t="str">
        <f t="shared" si="5"/>
        <v>Restock</v>
      </c>
    </row>
    <row r="149" spans="1:11" x14ac:dyDescent="0.3">
      <c r="A149">
        <v>148</v>
      </c>
      <c r="B149" s="6">
        <v>45001</v>
      </c>
      <c r="C149" t="s">
        <v>34</v>
      </c>
      <c r="D149" t="s">
        <v>42</v>
      </c>
      <c r="E149" t="s">
        <v>66</v>
      </c>
      <c r="F149">
        <v>5</v>
      </c>
      <c r="G149">
        <v>180.68</v>
      </c>
      <c r="H149">
        <v>903.40000000000009</v>
      </c>
      <c r="I149" t="s">
        <v>524</v>
      </c>
      <c r="J149" t="str">
        <f t="shared" si="4"/>
        <v>Average😒</v>
      </c>
      <c r="K149" s="6" t="str">
        <f t="shared" si="5"/>
        <v>Remain</v>
      </c>
    </row>
    <row r="150" spans="1:11" x14ac:dyDescent="0.3">
      <c r="A150">
        <v>149</v>
      </c>
      <c r="B150" s="6">
        <v>45203</v>
      </c>
      <c r="C150" t="s">
        <v>34</v>
      </c>
      <c r="D150" t="s">
        <v>42</v>
      </c>
      <c r="E150" t="s">
        <v>43</v>
      </c>
      <c r="F150">
        <v>8</v>
      </c>
      <c r="G150">
        <v>370.18</v>
      </c>
      <c r="H150">
        <v>2961.44</v>
      </c>
      <c r="I150" t="s">
        <v>525</v>
      </c>
      <c r="J150" t="str">
        <f t="shared" si="4"/>
        <v>Excellent👍</v>
      </c>
      <c r="K150" s="6" t="str">
        <f t="shared" si="5"/>
        <v>Remain</v>
      </c>
    </row>
    <row r="151" spans="1:11" x14ac:dyDescent="0.3">
      <c r="A151">
        <v>150</v>
      </c>
      <c r="B151" s="6">
        <v>45283</v>
      </c>
      <c r="C151" t="s">
        <v>35</v>
      </c>
      <c r="D151" t="s">
        <v>51</v>
      </c>
      <c r="E151" t="s">
        <v>65</v>
      </c>
      <c r="F151">
        <v>9</v>
      </c>
      <c r="G151">
        <v>278.51</v>
      </c>
      <c r="H151">
        <v>2506.59</v>
      </c>
      <c r="I151" t="s">
        <v>521</v>
      </c>
      <c r="J151" t="str">
        <f t="shared" si="4"/>
        <v>Excellent👍</v>
      </c>
      <c r="K151" s="6" t="str">
        <f t="shared" si="5"/>
        <v>Remain</v>
      </c>
    </row>
    <row r="152" spans="1:11" x14ac:dyDescent="0.3">
      <c r="A152">
        <v>151</v>
      </c>
      <c r="B152" s="6">
        <v>45153</v>
      </c>
      <c r="C152" t="s">
        <v>35</v>
      </c>
      <c r="D152" t="s">
        <v>53</v>
      </c>
      <c r="E152" t="s">
        <v>60</v>
      </c>
      <c r="F152">
        <v>9</v>
      </c>
      <c r="G152">
        <v>288.57</v>
      </c>
      <c r="H152">
        <v>2597.13</v>
      </c>
      <c r="I152" t="s">
        <v>519</v>
      </c>
      <c r="J152" t="str">
        <f t="shared" si="4"/>
        <v>Excellent👍</v>
      </c>
      <c r="K152" s="6" t="str">
        <f t="shared" si="5"/>
        <v>Remain</v>
      </c>
    </row>
    <row r="153" spans="1:11" x14ac:dyDescent="0.3">
      <c r="A153">
        <v>152</v>
      </c>
      <c r="B153" s="6">
        <v>44962</v>
      </c>
      <c r="C153" t="s">
        <v>33</v>
      </c>
      <c r="D153" t="s">
        <v>51</v>
      </c>
      <c r="E153" t="s">
        <v>52</v>
      </c>
      <c r="F153">
        <v>1</v>
      </c>
      <c r="G153">
        <v>368.51</v>
      </c>
      <c r="H153">
        <v>368.51</v>
      </c>
      <c r="I153" t="s">
        <v>525</v>
      </c>
      <c r="J153" t="str">
        <f t="shared" si="4"/>
        <v>Average😒</v>
      </c>
      <c r="K153" s="6" t="str">
        <f t="shared" si="5"/>
        <v>Restock</v>
      </c>
    </row>
    <row r="154" spans="1:11" x14ac:dyDescent="0.3">
      <c r="A154">
        <v>153</v>
      </c>
      <c r="B154" s="6">
        <v>45022</v>
      </c>
      <c r="C154" t="s">
        <v>33</v>
      </c>
      <c r="D154" t="s">
        <v>53</v>
      </c>
      <c r="E154" t="s">
        <v>60</v>
      </c>
      <c r="F154">
        <v>2</v>
      </c>
      <c r="G154">
        <v>132.51</v>
      </c>
      <c r="H154">
        <v>265.02</v>
      </c>
      <c r="I154" t="s">
        <v>520</v>
      </c>
      <c r="J154" t="str">
        <f t="shared" si="4"/>
        <v>Average😒</v>
      </c>
      <c r="K154" s="6" t="str">
        <f t="shared" si="5"/>
        <v>Restock</v>
      </c>
    </row>
    <row r="155" spans="1:11" x14ac:dyDescent="0.3">
      <c r="A155">
        <v>154</v>
      </c>
      <c r="B155" s="6">
        <v>45150</v>
      </c>
      <c r="C155" t="s">
        <v>35</v>
      </c>
      <c r="D155" t="s">
        <v>53</v>
      </c>
      <c r="E155" t="s">
        <v>60</v>
      </c>
      <c r="F155">
        <v>8</v>
      </c>
      <c r="G155">
        <v>434.89</v>
      </c>
      <c r="H155">
        <v>3479.12</v>
      </c>
      <c r="I155" t="s">
        <v>522</v>
      </c>
      <c r="J155" t="str">
        <f t="shared" si="4"/>
        <v>Excellent👍</v>
      </c>
      <c r="K155" s="6" t="str">
        <f t="shared" si="5"/>
        <v>Remain</v>
      </c>
    </row>
    <row r="156" spans="1:11" x14ac:dyDescent="0.3">
      <c r="A156">
        <v>155</v>
      </c>
      <c r="B156" s="6">
        <v>45109</v>
      </c>
      <c r="C156" t="s">
        <v>33</v>
      </c>
      <c r="D156" t="s">
        <v>51</v>
      </c>
      <c r="E156" t="s">
        <v>55</v>
      </c>
      <c r="F156">
        <v>5</v>
      </c>
      <c r="G156">
        <v>126.91</v>
      </c>
      <c r="H156">
        <v>634.54999999999995</v>
      </c>
      <c r="I156" t="s">
        <v>519</v>
      </c>
      <c r="J156" t="str">
        <f t="shared" si="4"/>
        <v>Average😒</v>
      </c>
      <c r="K156" s="6" t="str">
        <f t="shared" si="5"/>
        <v>Remain</v>
      </c>
    </row>
    <row r="157" spans="1:11" x14ac:dyDescent="0.3">
      <c r="A157">
        <v>156</v>
      </c>
      <c r="B157" s="6">
        <v>45287</v>
      </c>
      <c r="C157" t="s">
        <v>36</v>
      </c>
      <c r="D157" t="s">
        <v>42</v>
      </c>
      <c r="E157" t="s">
        <v>50</v>
      </c>
      <c r="F157">
        <v>7</v>
      </c>
      <c r="G157">
        <v>379.73</v>
      </c>
      <c r="H157">
        <v>2658.11</v>
      </c>
      <c r="I157" t="s">
        <v>524</v>
      </c>
      <c r="J157" t="str">
        <f t="shared" si="4"/>
        <v>Excellent👍</v>
      </c>
      <c r="K157" s="6" t="str">
        <f t="shared" si="5"/>
        <v>Remain</v>
      </c>
    </row>
    <row r="158" spans="1:11" x14ac:dyDescent="0.3">
      <c r="A158">
        <v>157</v>
      </c>
      <c r="B158" s="6">
        <v>45010</v>
      </c>
      <c r="C158" t="s">
        <v>34</v>
      </c>
      <c r="D158" t="s">
        <v>42</v>
      </c>
      <c r="E158" t="s">
        <v>43</v>
      </c>
      <c r="F158">
        <v>1</v>
      </c>
      <c r="G158">
        <v>271.82</v>
      </c>
      <c r="H158">
        <v>271.82</v>
      </c>
      <c r="I158" t="s">
        <v>521</v>
      </c>
      <c r="J158" t="str">
        <f t="shared" si="4"/>
        <v>Average😒</v>
      </c>
      <c r="K158" s="6" t="str">
        <f t="shared" si="5"/>
        <v>Restock</v>
      </c>
    </row>
    <row r="159" spans="1:11" x14ac:dyDescent="0.3">
      <c r="A159">
        <v>158</v>
      </c>
      <c r="B159" s="6">
        <v>45113</v>
      </c>
      <c r="C159" t="s">
        <v>34</v>
      </c>
      <c r="D159" t="s">
        <v>42</v>
      </c>
      <c r="E159" t="s">
        <v>50</v>
      </c>
      <c r="F159">
        <v>9</v>
      </c>
      <c r="G159">
        <v>166.82</v>
      </c>
      <c r="H159">
        <v>1501.38</v>
      </c>
      <c r="I159" t="s">
        <v>519</v>
      </c>
      <c r="J159" t="str">
        <f t="shared" si="4"/>
        <v>Average😒</v>
      </c>
      <c r="K159" s="6" t="str">
        <f t="shared" si="5"/>
        <v>Remain</v>
      </c>
    </row>
    <row r="160" spans="1:11" x14ac:dyDescent="0.3">
      <c r="A160">
        <v>159</v>
      </c>
      <c r="B160" s="6">
        <v>45159</v>
      </c>
      <c r="C160" t="s">
        <v>34</v>
      </c>
      <c r="D160" t="s">
        <v>42</v>
      </c>
      <c r="E160" t="s">
        <v>50</v>
      </c>
      <c r="F160">
        <v>3</v>
      </c>
      <c r="G160">
        <v>200.71</v>
      </c>
      <c r="H160">
        <v>602.13</v>
      </c>
      <c r="I160" t="s">
        <v>520</v>
      </c>
      <c r="J160" t="str">
        <f t="shared" si="4"/>
        <v>Average😒</v>
      </c>
      <c r="K160" s="6" t="str">
        <f t="shared" si="5"/>
        <v>Restock</v>
      </c>
    </row>
    <row r="161" spans="1:11" x14ac:dyDescent="0.3">
      <c r="A161">
        <v>160</v>
      </c>
      <c r="B161" s="6">
        <v>45210</v>
      </c>
      <c r="C161" t="s">
        <v>34</v>
      </c>
      <c r="D161" t="s">
        <v>56</v>
      </c>
      <c r="E161" t="s">
        <v>57</v>
      </c>
      <c r="F161">
        <v>3</v>
      </c>
      <c r="G161">
        <v>54.73</v>
      </c>
      <c r="H161">
        <v>164.19</v>
      </c>
      <c r="I161" t="s">
        <v>519</v>
      </c>
      <c r="J161" t="str">
        <f t="shared" si="4"/>
        <v>Average😒</v>
      </c>
      <c r="K161" s="6" t="str">
        <f t="shared" si="5"/>
        <v>Restock</v>
      </c>
    </row>
    <row r="162" spans="1:11" x14ac:dyDescent="0.3">
      <c r="A162">
        <v>161</v>
      </c>
      <c r="B162" s="6">
        <v>45070</v>
      </c>
      <c r="C162" t="s">
        <v>33</v>
      </c>
      <c r="D162" t="s">
        <v>53</v>
      </c>
      <c r="E162" t="s">
        <v>54</v>
      </c>
      <c r="F162">
        <v>4</v>
      </c>
      <c r="G162">
        <v>290.98</v>
      </c>
      <c r="H162">
        <v>1163.92</v>
      </c>
      <c r="I162" t="s">
        <v>521</v>
      </c>
      <c r="J162" t="str">
        <f t="shared" si="4"/>
        <v>Average😒</v>
      </c>
      <c r="K162" s="6" t="str">
        <f t="shared" si="5"/>
        <v>Restock</v>
      </c>
    </row>
    <row r="163" spans="1:11" x14ac:dyDescent="0.3">
      <c r="A163">
        <v>162</v>
      </c>
      <c r="B163" s="6">
        <v>44951</v>
      </c>
      <c r="C163" t="s">
        <v>35</v>
      </c>
      <c r="D163" t="s">
        <v>51</v>
      </c>
      <c r="E163" t="s">
        <v>55</v>
      </c>
      <c r="F163">
        <v>5</v>
      </c>
      <c r="G163">
        <v>54.94</v>
      </c>
      <c r="H163">
        <v>274.7</v>
      </c>
      <c r="I163" t="s">
        <v>519</v>
      </c>
      <c r="J163" t="str">
        <f t="shared" si="4"/>
        <v>Average😒</v>
      </c>
      <c r="K163" s="6" t="str">
        <f t="shared" si="5"/>
        <v>Remain</v>
      </c>
    </row>
    <row r="164" spans="1:11" x14ac:dyDescent="0.3">
      <c r="A164">
        <v>163</v>
      </c>
      <c r="B164" s="6">
        <v>44979</v>
      </c>
      <c r="C164" t="s">
        <v>33</v>
      </c>
      <c r="D164" t="s">
        <v>42</v>
      </c>
      <c r="E164" t="s">
        <v>50</v>
      </c>
      <c r="F164">
        <v>4</v>
      </c>
      <c r="G164">
        <v>339.53</v>
      </c>
      <c r="H164">
        <v>1358.12</v>
      </c>
      <c r="I164" t="s">
        <v>519</v>
      </c>
      <c r="J164" t="str">
        <f t="shared" si="4"/>
        <v>Average😒</v>
      </c>
      <c r="K164" s="6" t="str">
        <f t="shared" si="5"/>
        <v>Restock</v>
      </c>
    </row>
    <row r="165" spans="1:11" x14ac:dyDescent="0.3">
      <c r="A165">
        <v>164</v>
      </c>
      <c r="B165" s="6">
        <v>44965</v>
      </c>
      <c r="C165" t="s">
        <v>34</v>
      </c>
      <c r="D165" t="s">
        <v>51</v>
      </c>
      <c r="E165" t="s">
        <v>63</v>
      </c>
      <c r="F165">
        <v>7</v>
      </c>
      <c r="G165">
        <v>392.84</v>
      </c>
      <c r="H165">
        <v>2749.88</v>
      </c>
      <c r="I165" t="s">
        <v>525</v>
      </c>
      <c r="J165" t="str">
        <f t="shared" si="4"/>
        <v>Excellent👍</v>
      </c>
      <c r="K165" s="6" t="str">
        <f t="shared" si="5"/>
        <v>Remain</v>
      </c>
    </row>
    <row r="166" spans="1:11" x14ac:dyDescent="0.3">
      <c r="A166">
        <v>165</v>
      </c>
      <c r="B166" s="6">
        <v>45149</v>
      </c>
      <c r="C166" t="s">
        <v>33</v>
      </c>
      <c r="D166" t="s">
        <v>53</v>
      </c>
      <c r="E166" t="s">
        <v>60</v>
      </c>
      <c r="F166">
        <v>5</v>
      </c>
      <c r="G166">
        <v>252.27</v>
      </c>
      <c r="H166">
        <v>1261.3499999999999</v>
      </c>
      <c r="I166" t="s">
        <v>523</v>
      </c>
      <c r="J166" t="str">
        <f t="shared" si="4"/>
        <v>Average😒</v>
      </c>
      <c r="K166" s="6" t="str">
        <f t="shared" si="5"/>
        <v>Remain</v>
      </c>
    </row>
    <row r="167" spans="1:11" x14ac:dyDescent="0.3">
      <c r="A167">
        <v>166</v>
      </c>
      <c r="B167" s="6">
        <v>45147</v>
      </c>
      <c r="C167" t="s">
        <v>33</v>
      </c>
      <c r="D167" t="s">
        <v>42</v>
      </c>
      <c r="E167" t="s">
        <v>66</v>
      </c>
      <c r="F167">
        <v>5</v>
      </c>
      <c r="G167">
        <v>371.15</v>
      </c>
      <c r="H167">
        <v>1855.75</v>
      </c>
      <c r="I167" t="s">
        <v>522</v>
      </c>
      <c r="J167" t="str">
        <f t="shared" si="4"/>
        <v>Average😒</v>
      </c>
      <c r="K167" s="6" t="str">
        <f t="shared" si="5"/>
        <v>Remain</v>
      </c>
    </row>
    <row r="168" spans="1:11" x14ac:dyDescent="0.3">
      <c r="A168">
        <v>167</v>
      </c>
      <c r="B168" s="6">
        <v>44935</v>
      </c>
      <c r="C168" t="s">
        <v>33</v>
      </c>
      <c r="D168" t="s">
        <v>56</v>
      </c>
      <c r="E168" t="s">
        <v>57</v>
      </c>
      <c r="F168">
        <v>2</v>
      </c>
      <c r="G168">
        <v>484.64</v>
      </c>
      <c r="H168">
        <v>969.28</v>
      </c>
      <c r="I168" t="s">
        <v>522</v>
      </c>
      <c r="J168" t="str">
        <f t="shared" si="4"/>
        <v>Average😒</v>
      </c>
      <c r="K168" s="6" t="str">
        <f t="shared" si="5"/>
        <v>Restock</v>
      </c>
    </row>
    <row r="169" spans="1:11" x14ac:dyDescent="0.3">
      <c r="A169">
        <v>168</v>
      </c>
      <c r="B169" s="6">
        <v>44933</v>
      </c>
      <c r="C169" t="s">
        <v>36</v>
      </c>
      <c r="D169" t="s">
        <v>42</v>
      </c>
      <c r="E169" t="s">
        <v>50</v>
      </c>
      <c r="F169">
        <v>1</v>
      </c>
      <c r="G169">
        <v>59.55</v>
      </c>
      <c r="H169">
        <v>59.55</v>
      </c>
      <c r="I169" t="s">
        <v>522</v>
      </c>
      <c r="J169" t="str">
        <f t="shared" si="4"/>
        <v>Average😒</v>
      </c>
      <c r="K169" s="6" t="str">
        <f t="shared" si="5"/>
        <v>Restock</v>
      </c>
    </row>
    <row r="170" spans="1:11" x14ac:dyDescent="0.3">
      <c r="A170">
        <v>169</v>
      </c>
      <c r="B170" s="6">
        <v>45209</v>
      </c>
      <c r="C170" t="s">
        <v>36</v>
      </c>
      <c r="D170" t="s">
        <v>51</v>
      </c>
      <c r="E170" t="s">
        <v>52</v>
      </c>
      <c r="F170">
        <v>8</v>
      </c>
      <c r="G170">
        <v>45.65</v>
      </c>
      <c r="H170">
        <v>365.2</v>
      </c>
      <c r="I170" t="s">
        <v>522</v>
      </c>
      <c r="J170" t="str">
        <f t="shared" si="4"/>
        <v>Average😒</v>
      </c>
      <c r="K170" s="6" t="str">
        <f t="shared" si="5"/>
        <v>Remain</v>
      </c>
    </row>
    <row r="171" spans="1:11" x14ac:dyDescent="0.3">
      <c r="A171">
        <v>170</v>
      </c>
      <c r="B171" s="6">
        <v>45091</v>
      </c>
      <c r="C171" t="s">
        <v>35</v>
      </c>
      <c r="D171" t="s">
        <v>42</v>
      </c>
      <c r="E171" t="s">
        <v>41</v>
      </c>
      <c r="F171">
        <v>2</v>
      </c>
      <c r="G171">
        <v>49.86</v>
      </c>
      <c r="H171">
        <v>99.72</v>
      </c>
      <c r="I171" t="s">
        <v>522</v>
      </c>
      <c r="J171" t="str">
        <f t="shared" si="4"/>
        <v>Average😒</v>
      </c>
      <c r="K171" s="6" t="str">
        <f t="shared" si="5"/>
        <v>Restock</v>
      </c>
    </row>
    <row r="172" spans="1:11" x14ac:dyDescent="0.3">
      <c r="A172">
        <v>171</v>
      </c>
      <c r="B172" s="6">
        <v>45291</v>
      </c>
      <c r="C172" t="s">
        <v>33</v>
      </c>
      <c r="D172" t="s">
        <v>51</v>
      </c>
      <c r="E172" t="s">
        <v>52</v>
      </c>
      <c r="F172">
        <v>6</v>
      </c>
      <c r="G172">
        <v>493.45</v>
      </c>
      <c r="H172">
        <v>2960.7</v>
      </c>
      <c r="I172" t="s">
        <v>521</v>
      </c>
      <c r="J172" t="str">
        <f t="shared" si="4"/>
        <v>Excellent👍</v>
      </c>
      <c r="K172" s="6" t="str">
        <f t="shared" si="5"/>
        <v>Remain</v>
      </c>
    </row>
    <row r="173" spans="1:11" x14ac:dyDescent="0.3">
      <c r="A173">
        <v>172</v>
      </c>
      <c r="B173" s="6">
        <v>45071</v>
      </c>
      <c r="C173" t="s">
        <v>35</v>
      </c>
      <c r="D173" t="s">
        <v>53</v>
      </c>
      <c r="E173" t="s">
        <v>58</v>
      </c>
      <c r="F173">
        <v>1</v>
      </c>
      <c r="G173">
        <v>441.38</v>
      </c>
      <c r="H173">
        <v>441.38</v>
      </c>
      <c r="I173" t="s">
        <v>525</v>
      </c>
      <c r="J173" t="str">
        <f t="shared" si="4"/>
        <v>Average😒</v>
      </c>
      <c r="K173" s="6" t="str">
        <f t="shared" si="5"/>
        <v>Restock</v>
      </c>
    </row>
    <row r="174" spans="1:11" x14ac:dyDescent="0.3">
      <c r="A174">
        <v>173</v>
      </c>
      <c r="B174" s="6">
        <v>45058</v>
      </c>
      <c r="C174" t="s">
        <v>34</v>
      </c>
      <c r="D174" t="s">
        <v>51</v>
      </c>
      <c r="E174" t="s">
        <v>63</v>
      </c>
      <c r="F174">
        <v>7</v>
      </c>
      <c r="G174">
        <v>493.14</v>
      </c>
      <c r="H174">
        <v>3451.98</v>
      </c>
      <c r="I174" t="s">
        <v>521</v>
      </c>
      <c r="J174" t="str">
        <f t="shared" si="4"/>
        <v>Excellent👍</v>
      </c>
      <c r="K174" s="6" t="str">
        <f t="shared" si="5"/>
        <v>Remain</v>
      </c>
    </row>
    <row r="175" spans="1:11" x14ac:dyDescent="0.3">
      <c r="A175">
        <v>174</v>
      </c>
      <c r="B175" s="6">
        <v>45201</v>
      </c>
      <c r="C175" t="s">
        <v>35</v>
      </c>
      <c r="D175" t="s">
        <v>42</v>
      </c>
      <c r="E175" t="s">
        <v>43</v>
      </c>
      <c r="F175">
        <v>4</v>
      </c>
      <c r="G175">
        <v>194.37</v>
      </c>
      <c r="H175">
        <v>777.48</v>
      </c>
      <c r="I175" t="s">
        <v>522</v>
      </c>
      <c r="J175" t="str">
        <f t="shared" si="4"/>
        <v>Average😒</v>
      </c>
      <c r="K175" s="6" t="str">
        <f t="shared" si="5"/>
        <v>Restock</v>
      </c>
    </row>
    <row r="176" spans="1:11" x14ac:dyDescent="0.3">
      <c r="A176">
        <v>175</v>
      </c>
      <c r="B176" s="6">
        <v>45128</v>
      </c>
      <c r="C176" t="s">
        <v>33</v>
      </c>
      <c r="D176" t="s">
        <v>53</v>
      </c>
      <c r="E176" t="s">
        <v>58</v>
      </c>
      <c r="F176">
        <v>6</v>
      </c>
      <c r="G176">
        <v>355.49</v>
      </c>
      <c r="H176">
        <v>2132.94</v>
      </c>
      <c r="I176" t="s">
        <v>521</v>
      </c>
      <c r="J176" t="str">
        <f t="shared" si="4"/>
        <v>Excellent👍</v>
      </c>
      <c r="K176" s="6" t="str">
        <f t="shared" si="5"/>
        <v>Remain</v>
      </c>
    </row>
    <row r="177" spans="1:11" x14ac:dyDescent="0.3">
      <c r="A177">
        <v>176</v>
      </c>
      <c r="B177" s="6">
        <v>45099</v>
      </c>
      <c r="C177" t="s">
        <v>35</v>
      </c>
      <c r="D177" t="s">
        <v>53</v>
      </c>
      <c r="E177" t="s">
        <v>58</v>
      </c>
      <c r="F177">
        <v>3</v>
      </c>
      <c r="G177">
        <v>64.489999999999995</v>
      </c>
      <c r="H177">
        <v>193.47</v>
      </c>
      <c r="I177" t="s">
        <v>524</v>
      </c>
      <c r="J177" t="str">
        <f t="shared" si="4"/>
        <v>Average😒</v>
      </c>
      <c r="K177" s="6" t="str">
        <f t="shared" si="5"/>
        <v>Restock</v>
      </c>
    </row>
    <row r="178" spans="1:11" x14ac:dyDescent="0.3">
      <c r="A178">
        <v>177</v>
      </c>
      <c r="B178" s="6">
        <v>44984</v>
      </c>
      <c r="C178" t="s">
        <v>35</v>
      </c>
      <c r="D178" t="s">
        <v>53</v>
      </c>
      <c r="E178" t="s">
        <v>54</v>
      </c>
      <c r="F178">
        <v>2</v>
      </c>
      <c r="G178">
        <v>239.64</v>
      </c>
      <c r="H178">
        <v>479.28</v>
      </c>
      <c r="I178" t="s">
        <v>524</v>
      </c>
      <c r="J178" t="str">
        <f t="shared" si="4"/>
        <v>Average😒</v>
      </c>
      <c r="K178" s="6" t="str">
        <f t="shared" si="5"/>
        <v>Restock</v>
      </c>
    </row>
    <row r="179" spans="1:11" x14ac:dyDescent="0.3">
      <c r="A179">
        <v>178</v>
      </c>
      <c r="B179" s="6">
        <v>45243</v>
      </c>
      <c r="C179" t="s">
        <v>34</v>
      </c>
      <c r="D179" t="s">
        <v>51</v>
      </c>
      <c r="E179" t="s">
        <v>63</v>
      </c>
      <c r="F179">
        <v>4</v>
      </c>
      <c r="G179">
        <v>68.22</v>
      </c>
      <c r="H179">
        <v>272.88</v>
      </c>
      <c r="I179" t="s">
        <v>522</v>
      </c>
      <c r="J179" t="str">
        <f t="shared" si="4"/>
        <v>Average😒</v>
      </c>
      <c r="K179" s="6" t="str">
        <f t="shared" si="5"/>
        <v>Restock</v>
      </c>
    </row>
    <row r="180" spans="1:11" x14ac:dyDescent="0.3">
      <c r="A180">
        <v>179</v>
      </c>
      <c r="B180" s="6">
        <v>45274</v>
      </c>
      <c r="C180" t="s">
        <v>34</v>
      </c>
      <c r="D180" t="s">
        <v>51</v>
      </c>
      <c r="E180" t="s">
        <v>52</v>
      </c>
      <c r="F180">
        <v>9</v>
      </c>
      <c r="G180">
        <v>374.66</v>
      </c>
      <c r="H180">
        <v>3371.94</v>
      </c>
      <c r="I180" t="s">
        <v>524</v>
      </c>
      <c r="J180" t="str">
        <f t="shared" si="4"/>
        <v>Excellent👍</v>
      </c>
      <c r="K180" s="6" t="str">
        <f t="shared" si="5"/>
        <v>Remain</v>
      </c>
    </row>
    <row r="181" spans="1:11" x14ac:dyDescent="0.3">
      <c r="A181">
        <v>180</v>
      </c>
      <c r="B181" s="6">
        <v>45238</v>
      </c>
      <c r="C181" t="s">
        <v>33</v>
      </c>
      <c r="D181" t="s">
        <v>42</v>
      </c>
      <c r="E181" t="s">
        <v>41</v>
      </c>
      <c r="F181">
        <v>9</v>
      </c>
      <c r="G181">
        <v>193.69</v>
      </c>
      <c r="H181">
        <v>1743.21</v>
      </c>
      <c r="I181" t="s">
        <v>525</v>
      </c>
      <c r="J181" t="str">
        <f t="shared" si="4"/>
        <v>Average😒</v>
      </c>
      <c r="K181" s="6" t="str">
        <f t="shared" si="5"/>
        <v>Remain</v>
      </c>
    </row>
    <row r="182" spans="1:11" x14ac:dyDescent="0.3">
      <c r="A182">
        <v>181</v>
      </c>
      <c r="B182" s="6">
        <v>45060</v>
      </c>
      <c r="C182" t="s">
        <v>35</v>
      </c>
      <c r="D182" t="s">
        <v>51</v>
      </c>
      <c r="E182" t="s">
        <v>65</v>
      </c>
      <c r="F182">
        <v>1</v>
      </c>
      <c r="G182">
        <v>119.56</v>
      </c>
      <c r="H182">
        <v>119.56</v>
      </c>
      <c r="I182" t="s">
        <v>523</v>
      </c>
      <c r="J182" t="str">
        <f t="shared" si="4"/>
        <v>Average😒</v>
      </c>
      <c r="K182" s="6" t="str">
        <f t="shared" si="5"/>
        <v>Restock</v>
      </c>
    </row>
    <row r="183" spans="1:11" x14ac:dyDescent="0.3">
      <c r="A183">
        <v>182</v>
      </c>
      <c r="B183" s="6">
        <v>45139</v>
      </c>
      <c r="C183" t="s">
        <v>36</v>
      </c>
      <c r="D183" t="s">
        <v>51</v>
      </c>
      <c r="E183" t="s">
        <v>55</v>
      </c>
      <c r="F183">
        <v>5</v>
      </c>
      <c r="G183">
        <v>31.27</v>
      </c>
      <c r="H183">
        <v>156.35</v>
      </c>
      <c r="I183" t="s">
        <v>525</v>
      </c>
      <c r="J183" t="str">
        <f t="shared" si="4"/>
        <v>Average😒</v>
      </c>
      <c r="K183" s="6" t="str">
        <f t="shared" si="5"/>
        <v>Remain</v>
      </c>
    </row>
    <row r="184" spans="1:11" x14ac:dyDescent="0.3">
      <c r="A184">
        <v>183</v>
      </c>
      <c r="B184" s="6">
        <v>45073</v>
      </c>
      <c r="C184" t="s">
        <v>36</v>
      </c>
      <c r="D184" t="s">
        <v>42</v>
      </c>
      <c r="E184" t="s">
        <v>43</v>
      </c>
      <c r="F184">
        <v>5</v>
      </c>
      <c r="G184">
        <v>133.97</v>
      </c>
      <c r="H184">
        <v>669.85</v>
      </c>
      <c r="I184" t="s">
        <v>522</v>
      </c>
      <c r="J184" t="str">
        <f t="shared" si="4"/>
        <v>Average😒</v>
      </c>
      <c r="K184" s="6" t="str">
        <f t="shared" si="5"/>
        <v>Remain</v>
      </c>
    </row>
    <row r="185" spans="1:11" x14ac:dyDescent="0.3">
      <c r="A185">
        <v>184</v>
      </c>
      <c r="B185" s="6">
        <v>44973</v>
      </c>
      <c r="C185" t="s">
        <v>35</v>
      </c>
      <c r="D185" t="s">
        <v>51</v>
      </c>
      <c r="E185" t="s">
        <v>55</v>
      </c>
      <c r="F185">
        <v>4</v>
      </c>
      <c r="G185">
        <v>46.96</v>
      </c>
      <c r="H185">
        <v>187.84</v>
      </c>
      <c r="I185" t="s">
        <v>522</v>
      </c>
      <c r="J185" t="str">
        <f t="shared" si="4"/>
        <v>Average😒</v>
      </c>
      <c r="K185" s="6" t="str">
        <f t="shared" si="5"/>
        <v>Restock</v>
      </c>
    </row>
    <row r="186" spans="1:11" x14ac:dyDescent="0.3">
      <c r="A186">
        <v>185</v>
      </c>
      <c r="B186" s="6">
        <v>45069</v>
      </c>
      <c r="C186" t="s">
        <v>34</v>
      </c>
      <c r="D186" t="s">
        <v>42</v>
      </c>
      <c r="E186" t="s">
        <v>41</v>
      </c>
      <c r="F186">
        <v>9</v>
      </c>
      <c r="G186">
        <v>116.24</v>
      </c>
      <c r="H186">
        <v>1046.1600000000001</v>
      </c>
      <c r="I186" t="s">
        <v>525</v>
      </c>
      <c r="J186" t="str">
        <f t="shared" si="4"/>
        <v>Average😒</v>
      </c>
      <c r="K186" s="6" t="str">
        <f t="shared" si="5"/>
        <v>Remain</v>
      </c>
    </row>
    <row r="187" spans="1:11" x14ac:dyDescent="0.3">
      <c r="A187">
        <v>186</v>
      </c>
      <c r="B187" s="6">
        <v>45185</v>
      </c>
      <c r="C187" t="s">
        <v>36</v>
      </c>
      <c r="D187" t="s">
        <v>53</v>
      </c>
      <c r="E187" t="s">
        <v>54</v>
      </c>
      <c r="F187">
        <v>1</v>
      </c>
      <c r="G187">
        <v>317.5</v>
      </c>
      <c r="H187">
        <v>317.5</v>
      </c>
      <c r="I187" t="s">
        <v>525</v>
      </c>
      <c r="J187" t="str">
        <f t="shared" si="4"/>
        <v>Average😒</v>
      </c>
      <c r="K187" s="6" t="str">
        <f t="shared" si="5"/>
        <v>Restock</v>
      </c>
    </row>
    <row r="188" spans="1:11" x14ac:dyDescent="0.3">
      <c r="A188">
        <v>187</v>
      </c>
      <c r="B188" s="6">
        <v>44938</v>
      </c>
      <c r="C188" t="s">
        <v>36</v>
      </c>
      <c r="D188" t="s">
        <v>51</v>
      </c>
      <c r="E188" t="s">
        <v>65</v>
      </c>
      <c r="F188">
        <v>7</v>
      </c>
      <c r="G188">
        <v>32.270000000000003</v>
      </c>
      <c r="H188">
        <v>225.89</v>
      </c>
      <c r="I188" t="s">
        <v>523</v>
      </c>
      <c r="J188" t="str">
        <f t="shared" si="4"/>
        <v>Average😒</v>
      </c>
      <c r="K188" s="6" t="str">
        <f t="shared" si="5"/>
        <v>Remain</v>
      </c>
    </row>
    <row r="189" spans="1:11" x14ac:dyDescent="0.3">
      <c r="A189">
        <v>188</v>
      </c>
      <c r="B189" s="6">
        <v>45082</v>
      </c>
      <c r="C189" t="s">
        <v>36</v>
      </c>
      <c r="D189" t="s">
        <v>53</v>
      </c>
      <c r="E189" t="s">
        <v>60</v>
      </c>
      <c r="F189">
        <v>8</v>
      </c>
      <c r="G189">
        <v>203.32</v>
      </c>
      <c r="H189">
        <v>1626.56</v>
      </c>
      <c r="I189" t="s">
        <v>523</v>
      </c>
      <c r="J189" t="str">
        <f t="shared" si="4"/>
        <v>Average😒</v>
      </c>
      <c r="K189" s="6" t="str">
        <f t="shared" si="5"/>
        <v>Remain</v>
      </c>
    </row>
    <row r="190" spans="1:11" x14ac:dyDescent="0.3">
      <c r="A190">
        <v>189</v>
      </c>
      <c r="B190" s="6">
        <v>45274</v>
      </c>
      <c r="C190" t="s">
        <v>35</v>
      </c>
      <c r="D190" t="s">
        <v>51</v>
      </c>
      <c r="E190" t="s">
        <v>55</v>
      </c>
      <c r="F190">
        <v>5</v>
      </c>
      <c r="G190">
        <v>145.91999999999999</v>
      </c>
      <c r="H190">
        <v>729.59999999999991</v>
      </c>
      <c r="I190" t="s">
        <v>520</v>
      </c>
      <c r="J190" t="str">
        <f t="shared" si="4"/>
        <v>Average😒</v>
      </c>
      <c r="K190" s="6" t="str">
        <f t="shared" si="5"/>
        <v>Remain</v>
      </c>
    </row>
    <row r="191" spans="1:11" x14ac:dyDescent="0.3">
      <c r="A191">
        <v>190</v>
      </c>
      <c r="B191" s="6">
        <v>45112</v>
      </c>
      <c r="C191" t="s">
        <v>35</v>
      </c>
      <c r="D191" t="s">
        <v>53</v>
      </c>
      <c r="E191" t="s">
        <v>54</v>
      </c>
      <c r="F191">
        <v>4</v>
      </c>
      <c r="G191">
        <v>237.21</v>
      </c>
      <c r="H191">
        <v>948.84</v>
      </c>
      <c r="I191" t="s">
        <v>519</v>
      </c>
      <c r="J191" t="str">
        <f t="shared" si="4"/>
        <v>Average😒</v>
      </c>
      <c r="K191" s="6" t="str">
        <f t="shared" si="5"/>
        <v>Restock</v>
      </c>
    </row>
    <row r="192" spans="1:11" x14ac:dyDescent="0.3">
      <c r="A192">
        <v>191</v>
      </c>
      <c r="B192" s="6">
        <v>45283</v>
      </c>
      <c r="C192" t="s">
        <v>33</v>
      </c>
      <c r="D192" t="s">
        <v>53</v>
      </c>
      <c r="E192" t="s">
        <v>54</v>
      </c>
      <c r="F192">
        <v>2</v>
      </c>
      <c r="G192">
        <v>140.31</v>
      </c>
      <c r="H192">
        <v>280.62</v>
      </c>
      <c r="I192" t="s">
        <v>522</v>
      </c>
      <c r="J192" t="str">
        <f t="shared" si="4"/>
        <v>Average😒</v>
      </c>
      <c r="K192" s="6" t="str">
        <f t="shared" si="5"/>
        <v>Restock</v>
      </c>
    </row>
    <row r="193" spans="1:11" x14ac:dyDescent="0.3">
      <c r="A193">
        <v>192</v>
      </c>
      <c r="B193" s="6">
        <v>45071</v>
      </c>
      <c r="C193" t="s">
        <v>34</v>
      </c>
      <c r="D193" t="s">
        <v>51</v>
      </c>
      <c r="E193" t="s">
        <v>63</v>
      </c>
      <c r="F193">
        <v>9</v>
      </c>
      <c r="G193">
        <v>137.38</v>
      </c>
      <c r="H193">
        <v>1236.42</v>
      </c>
      <c r="I193" t="s">
        <v>519</v>
      </c>
      <c r="J193" t="str">
        <f t="shared" si="4"/>
        <v>Average😒</v>
      </c>
      <c r="K193" s="6" t="str">
        <f t="shared" si="5"/>
        <v>Remain</v>
      </c>
    </row>
    <row r="194" spans="1:11" x14ac:dyDescent="0.3">
      <c r="A194">
        <v>193</v>
      </c>
      <c r="B194" s="6">
        <v>45138</v>
      </c>
      <c r="C194" t="s">
        <v>35</v>
      </c>
      <c r="D194" t="s">
        <v>53</v>
      </c>
      <c r="E194" t="s">
        <v>58</v>
      </c>
      <c r="F194">
        <v>9</v>
      </c>
      <c r="G194">
        <v>161.66999999999999</v>
      </c>
      <c r="H194">
        <v>1455.03</v>
      </c>
      <c r="I194" t="s">
        <v>524</v>
      </c>
      <c r="J194" t="str">
        <f t="shared" si="4"/>
        <v>Average😒</v>
      </c>
      <c r="K194" s="6" t="str">
        <f t="shared" si="5"/>
        <v>Remain</v>
      </c>
    </row>
    <row r="195" spans="1:11" x14ac:dyDescent="0.3">
      <c r="A195">
        <v>194</v>
      </c>
      <c r="B195" s="6">
        <v>45008</v>
      </c>
      <c r="C195" t="s">
        <v>35</v>
      </c>
      <c r="D195" t="s">
        <v>53</v>
      </c>
      <c r="E195" t="s">
        <v>58</v>
      </c>
      <c r="F195">
        <v>3</v>
      </c>
      <c r="G195">
        <v>413.04</v>
      </c>
      <c r="H195">
        <v>1239.1199999999999</v>
      </c>
      <c r="I195" t="s">
        <v>525</v>
      </c>
      <c r="J195" t="str">
        <f t="shared" ref="J195:J258" si="6">IF(H195&gt;=2000,"Excellent👍","Average😒")</f>
        <v>Average😒</v>
      </c>
      <c r="K195" s="6" t="str">
        <f t="shared" ref="K195:K258" si="7">IF(F195&lt;5,"Restock","Remain")</f>
        <v>Restock</v>
      </c>
    </row>
    <row r="196" spans="1:11" x14ac:dyDescent="0.3">
      <c r="A196">
        <v>195</v>
      </c>
      <c r="B196" s="6">
        <v>45229</v>
      </c>
      <c r="C196" t="s">
        <v>36</v>
      </c>
      <c r="D196" t="s">
        <v>56</v>
      </c>
      <c r="E196" t="s">
        <v>62</v>
      </c>
      <c r="F196">
        <v>3</v>
      </c>
      <c r="G196">
        <v>365.6</v>
      </c>
      <c r="H196">
        <v>1096.8</v>
      </c>
      <c r="I196" t="s">
        <v>519</v>
      </c>
      <c r="J196" t="str">
        <f t="shared" si="6"/>
        <v>Average😒</v>
      </c>
      <c r="K196" s="6" t="str">
        <f t="shared" si="7"/>
        <v>Restock</v>
      </c>
    </row>
    <row r="197" spans="1:11" x14ac:dyDescent="0.3">
      <c r="A197">
        <v>196</v>
      </c>
      <c r="B197" s="6">
        <v>45238</v>
      </c>
      <c r="C197" t="s">
        <v>33</v>
      </c>
      <c r="D197" t="s">
        <v>53</v>
      </c>
      <c r="E197" t="s">
        <v>60</v>
      </c>
      <c r="F197">
        <v>9</v>
      </c>
      <c r="G197">
        <v>214.94</v>
      </c>
      <c r="H197">
        <v>1934.46</v>
      </c>
      <c r="I197" t="s">
        <v>521</v>
      </c>
      <c r="J197" t="str">
        <f t="shared" si="6"/>
        <v>Average😒</v>
      </c>
      <c r="K197" s="6" t="str">
        <f t="shared" si="7"/>
        <v>Remain</v>
      </c>
    </row>
    <row r="198" spans="1:11" x14ac:dyDescent="0.3">
      <c r="A198">
        <v>197</v>
      </c>
      <c r="B198" s="6">
        <v>44931</v>
      </c>
      <c r="C198" t="s">
        <v>33</v>
      </c>
      <c r="D198" t="s">
        <v>51</v>
      </c>
      <c r="E198" t="s">
        <v>63</v>
      </c>
      <c r="F198">
        <v>2</v>
      </c>
      <c r="G198">
        <v>280.27999999999997</v>
      </c>
      <c r="H198">
        <v>560.55999999999995</v>
      </c>
      <c r="I198" t="s">
        <v>525</v>
      </c>
      <c r="J198" t="str">
        <f t="shared" si="6"/>
        <v>Average😒</v>
      </c>
      <c r="K198" s="6" t="str">
        <f t="shared" si="7"/>
        <v>Restock</v>
      </c>
    </row>
    <row r="199" spans="1:11" x14ac:dyDescent="0.3">
      <c r="A199">
        <v>198</v>
      </c>
      <c r="B199" s="6">
        <v>44991</v>
      </c>
      <c r="C199" t="s">
        <v>34</v>
      </c>
      <c r="D199" t="s">
        <v>51</v>
      </c>
      <c r="E199" t="s">
        <v>65</v>
      </c>
      <c r="F199">
        <v>7</v>
      </c>
      <c r="G199">
        <v>211.52</v>
      </c>
      <c r="H199">
        <v>1480.64</v>
      </c>
      <c r="I199" t="s">
        <v>524</v>
      </c>
      <c r="J199" t="str">
        <f t="shared" si="6"/>
        <v>Average😒</v>
      </c>
      <c r="K199" s="6" t="str">
        <f t="shared" si="7"/>
        <v>Remain</v>
      </c>
    </row>
    <row r="200" spans="1:11" x14ac:dyDescent="0.3">
      <c r="A200">
        <v>199</v>
      </c>
      <c r="B200" s="6">
        <v>45103</v>
      </c>
      <c r="C200" t="s">
        <v>36</v>
      </c>
      <c r="D200" t="s">
        <v>53</v>
      </c>
      <c r="E200" t="s">
        <v>64</v>
      </c>
      <c r="F200">
        <v>2</v>
      </c>
      <c r="G200">
        <v>493.77</v>
      </c>
      <c r="H200">
        <v>987.54</v>
      </c>
      <c r="I200" t="s">
        <v>521</v>
      </c>
      <c r="J200" t="str">
        <f t="shared" si="6"/>
        <v>Average😒</v>
      </c>
      <c r="K200" s="6" t="str">
        <f t="shared" si="7"/>
        <v>Restock</v>
      </c>
    </row>
    <row r="201" spans="1:11" x14ac:dyDescent="0.3">
      <c r="A201">
        <v>200</v>
      </c>
      <c r="B201" s="6">
        <v>45143</v>
      </c>
      <c r="C201" t="s">
        <v>36</v>
      </c>
      <c r="D201" t="s">
        <v>53</v>
      </c>
      <c r="E201" t="s">
        <v>54</v>
      </c>
      <c r="F201">
        <v>5</v>
      </c>
      <c r="G201">
        <v>377.29</v>
      </c>
      <c r="H201">
        <v>1886.45</v>
      </c>
      <c r="I201" t="s">
        <v>520</v>
      </c>
      <c r="J201" t="str">
        <f t="shared" si="6"/>
        <v>Average😒</v>
      </c>
      <c r="K201" s="6" t="str">
        <f t="shared" si="7"/>
        <v>Remain</v>
      </c>
    </row>
    <row r="202" spans="1:11" x14ac:dyDescent="0.3">
      <c r="A202">
        <v>201</v>
      </c>
      <c r="B202" s="6">
        <v>45103</v>
      </c>
      <c r="C202" t="s">
        <v>34</v>
      </c>
      <c r="D202" t="s">
        <v>56</v>
      </c>
      <c r="E202" t="s">
        <v>57</v>
      </c>
      <c r="F202">
        <v>6</v>
      </c>
      <c r="G202">
        <v>416.29</v>
      </c>
      <c r="H202">
        <v>2497.7399999999998</v>
      </c>
      <c r="I202" t="s">
        <v>520</v>
      </c>
      <c r="J202" t="str">
        <f t="shared" si="6"/>
        <v>Excellent👍</v>
      </c>
      <c r="K202" s="6" t="str">
        <f t="shared" si="7"/>
        <v>Remain</v>
      </c>
    </row>
    <row r="203" spans="1:11" x14ac:dyDescent="0.3">
      <c r="A203">
        <v>202</v>
      </c>
      <c r="B203" s="6">
        <v>45025</v>
      </c>
      <c r="C203" t="s">
        <v>34</v>
      </c>
      <c r="D203" t="s">
        <v>51</v>
      </c>
      <c r="E203" t="s">
        <v>52</v>
      </c>
      <c r="F203">
        <v>1</v>
      </c>
      <c r="G203">
        <v>239.66</v>
      </c>
      <c r="H203">
        <v>239.66</v>
      </c>
      <c r="I203" t="s">
        <v>524</v>
      </c>
      <c r="J203" t="str">
        <f t="shared" si="6"/>
        <v>Average😒</v>
      </c>
      <c r="K203" s="6" t="str">
        <f t="shared" si="7"/>
        <v>Restock</v>
      </c>
    </row>
    <row r="204" spans="1:11" x14ac:dyDescent="0.3">
      <c r="A204">
        <v>203</v>
      </c>
      <c r="B204" s="6">
        <v>45237</v>
      </c>
      <c r="C204" t="s">
        <v>36</v>
      </c>
      <c r="D204" t="s">
        <v>42</v>
      </c>
      <c r="E204" t="s">
        <v>50</v>
      </c>
      <c r="F204">
        <v>1</v>
      </c>
      <c r="G204">
        <v>16.7</v>
      </c>
      <c r="H204">
        <v>16.7</v>
      </c>
      <c r="I204" t="s">
        <v>525</v>
      </c>
      <c r="J204" t="str">
        <f t="shared" si="6"/>
        <v>Average😒</v>
      </c>
      <c r="K204" s="6" t="str">
        <f t="shared" si="7"/>
        <v>Restock</v>
      </c>
    </row>
    <row r="205" spans="1:11" x14ac:dyDescent="0.3">
      <c r="A205">
        <v>204</v>
      </c>
      <c r="B205" s="6">
        <v>45123</v>
      </c>
      <c r="C205" t="s">
        <v>34</v>
      </c>
      <c r="D205" t="s">
        <v>42</v>
      </c>
      <c r="E205" t="s">
        <v>66</v>
      </c>
      <c r="F205">
        <v>6</v>
      </c>
      <c r="G205">
        <v>348.94</v>
      </c>
      <c r="H205">
        <v>2093.64</v>
      </c>
      <c r="I205" t="s">
        <v>521</v>
      </c>
      <c r="J205" t="str">
        <f t="shared" si="6"/>
        <v>Excellent👍</v>
      </c>
      <c r="K205" s="6" t="str">
        <f t="shared" si="7"/>
        <v>Remain</v>
      </c>
    </row>
    <row r="206" spans="1:11" x14ac:dyDescent="0.3">
      <c r="A206">
        <v>205</v>
      </c>
      <c r="B206" s="6">
        <v>44949</v>
      </c>
      <c r="C206" t="s">
        <v>33</v>
      </c>
      <c r="D206" t="s">
        <v>56</v>
      </c>
      <c r="E206" t="s">
        <v>59</v>
      </c>
      <c r="F206">
        <v>5</v>
      </c>
      <c r="G206">
        <v>498.35</v>
      </c>
      <c r="H206">
        <v>2491.75</v>
      </c>
      <c r="I206" t="s">
        <v>520</v>
      </c>
      <c r="J206" t="str">
        <f t="shared" si="6"/>
        <v>Excellent👍</v>
      </c>
      <c r="K206" s="6" t="str">
        <f t="shared" si="7"/>
        <v>Remain</v>
      </c>
    </row>
    <row r="207" spans="1:11" x14ac:dyDescent="0.3">
      <c r="A207">
        <v>206</v>
      </c>
      <c r="B207" s="6">
        <v>45128</v>
      </c>
      <c r="C207" t="s">
        <v>35</v>
      </c>
      <c r="D207" t="s">
        <v>53</v>
      </c>
      <c r="E207" t="s">
        <v>64</v>
      </c>
      <c r="F207">
        <v>5</v>
      </c>
      <c r="G207">
        <v>365.8</v>
      </c>
      <c r="H207">
        <v>1829</v>
      </c>
      <c r="I207" t="s">
        <v>519</v>
      </c>
      <c r="J207" t="str">
        <f t="shared" si="6"/>
        <v>Average😒</v>
      </c>
      <c r="K207" s="6" t="str">
        <f t="shared" si="7"/>
        <v>Remain</v>
      </c>
    </row>
    <row r="208" spans="1:11" x14ac:dyDescent="0.3">
      <c r="A208">
        <v>207</v>
      </c>
      <c r="B208" s="6">
        <v>45004</v>
      </c>
      <c r="C208" t="s">
        <v>35</v>
      </c>
      <c r="D208" t="s">
        <v>42</v>
      </c>
      <c r="E208" t="s">
        <v>43</v>
      </c>
      <c r="F208">
        <v>3</v>
      </c>
      <c r="G208">
        <v>131.19999999999999</v>
      </c>
      <c r="H208">
        <v>393.6</v>
      </c>
      <c r="I208" t="s">
        <v>525</v>
      </c>
      <c r="J208" t="str">
        <f t="shared" si="6"/>
        <v>Average😒</v>
      </c>
      <c r="K208" s="6" t="str">
        <f t="shared" si="7"/>
        <v>Restock</v>
      </c>
    </row>
    <row r="209" spans="1:11" x14ac:dyDescent="0.3">
      <c r="A209">
        <v>208</v>
      </c>
      <c r="B209" s="6">
        <v>44977</v>
      </c>
      <c r="C209" t="s">
        <v>34</v>
      </c>
      <c r="D209" t="s">
        <v>53</v>
      </c>
      <c r="E209" t="s">
        <v>58</v>
      </c>
      <c r="F209">
        <v>9</v>
      </c>
      <c r="G209">
        <v>73.290000000000006</v>
      </c>
      <c r="H209">
        <v>659.61</v>
      </c>
      <c r="I209" t="s">
        <v>523</v>
      </c>
      <c r="J209" t="str">
        <f t="shared" si="6"/>
        <v>Average😒</v>
      </c>
      <c r="K209" s="6" t="str">
        <f t="shared" si="7"/>
        <v>Remain</v>
      </c>
    </row>
    <row r="210" spans="1:11" x14ac:dyDescent="0.3">
      <c r="A210">
        <v>209</v>
      </c>
      <c r="B210" s="6">
        <v>45214</v>
      </c>
      <c r="C210" t="s">
        <v>34</v>
      </c>
      <c r="D210" t="s">
        <v>56</v>
      </c>
      <c r="E210" t="s">
        <v>62</v>
      </c>
      <c r="F210">
        <v>4</v>
      </c>
      <c r="G210">
        <v>122.03</v>
      </c>
      <c r="H210">
        <v>488.12</v>
      </c>
      <c r="I210" t="s">
        <v>523</v>
      </c>
      <c r="J210" t="str">
        <f t="shared" si="6"/>
        <v>Average😒</v>
      </c>
      <c r="K210" s="6" t="str">
        <f t="shared" si="7"/>
        <v>Restock</v>
      </c>
    </row>
    <row r="211" spans="1:11" x14ac:dyDescent="0.3">
      <c r="A211">
        <v>210</v>
      </c>
      <c r="B211" s="6">
        <v>44998</v>
      </c>
      <c r="C211" t="s">
        <v>34</v>
      </c>
      <c r="D211" t="s">
        <v>53</v>
      </c>
      <c r="E211" t="s">
        <v>58</v>
      </c>
      <c r="F211">
        <v>2</v>
      </c>
      <c r="G211">
        <v>185.5</v>
      </c>
      <c r="H211">
        <v>371</v>
      </c>
      <c r="I211" t="s">
        <v>522</v>
      </c>
      <c r="J211" t="str">
        <f t="shared" si="6"/>
        <v>Average😒</v>
      </c>
      <c r="K211" s="6" t="str">
        <f t="shared" si="7"/>
        <v>Restock</v>
      </c>
    </row>
    <row r="212" spans="1:11" x14ac:dyDescent="0.3">
      <c r="A212">
        <v>211</v>
      </c>
      <c r="B212" s="6">
        <v>45088</v>
      </c>
      <c r="C212" t="s">
        <v>33</v>
      </c>
      <c r="D212" t="s">
        <v>42</v>
      </c>
      <c r="E212" t="s">
        <v>41</v>
      </c>
      <c r="F212">
        <v>7</v>
      </c>
      <c r="G212">
        <v>339.07</v>
      </c>
      <c r="H212">
        <v>2373.4899999999998</v>
      </c>
      <c r="I212" t="s">
        <v>522</v>
      </c>
      <c r="J212" t="str">
        <f t="shared" si="6"/>
        <v>Excellent👍</v>
      </c>
      <c r="K212" s="6" t="str">
        <f t="shared" si="7"/>
        <v>Remain</v>
      </c>
    </row>
    <row r="213" spans="1:11" x14ac:dyDescent="0.3">
      <c r="A213">
        <v>212</v>
      </c>
      <c r="B213" s="6">
        <v>45232</v>
      </c>
      <c r="C213" t="s">
        <v>34</v>
      </c>
      <c r="D213" t="s">
        <v>56</v>
      </c>
      <c r="E213" t="s">
        <v>61</v>
      </c>
      <c r="F213">
        <v>6</v>
      </c>
      <c r="G213">
        <v>388.44</v>
      </c>
      <c r="H213">
        <v>2330.64</v>
      </c>
      <c r="I213" t="s">
        <v>524</v>
      </c>
      <c r="J213" t="str">
        <f t="shared" si="6"/>
        <v>Excellent👍</v>
      </c>
      <c r="K213" s="6" t="str">
        <f t="shared" si="7"/>
        <v>Remain</v>
      </c>
    </row>
    <row r="214" spans="1:11" x14ac:dyDescent="0.3">
      <c r="A214">
        <v>213</v>
      </c>
      <c r="B214" s="6">
        <v>45148</v>
      </c>
      <c r="C214" t="s">
        <v>36</v>
      </c>
      <c r="D214" t="s">
        <v>53</v>
      </c>
      <c r="E214" t="s">
        <v>64</v>
      </c>
      <c r="F214">
        <v>1</v>
      </c>
      <c r="G214">
        <v>280.43</v>
      </c>
      <c r="H214">
        <v>280.43</v>
      </c>
      <c r="I214" t="s">
        <v>523</v>
      </c>
      <c r="J214" t="str">
        <f t="shared" si="6"/>
        <v>Average😒</v>
      </c>
      <c r="K214" s="6" t="str">
        <f t="shared" si="7"/>
        <v>Restock</v>
      </c>
    </row>
    <row r="215" spans="1:11" x14ac:dyDescent="0.3">
      <c r="A215">
        <v>214</v>
      </c>
      <c r="B215" s="6">
        <v>45181</v>
      </c>
      <c r="C215" t="s">
        <v>36</v>
      </c>
      <c r="D215" t="s">
        <v>53</v>
      </c>
      <c r="E215" t="s">
        <v>64</v>
      </c>
      <c r="F215">
        <v>9</v>
      </c>
      <c r="G215">
        <v>299.08</v>
      </c>
      <c r="H215">
        <v>2691.72</v>
      </c>
      <c r="I215" t="s">
        <v>524</v>
      </c>
      <c r="J215" t="str">
        <f t="shared" si="6"/>
        <v>Excellent👍</v>
      </c>
      <c r="K215" s="6" t="str">
        <f t="shared" si="7"/>
        <v>Remain</v>
      </c>
    </row>
    <row r="216" spans="1:11" x14ac:dyDescent="0.3">
      <c r="A216">
        <v>215</v>
      </c>
      <c r="B216" s="6">
        <v>45267</v>
      </c>
      <c r="C216" t="s">
        <v>33</v>
      </c>
      <c r="D216" t="s">
        <v>51</v>
      </c>
      <c r="E216" t="s">
        <v>65</v>
      </c>
      <c r="F216">
        <v>7</v>
      </c>
      <c r="G216">
        <v>380.02</v>
      </c>
      <c r="H216">
        <v>2660.14</v>
      </c>
      <c r="I216" t="s">
        <v>522</v>
      </c>
      <c r="J216" t="str">
        <f t="shared" si="6"/>
        <v>Excellent👍</v>
      </c>
      <c r="K216" s="6" t="str">
        <f t="shared" si="7"/>
        <v>Remain</v>
      </c>
    </row>
    <row r="217" spans="1:11" x14ac:dyDescent="0.3">
      <c r="A217">
        <v>216</v>
      </c>
      <c r="B217" s="6">
        <v>45029</v>
      </c>
      <c r="C217" t="s">
        <v>33</v>
      </c>
      <c r="D217" t="s">
        <v>42</v>
      </c>
      <c r="E217" t="s">
        <v>66</v>
      </c>
      <c r="F217">
        <v>2</v>
      </c>
      <c r="G217">
        <v>404.47</v>
      </c>
      <c r="H217">
        <v>808.94</v>
      </c>
      <c r="I217" t="s">
        <v>521</v>
      </c>
      <c r="J217" t="str">
        <f t="shared" si="6"/>
        <v>Average😒</v>
      </c>
      <c r="K217" s="6" t="str">
        <f t="shared" si="7"/>
        <v>Restock</v>
      </c>
    </row>
    <row r="218" spans="1:11" x14ac:dyDescent="0.3">
      <c r="A218">
        <v>217</v>
      </c>
      <c r="B218" s="6">
        <v>45152</v>
      </c>
      <c r="C218" t="s">
        <v>35</v>
      </c>
      <c r="D218" t="s">
        <v>53</v>
      </c>
      <c r="E218" t="s">
        <v>58</v>
      </c>
      <c r="F218">
        <v>6</v>
      </c>
      <c r="G218">
        <v>312.45999999999998</v>
      </c>
      <c r="H218">
        <v>1874.76</v>
      </c>
      <c r="I218" t="s">
        <v>525</v>
      </c>
      <c r="J218" t="str">
        <f t="shared" si="6"/>
        <v>Average😒</v>
      </c>
      <c r="K218" s="6" t="str">
        <f t="shared" si="7"/>
        <v>Remain</v>
      </c>
    </row>
    <row r="219" spans="1:11" x14ac:dyDescent="0.3">
      <c r="A219">
        <v>218</v>
      </c>
      <c r="B219" s="6">
        <v>45264</v>
      </c>
      <c r="C219" t="s">
        <v>33</v>
      </c>
      <c r="D219" t="s">
        <v>53</v>
      </c>
      <c r="E219" t="s">
        <v>58</v>
      </c>
      <c r="F219">
        <v>6</v>
      </c>
      <c r="G219">
        <v>307.95999999999998</v>
      </c>
      <c r="H219">
        <v>1847.76</v>
      </c>
      <c r="I219" t="s">
        <v>519</v>
      </c>
      <c r="J219" t="str">
        <f t="shared" si="6"/>
        <v>Average😒</v>
      </c>
      <c r="K219" s="6" t="str">
        <f t="shared" si="7"/>
        <v>Remain</v>
      </c>
    </row>
    <row r="220" spans="1:11" x14ac:dyDescent="0.3">
      <c r="A220">
        <v>219</v>
      </c>
      <c r="B220" s="6">
        <v>45234</v>
      </c>
      <c r="C220" t="s">
        <v>34</v>
      </c>
      <c r="D220" t="s">
        <v>53</v>
      </c>
      <c r="E220" t="s">
        <v>60</v>
      </c>
      <c r="F220">
        <v>3</v>
      </c>
      <c r="G220">
        <v>453.04</v>
      </c>
      <c r="H220">
        <v>1359.12</v>
      </c>
      <c r="I220" t="s">
        <v>523</v>
      </c>
      <c r="J220" t="str">
        <f t="shared" si="6"/>
        <v>Average😒</v>
      </c>
      <c r="K220" s="6" t="str">
        <f t="shared" si="7"/>
        <v>Restock</v>
      </c>
    </row>
    <row r="221" spans="1:11" x14ac:dyDescent="0.3">
      <c r="A221">
        <v>220</v>
      </c>
      <c r="B221" s="6">
        <v>45261</v>
      </c>
      <c r="C221" t="s">
        <v>35</v>
      </c>
      <c r="D221" t="s">
        <v>56</v>
      </c>
      <c r="E221" t="s">
        <v>57</v>
      </c>
      <c r="F221">
        <v>9</v>
      </c>
      <c r="G221">
        <v>261.85000000000002</v>
      </c>
      <c r="H221">
        <v>2356.65</v>
      </c>
      <c r="I221" t="s">
        <v>521</v>
      </c>
      <c r="J221" t="str">
        <f t="shared" si="6"/>
        <v>Excellent👍</v>
      </c>
      <c r="K221" s="6" t="str">
        <f t="shared" si="7"/>
        <v>Remain</v>
      </c>
    </row>
    <row r="222" spans="1:11" x14ac:dyDescent="0.3">
      <c r="A222">
        <v>221</v>
      </c>
      <c r="B222" s="6">
        <v>45007</v>
      </c>
      <c r="C222" t="s">
        <v>34</v>
      </c>
      <c r="D222" t="s">
        <v>51</v>
      </c>
      <c r="E222" t="s">
        <v>65</v>
      </c>
      <c r="F222">
        <v>7</v>
      </c>
      <c r="G222">
        <v>266.57</v>
      </c>
      <c r="H222">
        <v>1865.99</v>
      </c>
      <c r="I222" t="s">
        <v>523</v>
      </c>
      <c r="J222" t="str">
        <f t="shared" si="6"/>
        <v>Average😒</v>
      </c>
      <c r="K222" s="6" t="str">
        <f t="shared" si="7"/>
        <v>Remain</v>
      </c>
    </row>
    <row r="223" spans="1:11" x14ac:dyDescent="0.3">
      <c r="A223">
        <v>222</v>
      </c>
      <c r="B223" s="6">
        <v>45064</v>
      </c>
      <c r="C223" t="s">
        <v>34</v>
      </c>
      <c r="D223" t="s">
        <v>42</v>
      </c>
      <c r="E223" t="s">
        <v>43</v>
      </c>
      <c r="F223">
        <v>5</v>
      </c>
      <c r="G223">
        <v>400.27</v>
      </c>
      <c r="H223">
        <v>2001.35</v>
      </c>
      <c r="I223" t="s">
        <v>523</v>
      </c>
      <c r="J223" t="str">
        <f t="shared" si="6"/>
        <v>Excellent👍</v>
      </c>
      <c r="K223" s="6" t="str">
        <f t="shared" si="7"/>
        <v>Remain</v>
      </c>
    </row>
    <row r="224" spans="1:11" x14ac:dyDescent="0.3">
      <c r="A224">
        <v>223</v>
      </c>
      <c r="B224" s="6">
        <v>45199</v>
      </c>
      <c r="C224" t="s">
        <v>36</v>
      </c>
      <c r="D224" t="s">
        <v>56</v>
      </c>
      <c r="E224" t="s">
        <v>59</v>
      </c>
      <c r="F224">
        <v>8</v>
      </c>
      <c r="G224">
        <v>422.62</v>
      </c>
      <c r="H224">
        <v>3380.96</v>
      </c>
      <c r="I224" t="s">
        <v>525</v>
      </c>
      <c r="J224" t="str">
        <f t="shared" si="6"/>
        <v>Excellent👍</v>
      </c>
      <c r="K224" s="6" t="str">
        <f t="shared" si="7"/>
        <v>Remain</v>
      </c>
    </row>
    <row r="225" spans="1:11" x14ac:dyDescent="0.3">
      <c r="A225">
        <v>224</v>
      </c>
      <c r="B225" s="6">
        <v>44960</v>
      </c>
      <c r="C225" t="s">
        <v>33</v>
      </c>
      <c r="D225" t="s">
        <v>51</v>
      </c>
      <c r="E225" t="s">
        <v>65</v>
      </c>
      <c r="F225">
        <v>4</v>
      </c>
      <c r="G225">
        <v>234.98</v>
      </c>
      <c r="H225">
        <v>939.92</v>
      </c>
      <c r="I225" t="s">
        <v>521</v>
      </c>
      <c r="J225" t="str">
        <f t="shared" si="6"/>
        <v>Average😒</v>
      </c>
      <c r="K225" s="6" t="str">
        <f t="shared" si="7"/>
        <v>Restock</v>
      </c>
    </row>
    <row r="226" spans="1:11" x14ac:dyDescent="0.3">
      <c r="A226">
        <v>225</v>
      </c>
      <c r="B226" s="6">
        <v>45131</v>
      </c>
      <c r="C226" t="s">
        <v>34</v>
      </c>
      <c r="D226" t="s">
        <v>56</v>
      </c>
      <c r="E226" t="s">
        <v>59</v>
      </c>
      <c r="F226">
        <v>6</v>
      </c>
      <c r="G226">
        <v>251.38</v>
      </c>
      <c r="H226">
        <v>1508.28</v>
      </c>
      <c r="I226" t="s">
        <v>525</v>
      </c>
      <c r="J226" t="str">
        <f t="shared" si="6"/>
        <v>Average😒</v>
      </c>
      <c r="K226" s="6" t="str">
        <f t="shared" si="7"/>
        <v>Remain</v>
      </c>
    </row>
    <row r="227" spans="1:11" x14ac:dyDescent="0.3">
      <c r="A227">
        <v>226</v>
      </c>
      <c r="B227" s="6">
        <v>45077</v>
      </c>
      <c r="C227" t="s">
        <v>35</v>
      </c>
      <c r="D227" t="s">
        <v>53</v>
      </c>
      <c r="E227" t="s">
        <v>60</v>
      </c>
      <c r="F227">
        <v>3</v>
      </c>
      <c r="G227">
        <v>273.26</v>
      </c>
      <c r="H227">
        <v>819.78</v>
      </c>
      <c r="I227" t="s">
        <v>521</v>
      </c>
      <c r="J227" t="str">
        <f t="shared" si="6"/>
        <v>Average😒</v>
      </c>
      <c r="K227" s="6" t="str">
        <f t="shared" si="7"/>
        <v>Restock</v>
      </c>
    </row>
    <row r="228" spans="1:11" x14ac:dyDescent="0.3">
      <c r="A228">
        <v>227</v>
      </c>
      <c r="B228" s="6">
        <v>44934</v>
      </c>
      <c r="C228" t="s">
        <v>35</v>
      </c>
      <c r="D228" t="s">
        <v>53</v>
      </c>
      <c r="E228" t="s">
        <v>54</v>
      </c>
      <c r="F228">
        <v>7</v>
      </c>
      <c r="G228">
        <v>296.54000000000002</v>
      </c>
      <c r="H228">
        <v>2075.7800000000002</v>
      </c>
      <c r="I228" t="s">
        <v>519</v>
      </c>
      <c r="J228" t="str">
        <f t="shared" si="6"/>
        <v>Excellent👍</v>
      </c>
      <c r="K228" s="6" t="str">
        <f t="shared" si="7"/>
        <v>Remain</v>
      </c>
    </row>
    <row r="229" spans="1:11" x14ac:dyDescent="0.3">
      <c r="A229">
        <v>228</v>
      </c>
      <c r="B229" s="6">
        <v>45110</v>
      </c>
      <c r="C229" t="s">
        <v>35</v>
      </c>
      <c r="D229" t="s">
        <v>42</v>
      </c>
      <c r="E229" t="s">
        <v>50</v>
      </c>
      <c r="F229">
        <v>4</v>
      </c>
      <c r="G229">
        <v>99.12</v>
      </c>
      <c r="H229">
        <v>396.48</v>
      </c>
      <c r="I229" t="s">
        <v>524</v>
      </c>
      <c r="J229" t="str">
        <f t="shared" si="6"/>
        <v>Average😒</v>
      </c>
      <c r="K229" s="6" t="str">
        <f t="shared" si="7"/>
        <v>Restock</v>
      </c>
    </row>
    <row r="230" spans="1:11" x14ac:dyDescent="0.3">
      <c r="A230">
        <v>229</v>
      </c>
      <c r="B230" s="6">
        <v>45121</v>
      </c>
      <c r="C230" t="s">
        <v>36</v>
      </c>
      <c r="D230" t="s">
        <v>56</v>
      </c>
      <c r="E230" t="s">
        <v>57</v>
      </c>
      <c r="F230">
        <v>9</v>
      </c>
      <c r="G230">
        <v>449.43</v>
      </c>
      <c r="H230">
        <v>4044.87</v>
      </c>
      <c r="I230" t="s">
        <v>525</v>
      </c>
      <c r="J230" t="str">
        <f t="shared" si="6"/>
        <v>Excellent👍</v>
      </c>
      <c r="K230" s="6" t="str">
        <f t="shared" si="7"/>
        <v>Remain</v>
      </c>
    </row>
    <row r="231" spans="1:11" x14ac:dyDescent="0.3">
      <c r="A231">
        <v>230</v>
      </c>
      <c r="B231" s="6">
        <v>44977</v>
      </c>
      <c r="C231" t="s">
        <v>36</v>
      </c>
      <c r="D231" t="s">
        <v>51</v>
      </c>
      <c r="E231" t="s">
        <v>52</v>
      </c>
      <c r="F231">
        <v>2</v>
      </c>
      <c r="G231">
        <v>304.95</v>
      </c>
      <c r="H231">
        <v>609.9</v>
      </c>
      <c r="I231" t="s">
        <v>522</v>
      </c>
      <c r="J231" t="str">
        <f t="shared" si="6"/>
        <v>Average😒</v>
      </c>
      <c r="K231" s="6" t="str">
        <f t="shared" si="7"/>
        <v>Restock</v>
      </c>
    </row>
    <row r="232" spans="1:11" x14ac:dyDescent="0.3">
      <c r="A232">
        <v>231</v>
      </c>
      <c r="B232" s="6">
        <v>45018</v>
      </c>
      <c r="C232" t="s">
        <v>34</v>
      </c>
      <c r="D232" t="s">
        <v>51</v>
      </c>
      <c r="E232" t="s">
        <v>63</v>
      </c>
      <c r="F232">
        <v>3</v>
      </c>
      <c r="G232">
        <v>412.68</v>
      </c>
      <c r="H232">
        <v>1238.04</v>
      </c>
      <c r="I232" t="s">
        <v>521</v>
      </c>
      <c r="J232" t="str">
        <f t="shared" si="6"/>
        <v>Average😒</v>
      </c>
      <c r="K232" s="6" t="str">
        <f t="shared" si="7"/>
        <v>Restock</v>
      </c>
    </row>
    <row r="233" spans="1:11" x14ac:dyDescent="0.3">
      <c r="A233">
        <v>232</v>
      </c>
      <c r="B233" s="6">
        <v>44927</v>
      </c>
      <c r="C233" t="s">
        <v>35</v>
      </c>
      <c r="D233" t="s">
        <v>51</v>
      </c>
      <c r="E233" t="s">
        <v>55</v>
      </c>
      <c r="F233">
        <v>6</v>
      </c>
      <c r="G233">
        <v>53.46</v>
      </c>
      <c r="H233">
        <v>320.76</v>
      </c>
      <c r="I233" t="s">
        <v>520</v>
      </c>
      <c r="J233" t="str">
        <f t="shared" si="6"/>
        <v>Average😒</v>
      </c>
      <c r="K233" s="6" t="str">
        <f t="shared" si="7"/>
        <v>Remain</v>
      </c>
    </row>
    <row r="234" spans="1:11" x14ac:dyDescent="0.3">
      <c r="A234">
        <v>233</v>
      </c>
      <c r="B234" s="6">
        <v>45272</v>
      </c>
      <c r="C234" t="s">
        <v>33</v>
      </c>
      <c r="D234" t="s">
        <v>53</v>
      </c>
      <c r="E234" t="s">
        <v>60</v>
      </c>
      <c r="F234">
        <v>5</v>
      </c>
      <c r="G234">
        <v>235.78</v>
      </c>
      <c r="H234">
        <v>1178.9000000000001</v>
      </c>
      <c r="I234" t="s">
        <v>524</v>
      </c>
      <c r="J234" t="str">
        <f t="shared" si="6"/>
        <v>Average😒</v>
      </c>
      <c r="K234" s="6" t="str">
        <f t="shared" si="7"/>
        <v>Remain</v>
      </c>
    </row>
    <row r="235" spans="1:11" x14ac:dyDescent="0.3">
      <c r="A235">
        <v>234</v>
      </c>
      <c r="B235" s="6">
        <v>45144</v>
      </c>
      <c r="C235" t="s">
        <v>34</v>
      </c>
      <c r="D235" t="s">
        <v>56</v>
      </c>
      <c r="E235" t="s">
        <v>59</v>
      </c>
      <c r="F235">
        <v>2</v>
      </c>
      <c r="G235">
        <v>73.09</v>
      </c>
      <c r="H235">
        <v>146.18</v>
      </c>
      <c r="I235" t="s">
        <v>520</v>
      </c>
      <c r="J235" t="str">
        <f t="shared" si="6"/>
        <v>Average😒</v>
      </c>
      <c r="K235" s="6" t="str">
        <f t="shared" si="7"/>
        <v>Restock</v>
      </c>
    </row>
    <row r="236" spans="1:11" x14ac:dyDescent="0.3">
      <c r="A236">
        <v>235</v>
      </c>
      <c r="B236" s="6">
        <v>44973</v>
      </c>
      <c r="C236" t="s">
        <v>36</v>
      </c>
      <c r="D236" t="s">
        <v>53</v>
      </c>
      <c r="E236" t="s">
        <v>58</v>
      </c>
      <c r="F236">
        <v>9</v>
      </c>
      <c r="G236">
        <v>55.22</v>
      </c>
      <c r="H236">
        <v>496.98</v>
      </c>
      <c r="I236" t="s">
        <v>521</v>
      </c>
      <c r="J236" t="str">
        <f t="shared" si="6"/>
        <v>Average😒</v>
      </c>
      <c r="K236" s="6" t="str">
        <f t="shared" si="7"/>
        <v>Remain</v>
      </c>
    </row>
    <row r="237" spans="1:11" x14ac:dyDescent="0.3">
      <c r="A237">
        <v>236</v>
      </c>
      <c r="B237" s="6">
        <v>44982</v>
      </c>
      <c r="C237" t="s">
        <v>33</v>
      </c>
      <c r="D237" t="s">
        <v>42</v>
      </c>
      <c r="E237" t="s">
        <v>66</v>
      </c>
      <c r="F237">
        <v>9</v>
      </c>
      <c r="G237">
        <v>347.01</v>
      </c>
      <c r="H237">
        <v>3123.09</v>
      </c>
      <c r="I237" t="s">
        <v>520</v>
      </c>
      <c r="J237" t="str">
        <f t="shared" si="6"/>
        <v>Excellent👍</v>
      </c>
      <c r="K237" s="6" t="str">
        <f t="shared" si="7"/>
        <v>Remain</v>
      </c>
    </row>
    <row r="238" spans="1:11" x14ac:dyDescent="0.3">
      <c r="A238">
        <v>237</v>
      </c>
      <c r="B238" s="6">
        <v>45183</v>
      </c>
      <c r="C238" t="s">
        <v>35</v>
      </c>
      <c r="D238" t="s">
        <v>53</v>
      </c>
      <c r="E238" t="s">
        <v>54</v>
      </c>
      <c r="F238">
        <v>1</v>
      </c>
      <c r="G238">
        <v>145.66999999999999</v>
      </c>
      <c r="H238">
        <v>145.66999999999999</v>
      </c>
      <c r="I238" t="s">
        <v>519</v>
      </c>
      <c r="J238" t="str">
        <f t="shared" si="6"/>
        <v>Average😒</v>
      </c>
      <c r="K238" s="6" t="str">
        <f t="shared" si="7"/>
        <v>Restock</v>
      </c>
    </row>
    <row r="239" spans="1:11" x14ac:dyDescent="0.3">
      <c r="A239">
        <v>238</v>
      </c>
      <c r="B239" s="6">
        <v>45179</v>
      </c>
      <c r="C239" t="s">
        <v>35</v>
      </c>
      <c r="D239" t="s">
        <v>53</v>
      </c>
      <c r="E239" t="s">
        <v>64</v>
      </c>
      <c r="F239">
        <v>8</v>
      </c>
      <c r="G239">
        <v>376.65</v>
      </c>
      <c r="H239">
        <v>3013.2</v>
      </c>
      <c r="I239" t="s">
        <v>524</v>
      </c>
      <c r="J239" t="str">
        <f t="shared" si="6"/>
        <v>Excellent👍</v>
      </c>
      <c r="K239" s="6" t="str">
        <f t="shared" si="7"/>
        <v>Remain</v>
      </c>
    </row>
    <row r="240" spans="1:11" x14ac:dyDescent="0.3">
      <c r="A240">
        <v>239</v>
      </c>
      <c r="B240" s="6">
        <v>45053</v>
      </c>
      <c r="C240" t="s">
        <v>36</v>
      </c>
      <c r="D240" t="s">
        <v>51</v>
      </c>
      <c r="E240" t="s">
        <v>55</v>
      </c>
      <c r="F240">
        <v>4</v>
      </c>
      <c r="G240">
        <v>112.58</v>
      </c>
      <c r="H240">
        <v>450.32</v>
      </c>
      <c r="I240" t="s">
        <v>522</v>
      </c>
      <c r="J240" t="str">
        <f t="shared" si="6"/>
        <v>Average😒</v>
      </c>
      <c r="K240" s="6" t="str">
        <f t="shared" si="7"/>
        <v>Restock</v>
      </c>
    </row>
    <row r="241" spans="1:11" x14ac:dyDescent="0.3">
      <c r="A241">
        <v>240</v>
      </c>
      <c r="B241" s="6">
        <v>44954</v>
      </c>
      <c r="C241" t="s">
        <v>33</v>
      </c>
      <c r="D241" t="s">
        <v>53</v>
      </c>
      <c r="E241" t="s">
        <v>64</v>
      </c>
      <c r="F241">
        <v>8</v>
      </c>
      <c r="G241">
        <v>247.42</v>
      </c>
      <c r="H241">
        <v>1979.36</v>
      </c>
      <c r="I241" t="s">
        <v>519</v>
      </c>
      <c r="J241" t="str">
        <f t="shared" si="6"/>
        <v>Average😒</v>
      </c>
      <c r="K241" s="6" t="str">
        <f t="shared" si="7"/>
        <v>Remain</v>
      </c>
    </row>
    <row r="242" spans="1:11" x14ac:dyDescent="0.3">
      <c r="A242">
        <v>241</v>
      </c>
      <c r="B242" s="6">
        <v>45291</v>
      </c>
      <c r="C242" t="s">
        <v>33</v>
      </c>
      <c r="D242" t="s">
        <v>53</v>
      </c>
      <c r="E242" t="s">
        <v>58</v>
      </c>
      <c r="F242">
        <v>7</v>
      </c>
      <c r="G242">
        <v>270.32</v>
      </c>
      <c r="H242">
        <v>1892.24</v>
      </c>
      <c r="I242" t="s">
        <v>524</v>
      </c>
      <c r="J242" t="str">
        <f t="shared" si="6"/>
        <v>Average😒</v>
      </c>
      <c r="K242" s="6" t="str">
        <f t="shared" si="7"/>
        <v>Remain</v>
      </c>
    </row>
    <row r="243" spans="1:11" x14ac:dyDescent="0.3">
      <c r="A243">
        <v>242</v>
      </c>
      <c r="B243" s="6">
        <v>44929</v>
      </c>
      <c r="C243" t="s">
        <v>36</v>
      </c>
      <c r="D243" t="s">
        <v>56</v>
      </c>
      <c r="E243" t="s">
        <v>61</v>
      </c>
      <c r="F243">
        <v>8</v>
      </c>
      <c r="G243">
        <v>75.23</v>
      </c>
      <c r="H243">
        <v>601.84</v>
      </c>
      <c r="I243" t="s">
        <v>524</v>
      </c>
      <c r="J243" t="str">
        <f t="shared" si="6"/>
        <v>Average😒</v>
      </c>
      <c r="K243" s="6" t="str">
        <f t="shared" si="7"/>
        <v>Remain</v>
      </c>
    </row>
    <row r="244" spans="1:11" x14ac:dyDescent="0.3">
      <c r="A244">
        <v>243</v>
      </c>
      <c r="B244" s="6">
        <v>45165</v>
      </c>
      <c r="C244" t="s">
        <v>36</v>
      </c>
      <c r="D244" t="s">
        <v>42</v>
      </c>
      <c r="E244" t="s">
        <v>66</v>
      </c>
      <c r="F244">
        <v>7</v>
      </c>
      <c r="G244">
        <v>260.72000000000003</v>
      </c>
      <c r="H244">
        <v>1825.04</v>
      </c>
      <c r="I244" t="s">
        <v>525</v>
      </c>
      <c r="J244" t="str">
        <f t="shared" si="6"/>
        <v>Average😒</v>
      </c>
      <c r="K244" s="6" t="str">
        <f t="shared" si="7"/>
        <v>Remain</v>
      </c>
    </row>
    <row r="245" spans="1:11" x14ac:dyDescent="0.3">
      <c r="A245">
        <v>244</v>
      </c>
      <c r="B245" s="6">
        <v>45153</v>
      </c>
      <c r="C245" t="s">
        <v>34</v>
      </c>
      <c r="D245" t="s">
        <v>51</v>
      </c>
      <c r="E245" t="s">
        <v>52</v>
      </c>
      <c r="F245">
        <v>2</v>
      </c>
      <c r="G245">
        <v>229.23</v>
      </c>
      <c r="H245">
        <v>458.46</v>
      </c>
      <c r="I245" t="s">
        <v>523</v>
      </c>
      <c r="J245" t="str">
        <f t="shared" si="6"/>
        <v>Average😒</v>
      </c>
      <c r="K245" s="6" t="str">
        <f t="shared" si="7"/>
        <v>Restock</v>
      </c>
    </row>
    <row r="246" spans="1:11" x14ac:dyDescent="0.3">
      <c r="A246">
        <v>245</v>
      </c>
      <c r="B246" s="6">
        <v>45045</v>
      </c>
      <c r="C246" t="s">
        <v>33</v>
      </c>
      <c r="D246" t="s">
        <v>51</v>
      </c>
      <c r="E246" t="s">
        <v>52</v>
      </c>
      <c r="F246">
        <v>3</v>
      </c>
      <c r="G246">
        <v>128.81</v>
      </c>
      <c r="H246">
        <v>386.43</v>
      </c>
      <c r="I246" t="s">
        <v>525</v>
      </c>
      <c r="J246" t="str">
        <f t="shared" si="6"/>
        <v>Average😒</v>
      </c>
      <c r="K246" s="6" t="str">
        <f t="shared" si="7"/>
        <v>Restock</v>
      </c>
    </row>
    <row r="247" spans="1:11" x14ac:dyDescent="0.3">
      <c r="A247">
        <v>246</v>
      </c>
      <c r="B247" s="6">
        <v>44965</v>
      </c>
      <c r="C247" t="s">
        <v>35</v>
      </c>
      <c r="D247" t="s">
        <v>42</v>
      </c>
      <c r="E247" t="s">
        <v>43</v>
      </c>
      <c r="F247">
        <v>5</v>
      </c>
      <c r="G247">
        <v>99.32</v>
      </c>
      <c r="H247">
        <v>496.6</v>
      </c>
      <c r="I247" t="s">
        <v>523</v>
      </c>
      <c r="J247" t="str">
        <f t="shared" si="6"/>
        <v>Average😒</v>
      </c>
      <c r="K247" s="6" t="str">
        <f t="shared" si="7"/>
        <v>Remain</v>
      </c>
    </row>
    <row r="248" spans="1:11" x14ac:dyDescent="0.3">
      <c r="A248">
        <v>247</v>
      </c>
      <c r="B248" s="6">
        <v>45012</v>
      </c>
      <c r="C248" t="s">
        <v>34</v>
      </c>
      <c r="D248" t="s">
        <v>42</v>
      </c>
      <c r="E248" t="s">
        <v>50</v>
      </c>
      <c r="F248">
        <v>9</v>
      </c>
      <c r="G248">
        <v>421.95</v>
      </c>
      <c r="H248">
        <v>3797.55</v>
      </c>
      <c r="I248" t="s">
        <v>521</v>
      </c>
      <c r="J248" t="str">
        <f t="shared" si="6"/>
        <v>Excellent👍</v>
      </c>
      <c r="K248" s="6" t="str">
        <f t="shared" si="7"/>
        <v>Remain</v>
      </c>
    </row>
    <row r="249" spans="1:11" x14ac:dyDescent="0.3">
      <c r="A249">
        <v>248</v>
      </c>
      <c r="B249" s="6">
        <v>45138</v>
      </c>
      <c r="C249" t="s">
        <v>35</v>
      </c>
      <c r="D249" t="s">
        <v>56</v>
      </c>
      <c r="E249" t="s">
        <v>57</v>
      </c>
      <c r="F249">
        <v>9</v>
      </c>
      <c r="G249">
        <v>446.36</v>
      </c>
      <c r="H249">
        <v>4017.24</v>
      </c>
      <c r="I249" t="s">
        <v>520</v>
      </c>
      <c r="J249" t="str">
        <f t="shared" si="6"/>
        <v>Excellent👍</v>
      </c>
      <c r="K249" s="6" t="str">
        <f t="shared" si="7"/>
        <v>Remain</v>
      </c>
    </row>
    <row r="250" spans="1:11" x14ac:dyDescent="0.3">
      <c r="A250">
        <v>249</v>
      </c>
      <c r="B250" s="6">
        <v>44993</v>
      </c>
      <c r="C250" t="s">
        <v>34</v>
      </c>
      <c r="D250" t="s">
        <v>51</v>
      </c>
      <c r="E250" t="s">
        <v>55</v>
      </c>
      <c r="F250">
        <v>9</v>
      </c>
      <c r="G250">
        <v>342.76</v>
      </c>
      <c r="H250">
        <v>3084.84</v>
      </c>
      <c r="I250" t="s">
        <v>521</v>
      </c>
      <c r="J250" t="str">
        <f t="shared" si="6"/>
        <v>Excellent👍</v>
      </c>
      <c r="K250" s="6" t="str">
        <f t="shared" si="7"/>
        <v>Remain</v>
      </c>
    </row>
    <row r="251" spans="1:11" x14ac:dyDescent="0.3">
      <c r="A251">
        <v>250</v>
      </c>
      <c r="B251" s="6">
        <v>45037</v>
      </c>
      <c r="C251" t="s">
        <v>35</v>
      </c>
      <c r="D251" t="s">
        <v>56</v>
      </c>
      <c r="E251" t="s">
        <v>61</v>
      </c>
      <c r="F251">
        <v>9</v>
      </c>
      <c r="G251">
        <v>254.24</v>
      </c>
      <c r="H251">
        <v>2288.16</v>
      </c>
      <c r="I251" t="s">
        <v>523</v>
      </c>
      <c r="J251" t="str">
        <f t="shared" si="6"/>
        <v>Excellent👍</v>
      </c>
      <c r="K251" s="6" t="str">
        <f t="shared" si="7"/>
        <v>Remain</v>
      </c>
    </row>
    <row r="252" spans="1:11" x14ac:dyDescent="0.3">
      <c r="A252">
        <v>251</v>
      </c>
      <c r="B252" s="6">
        <v>44960</v>
      </c>
      <c r="C252" t="s">
        <v>33</v>
      </c>
      <c r="D252" t="s">
        <v>56</v>
      </c>
      <c r="E252" t="s">
        <v>62</v>
      </c>
      <c r="F252">
        <v>4</v>
      </c>
      <c r="G252">
        <v>273.18</v>
      </c>
      <c r="H252">
        <v>1092.72</v>
      </c>
      <c r="I252" t="s">
        <v>522</v>
      </c>
      <c r="J252" t="str">
        <f t="shared" si="6"/>
        <v>Average😒</v>
      </c>
      <c r="K252" s="6" t="str">
        <f t="shared" si="7"/>
        <v>Restock</v>
      </c>
    </row>
    <row r="253" spans="1:11" x14ac:dyDescent="0.3">
      <c r="A253">
        <v>252</v>
      </c>
      <c r="B253" s="6">
        <v>45162</v>
      </c>
      <c r="C253" t="s">
        <v>35</v>
      </c>
      <c r="D253" t="s">
        <v>51</v>
      </c>
      <c r="E253" t="s">
        <v>63</v>
      </c>
      <c r="F253">
        <v>8</v>
      </c>
      <c r="G253">
        <v>297.39999999999998</v>
      </c>
      <c r="H253">
        <v>2379.1999999999998</v>
      </c>
      <c r="I253" t="s">
        <v>523</v>
      </c>
      <c r="J253" t="str">
        <f t="shared" si="6"/>
        <v>Excellent👍</v>
      </c>
      <c r="K253" s="6" t="str">
        <f t="shared" si="7"/>
        <v>Remain</v>
      </c>
    </row>
    <row r="254" spans="1:11" x14ac:dyDescent="0.3">
      <c r="A254">
        <v>253</v>
      </c>
      <c r="B254" s="6">
        <v>45027</v>
      </c>
      <c r="C254" t="s">
        <v>33</v>
      </c>
      <c r="D254" t="s">
        <v>53</v>
      </c>
      <c r="E254" t="s">
        <v>64</v>
      </c>
      <c r="F254">
        <v>3</v>
      </c>
      <c r="G254">
        <v>195.6</v>
      </c>
      <c r="H254">
        <v>586.79999999999995</v>
      </c>
      <c r="I254" t="s">
        <v>524</v>
      </c>
      <c r="J254" t="str">
        <f t="shared" si="6"/>
        <v>Average😒</v>
      </c>
      <c r="K254" s="6" t="str">
        <f t="shared" si="7"/>
        <v>Restock</v>
      </c>
    </row>
    <row r="255" spans="1:11" x14ac:dyDescent="0.3">
      <c r="A255">
        <v>254</v>
      </c>
      <c r="B255" s="6">
        <v>45246</v>
      </c>
      <c r="C255" t="s">
        <v>35</v>
      </c>
      <c r="D255" t="s">
        <v>51</v>
      </c>
      <c r="E255" t="s">
        <v>65</v>
      </c>
      <c r="F255">
        <v>6</v>
      </c>
      <c r="G255">
        <v>450.83</v>
      </c>
      <c r="H255">
        <v>2704.98</v>
      </c>
      <c r="I255" t="s">
        <v>523</v>
      </c>
      <c r="J255" t="str">
        <f t="shared" si="6"/>
        <v>Excellent👍</v>
      </c>
      <c r="K255" s="6" t="str">
        <f t="shared" si="7"/>
        <v>Remain</v>
      </c>
    </row>
    <row r="256" spans="1:11" x14ac:dyDescent="0.3">
      <c r="A256">
        <v>255</v>
      </c>
      <c r="B256" s="6">
        <v>45241</v>
      </c>
      <c r="C256" t="s">
        <v>36</v>
      </c>
      <c r="D256" t="s">
        <v>42</v>
      </c>
      <c r="E256" t="s">
        <v>41</v>
      </c>
      <c r="F256">
        <v>2</v>
      </c>
      <c r="G256">
        <v>129.72999999999999</v>
      </c>
      <c r="H256">
        <v>259.45999999999998</v>
      </c>
      <c r="I256" t="s">
        <v>522</v>
      </c>
      <c r="J256" t="str">
        <f t="shared" si="6"/>
        <v>Average😒</v>
      </c>
      <c r="K256" s="6" t="str">
        <f t="shared" si="7"/>
        <v>Restock</v>
      </c>
    </row>
    <row r="257" spans="1:11" x14ac:dyDescent="0.3">
      <c r="A257">
        <v>256</v>
      </c>
      <c r="B257" s="6">
        <v>45215</v>
      </c>
      <c r="C257" t="s">
        <v>33</v>
      </c>
      <c r="D257" t="s">
        <v>56</v>
      </c>
      <c r="E257" t="s">
        <v>62</v>
      </c>
      <c r="F257">
        <v>6</v>
      </c>
      <c r="G257">
        <v>306.83</v>
      </c>
      <c r="H257">
        <v>1840.98</v>
      </c>
      <c r="I257" t="s">
        <v>521</v>
      </c>
      <c r="J257" t="str">
        <f t="shared" si="6"/>
        <v>Average😒</v>
      </c>
      <c r="K257" s="6" t="str">
        <f t="shared" si="7"/>
        <v>Remain</v>
      </c>
    </row>
    <row r="258" spans="1:11" x14ac:dyDescent="0.3">
      <c r="A258">
        <v>257</v>
      </c>
      <c r="B258" s="6">
        <v>45124</v>
      </c>
      <c r="C258" t="s">
        <v>36</v>
      </c>
      <c r="D258" t="s">
        <v>53</v>
      </c>
      <c r="E258" t="s">
        <v>58</v>
      </c>
      <c r="F258">
        <v>5</v>
      </c>
      <c r="G258">
        <v>59.87</v>
      </c>
      <c r="H258">
        <v>299.35000000000002</v>
      </c>
      <c r="I258" t="s">
        <v>520</v>
      </c>
      <c r="J258" t="str">
        <f t="shared" si="6"/>
        <v>Average😒</v>
      </c>
      <c r="K258" s="6" t="str">
        <f t="shared" si="7"/>
        <v>Remain</v>
      </c>
    </row>
    <row r="259" spans="1:11" x14ac:dyDescent="0.3">
      <c r="A259">
        <v>258</v>
      </c>
      <c r="B259" s="6">
        <v>44930</v>
      </c>
      <c r="C259" t="s">
        <v>35</v>
      </c>
      <c r="D259" t="s">
        <v>51</v>
      </c>
      <c r="E259" t="s">
        <v>55</v>
      </c>
      <c r="F259">
        <v>6</v>
      </c>
      <c r="G259">
        <v>130.52000000000001</v>
      </c>
      <c r="H259">
        <v>783.12000000000012</v>
      </c>
      <c r="I259" t="s">
        <v>522</v>
      </c>
      <c r="J259" t="str">
        <f t="shared" ref="J259:J322" si="8">IF(H259&gt;=2000,"Excellent👍","Average😒")</f>
        <v>Average😒</v>
      </c>
      <c r="K259" s="6" t="str">
        <f t="shared" ref="K259:K322" si="9">IF(F259&lt;5,"Restock","Remain")</f>
        <v>Remain</v>
      </c>
    </row>
    <row r="260" spans="1:11" x14ac:dyDescent="0.3">
      <c r="A260">
        <v>259</v>
      </c>
      <c r="B260" s="6">
        <v>45173</v>
      </c>
      <c r="C260" t="s">
        <v>33</v>
      </c>
      <c r="D260" t="s">
        <v>53</v>
      </c>
      <c r="E260" t="s">
        <v>64</v>
      </c>
      <c r="F260">
        <v>8</v>
      </c>
      <c r="G260">
        <v>449.42</v>
      </c>
      <c r="H260">
        <v>3595.36</v>
      </c>
      <c r="I260" t="s">
        <v>522</v>
      </c>
      <c r="J260" t="str">
        <f t="shared" si="8"/>
        <v>Excellent👍</v>
      </c>
      <c r="K260" s="6" t="str">
        <f t="shared" si="9"/>
        <v>Remain</v>
      </c>
    </row>
    <row r="261" spans="1:11" x14ac:dyDescent="0.3">
      <c r="A261">
        <v>260</v>
      </c>
      <c r="B261" s="6">
        <v>44966</v>
      </c>
      <c r="C261" t="s">
        <v>35</v>
      </c>
      <c r="D261" t="s">
        <v>51</v>
      </c>
      <c r="E261" t="s">
        <v>63</v>
      </c>
      <c r="F261">
        <v>3</v>
      </c>
      <c r="G261">
        <v>267.01</v>
      </c>
      <c r="H261">
        <v>801.03</v>
      </c>
      <c r="I261" t="s">
        <v>522</v>
      </c>
      <c r="J261" t="str">
        <f t="shared" si="8"/>
        <v>Average😒</v>
      </c>
      <c r="K261" s="6" t="str">
        <f t="shared" si="9"/>
        <v>Restock</v>
      </c>
    </row>
    <row r="262" spans="1:11" x14ac:dyDescent="0.3">
      <c r="A262">
        <v>261</v>
      </c>
      <c r="B262" s="6">
        <v>45149</v>
      </c>
      <c r="C262" t="s">
        <v>34</v>
      </c>
      <c r="D262" t="s">
        <v>51</v>
      </c>
      <c r="E262" t="s">
        <v>52</v>
      </c>
      <c r="F262">
        <v>5</v>
      </c>
      <c r="G262">
        <v>491.37</v>
      </c>
      <c r="H262">
        <v>2456.85</v>
      </c>
      <c r="I262" t="s">
        <v>522</v>
      </c>
      <c r="J262" t="str">
        <f t="shared" si="8"/>
        <v>Excellent👍</v>
      </c>
      <c r="K262" s="6" t="str">
        <f t="shared" si="9"/>
        <v>Remain</v>
      </c>
    </row>
    <row r="263" spans="1:11" x14ac:dyDescent="0.3">
      <c r="A263">
        <v>262</v>
      </c>
      <c r="B263" s="6">
        <v>45146</v>
      </c>
      <c r="C263" t="s">
        <v>34</v>
      </c>
      <c r="D263" t="s">
        <v>56</v>
      </c>
      <c r="E263" t="s">
        <v>62</v>
      </c>
      <c r="F263">
        <v>6</v>
      </c>
      <c r="G263">
        <v>204.95</v>
      </c>
      <c r="H263">
        <v>1229.7</v>
      </c>
      <c r="I263" t="s">
        <v>525</v>
      </c>
      <c r="J263" t="str">
        <f t="shared" si="8"/>
        <v>Average😒</v>
      </c>
      <c r="K263" s="6" t="str">
        <f t="shared" si="9"/>
        <v>Remain</v>
      </c>
    </row>
    <row r="264" spans="1:11" x14ac:dyDescent="0.3">
      <c r="A264">
        <v>263</v>
      </c>
      <c r="B264" s="6">
        <v>45044</v>
      </c>
      <c r="C264" t="s">
        <v>33</v>
      </c>
      <c r="D264" t="s">
        <v>42</v>
      </c>
      <c r="E264" t="s">
        <v>66</v>
      </c>
      <c r="F264">
        <v>4</v>
      </c>
      <c r="G264">
        <v>12.6</v>
      </c>
      <c r="H264">
        <v>50.4</v>
      </c>
      <c r="I264" t="s">
        <v>521</v>
      </c>
      <c r="J264" t="str">
        <f t="shared" si="8"/>
        <v>Average😒</v>
      </c>
      <c r="K264" s="6" t="str">
        <f t="shared" si="9"/>
        <v>Restock</v>
      </c>
    </row>
    <row r="265" spans="1:11" x14ac:dyDescent="0.3">
      <c r="A265">
        <v>264</v>
      </c>
      <c r="B265" s="6">
        <v>44988</v>
      </c>
      <c r="C265" t="s">
        <v>33</v>
      </c>
      <c r="D265" t="s">
        <v>56</v>
      </c>
      <c r="E265" t="s">
        <v>59</v>
      </c>
      <c r="F265">
        <v>1</v>
      </c>
      <c r="G265">
        <v>250.47</v>
      </c>
      <c r="H265">
        <v>250.47</v>
      </c>
      <c r="I265" t="s">
        <v>523</v>
      </c>
      <c r="J265" t="str">
        <f t="shared" si="8"/>
        <v>Average😒</v>
      </c>
      <c r="K265" s="6" t="str">
        <f t="shared" si="9"/>
        <v>Restock</v>
      </c>
    </row>
    <row r="266" spans="1:11" x14ac:dyDescent="0.3">
      <c r="A266">
        <v>265</v>
      </c>
      <c r="B266" s="6">
        <v>45129</v>
      </c>
      <c r="C266" t="s">
        <v>33</v>
      </c>
      <c r="D266" t="s">
        <v>51</v>
      </c>
      <c r="E266" t="s">
        <v>52</v>
      </c>
      <c r="F266">
        <v>9</v>
      </c>
      <c r="G266">
        <v>362.04</v>
      </c>
      <c r="H266">
        <v>3258.36</v>
      </c>
      <c r="I266" t="s">
        <v>519</v>
      </c>
      <c r="J266" t="str">
        <f t="shared" si="8"/>
        <v>Excellent👍</v>
      </c>
      <c r="K266" s="6" t="str">
        <f t="shared" si="9"/>
        <v>Remain</v>
      </c>
    </row>
    <row r="267" spans="1:11" x14ac:dyDescent="0.3">
      <c r="A267">
        <v>266</v>
      </c>
      <c r="B267" s="6">
        <v>45099</v>
      </c>
      <c r="C267" t="s">
        <v>35</v>
      </c>
      <c r="D267" t="s">
        <v>53</v>
      </c>
      <c r="E267" t="s">
        <v>64</v>
      </c>
      <c r="F267">
        <v>8</v>
      </c>
      <c r="G267">
        <v>243.54</v>
      </c>
      <c r="H267">
        <v>1948.32</v>
      </c>
      <c r="I267" t="s">
        <v>520</v>
      </c>
      <c r="J267" t="str">
        <f t="shared" si="8"/>
        <v>Average😒</v>
      </c>
      <c r="K267" s="6" t="str">
        <f t="shared" si="9"/>
        <v>Remain</v>
      </c>
    </row>
    <row r="268" spans="1:11" x14ac:dyDescent="0.3">
      <c r="A268">
        <v>267</v>
      </c>
      <c r="B268" s="6">
        <v>45044</v>
      </c>
      <c r="C268" t="s">
        <v>36</v>
      </c>
      <c r="D268" t="s">
        <v>42</v>
      </c>
      <c r="E268" t="s">
        <v>66</v>
      </c>
      <c r="F268">
        <v>5</v>
      </c>
      <c r="G268">
        <v>101.65</v>
      </c>
      <c r="H268">
        <v>508.25</v>
      </c>
      <c r="I268" t="s">
        <v>525</v>
      </c>
      <c r="J268" t="str">
        <f t="shared" si="8"/>
        <v>Average😒</v>
      </c>
      <c r="K268" s="6" t="str">
        <f t="shared" si="9"/>
        <v>Remain</v>
      </c>
    </row>
    <row r="269" spans="1:11" x14ac:dyDescent="0.3">
      <c r="A269">
        <v>268</v>
      </c>
      <c r="B269" s="6">
        <v>45151</v>
      </c>
      <c r="C269" t="s">
        <v>36</v>
      </c>
      <c r="D269" t="s">
        <v>51</v>
      </c>
      <c r="E269" t="s">
        <v>63</v>
      </c>
      <c r="F269">
        <v>4</v>
      </c>
      <c r="G269">
        <v>218.46</v>
      </c>
      <c r="H269">
        <v>873.84</v>
      </c>
      <c r="I269" t="s">
        <v>524</v>
      </c>
      <c r="J269" t="str">
        <f t="shared" si="8"/>
        <v>Average😒</v>
      </c>
      <c r="K269" s="6" t="str">
        <f t="shared" si="9"/>
        <v>Restock</v>
      </c>
    </row>
    <row r="270" spans="1:11" x14ac:dyDescent="0.3">
      <c r="A270">
        <v>269</v>
      </c>
      <c r="B270" s="6">
        <v>44973</v>
      </c>
      <c r="C270" t="s">
        <v>33</v>
      </c>
      <c r="D270" t="s">
        <v>51</v>
      </c>
      <c r="E270" t="s">
        <v>65</v>
      </c>
      <c r="F270">
        <v>4</v>
      </c>
      <c r="G270">
        <v>128.78</v>
      </c>
      <c r="H270">
        <v>515.12</v>
      </c>
      <c r="I270" t="s">
        <v>525</v>
      </c>
      <c r="J270" t="str">
        <f t="shared" si="8"/>
        <v>Average😒</v>
      </c>
      <c r="K270" s="6" t="str">
        <f t="shared" si="9"/>
        <v>Restock</v>
      </c>
    </row>
    <row r="271" spans="1:11" x14ac:dyDescent="0.3">
      <c r="A271">
        <v>270</v>
      </c>
      <c r="B271" s="6">
        <v>45246</v>
      </c>
      <c r="C271" t="s">
        <v>33</v>
      </c>
      <c r="D271" t="s">
        <v>51</v>
      </c>
      <c r="E271" t="s">
        <v>55</v>
      </c>
      <c r="F271">
        <v>1</v>
      </c>
      <c r="G271">
        <v>309.2</v>
      </c>
      <c r="H271">
        <v>309.2</v>
      </c>
      <c r="I271" t="s">
        <v>522</v>
      </c>
      <c r="J271" t="str">
        <f t="shared" si="8"/>
        <v>Average😒</v>
      </c>
      <c r="K271" s="6" t="str">
        <f t="shared" si="9"/>
        <v>Restock</v>
      </c>
    </row>
    <row r="272" spans="1:11" x14ac:dyDescent="0.3">
      <c r="A272">
        <v>271</v>
      </c>
      <c r="B272" s="6">
        <v>45065</v>
      </c>
      <c r="C272" t="s">
        <v>33</v>
      </c>
      <c r="D272" t="s">
        <v>56</v>
      </c>
      <c r="E272" t="s">
        <v>57</v>
      </c>
      <c r="F272">
        <v>6</v>
      </c>
      <c r="G272">
        <v>294.81</v>
      </c>
      <c r="H272">
        <v>1768.86</v>
      </c>
      <c r="I272" t="s">
        <v>522</v>
      </c>
      <c r="J272" t="str">
        <f t="shared" si="8"/>
        <v>Average😒</v>
      </c>
      <c r="K272" s="6" t="str">
        <f t="shared" si="9"/>
        <v>Remain</v>
      </c>
    </row>
    <row r="273" spans="1:11" x14ac:dyDescent="0.3">
      <c r="A273">
        <v>272</v>
      </c>
      <c r="B273" s="6">
        <v>45185</v>
      </c>
      <c r="C273" t="s">
        <v>34</v>
      </c>
      <c r="D273" t="s">
        <v>51</v>
      </c>
      <c r="E273" t="s">
        <v>55</v>
      </c>
      <c r="F273">
        <v>4</v>
      </c>
      <c r="G273">
        <v>167.11</v>
      </c>
      <c r="H273">
        <v>668.44</v>
      </c>
      <c r="I273" t="s">
        <v>525</v>
      </c>
      <c r="J273" t="str">
        <f t="shared" si="8"/>
        <v>Average😒</v>
      </c>
      <c r="K273" s="6" t="str">
        <f t="shared" si="9"/>
        <v>Restock</v>
      </c>
    </row>
    <row r="274" spans="1:11" x14ac:dyDescent="0.3">
      <c r="A274">
        <v>273</v>
      </c>
      <c r="B274" s="6">
        <v>44936</v>
      </c>
      <c r="C274" t="s">
        <v>33</v>
      </c>
      <c r="D274" t="s">
        <v>53</v>
      </c>
      <c r="E274" t="s">
        <v>64</v>
      </c>
      <c r="F274">
        <v>1</v>
      </c>
      <c r="G274">
        <v>190.92</v>
      </c>
      <c r="H274">
        <v>190.92</v>
      </c>
      <c r="I274" t="s">
        <v>520</v>
      </c>
      <c r="J274" t="str">
        <f t="shared" si="8"/>
        <v>Average😒</v>
      </c>
      <c r="K274" s="6" t="str">
        <f t="shared" si="9"/>
        <v>Restock</v>
      </c>
    </row>
    <row r="275" spans="1:11" x14ac:dyDescent="0.3">
      <c r="A275">
        <v>274</v>
      </c>
      <c r="B275" s="6">
        <v>45098</v>
      </c>
      <c r="C275" t="s">
        <v>35</v>
      </c>
      <c r="D275" t="s">
        <v>53</v>
      </c>
      <c r="E275" t="s">
        <v>54</v>
      </c>
      <c r="F275">
        <v>5</v>
      </c>
      <c r="G275">
        <v>41.05</v>
      </c>
      <c r="H275">
        <v>205.25</v>
      </c>
      <c r="I275" t="s">
        <v>523</v>
      </c>
      <c r="J275" t="str">
        <f t="shared" si="8"/>
        <v>Average😒</v>
      </c>
      <c r="K275" s="6" t="str">
        <f t="shared" si="9"/>
        <v>Remain</v>
      </c>
    </row>
    <row r="276" spans="1:11" x14ac:dyDescent="0.3">
      <c r="A276">
        <v>275</v>
      </c>
      <c r="B276" s="6">
        <v>45056</v>
      </c>
      <c r="C276" t="s">
        <v>33</v>
      </c>
      <c r="D276" t="s">
        <v>51</v>
      </c>
      <c r="E276" t="s">
        <v>55</v>
      </c>
      <c r="F276">
        <v>2</v>
      </c>
      <c r="G276">
        <v>167.95</v>
      </c>
      <c r="H276">
        <v>335.9</v>
      </c>
      <c r="I276" t="s">
        <v>524</v>
      </c>
      <c r="J276" t="str">
        <f t="shared" si="8"/>
        <v>Average😒</v>
      </c>
      <c r="K276" s="6" t="str">
        <f t="shared" si="9"/>
        <v>Restock</v>
      </c>
    </row>
    <row r="277" spans="1:11" x14ac:dyDescent="0.3">
      <c r="A277">
        <v>276</v>
      </c>
      <c r="B277" s="6">
        <v>45027</v>
      </c>
      <c r="C277" t="s">
        <v>36</v>
      </c>
      <c r="D277" t="s">
        <v>42</v>
      </c>
      <c r="E277" t="s">
        <v>50</v>
      </c>
      <c r="F277">
        <v>4</v>
      </c>
      <c r="G277">
        <v>134.77000000000001</v>
      </c>
      <c r="H277">
        <v>539.08000000000004</v>
      </c>
      <c r="I277" t="s">
        <v>524</v>
      </c>
      <c r="J277" t="str">
        <f t="shared" si="8"/>
        <v>Average😒</v>
      </c>
      <c r="K277" s="6" t="str">
        <f t="shared" si="9"/>
        <v>Restock</v>
      </c>
    </row>
    <row r="278" spans="1:11" x14ac:dyDescent="0.3">
      <c r="A278">
        <v>277</v>
      </c>
      <c r="B278" s="6">
        <v>44964</v>
      </c>
      <c r="C278" t="s">
        <v>36</v>
      </c>
      <c r="D278" t="s">
        <v>42</v>
      </c>
      <c r="E278" t="s">
        <v>43</v>
      </c>
      <c r="F278">
        <v>9</v>
      </c>
      <c r="G278">
        <v>382.51</v>
      </c>
      <c r="H278">
        <v>3442.59</v>
      </c>
      <c r="I278" t="s">
        <v>520</v>
      </c>
      <c r="J278" t="str">
        <f t="shared" si="8"/>
        <v>Excellent👍</v>
      </c>
      <c r="K278" s="6" t="str">
        <f t="shared" si="9"/>
        <v>Remain</v>
      </c>
    </row>
    <row r="279" spans="1:11" x14ac:dyDescent="0.3">
      <c r="A279">
        <v>278</v>
      </c>
      <c r="B279" s="6">
        <v>45021</v>
      </c>
      <c r="C279" t="s">
        <v>36</v>
      </c>
      <c r="D279" t="s">
        <v>42</v>
      </c>
      <c r="E279" t="s">
        <v>50</v>
      </c>
      <c r="F279">
        <v>7</v>
      </c>
      <c r="G279">
        <v>399.2</v>
      </c>
      <c r="H279">
        <v>2794.4</v>
      </c>
      <c r="I279" t="s">
        <v>519</v>
      </c>
      <c r="J279" t="str">
        <f t="shared" si="8"/>
        <v>Excellent👍</v>
      </c>
      <c r="K279" s="6" t="str">
        <f t="shared" si="9"/>
        <v>Remain</v>
      </c>
    </row>
    <row r="280" spans="1:11" x14ac:dyDescent="0.3">
      <c r="A280">
        <v>279</v>
      </c>
      <c r="B280" s="6">
        <v>45162</v>
      </c>
      <c r="C280" t="s">
        <v>35</v>
      </c>
      <c r="D280" t="s">
        <v>53</v>
      </c>
      <c r="E280" t="s">
        <v>54</v>
      </c>
      <c r="F280">
        <v>1</v>
      </c>
      <c r="G280">
        <v>426.86</v>
      </c>
      <c r="H280">
        <v>426.86</v>
      </c>
      <c r="I280" t="s">
        <v>522</v>
      </c>
      <c r="J280" t="str">
        <f t="shared" si="8"/>
        <v>Average😒</v>
      </c>
      <c r="K280" s="6" t="str">
        <f t="shared" si="9"/>
        <v>Restock</v>
      </c>
    </row>
    <row r="281" spans="1:11" x14ac:dyDescent="0.3">
      <c r="A281">
        <v>280</v>
      </c>
      <c r="B281" s="6">
        <v>45063</v>
      </c>
      <c r="C281" t="s">
        <v>33</v>
      </c>
      <c r="D281" t="s">
        <v>42</v>
      </c>
      <c r="E281" t="s">
        <v>66</v>
      </c>
      <c r="F281">
        <v>2</v>
      </c>
      <c r="G281">
        <v>70.91</v>
      </c>
      <c r="H281">
        <v>141.82</v>
      </c>
      <c r="I281" t="s">
        <v>522</v>
      </c>
      <c r="J281" t="str">
        <f t="shared" si="8"/>
        <v>Average😒</v>
      </c>
      <c r="K281" s="6" t="str">
        <f t="shared" si="9"/>
        <v>Restock</v>
      </c>
    </row>
    <row r="282" spans="1:11" x14ac:dyDescent="0.3">
      <c r="A282">
        <v>281</v>
      </c>
      <c r="B282" s="6">
        <v>44961</v>
      </c>
      <c r="C282" t="s">
        <v>35</v>
      </c>
      <c r="D282" t="s">
        <v>53</v>
      </c>
      <c r="E282" t="s">
        <v>64</v>
      </c>
      <c r="F282">
        <v>2</v>
      </c>
      <c r="G282">
        <v>98.8</v>
      </c>
      <c r="H282">
        <v>197.6</v>
      </c>
      <c r="I282" t="s">
        <v>522</v>
      </c>
      <c r="J282" t="str">
        <f t="shared" si="8"/>
        <v>Average😒</v>
      </c>
      <c r="K282" s="6" t="str">
        <f t="shared" si="9"/>
        <v>Restock</v>
      </c>
    </row>
    <row r="283" spans="1:11" x14ac:dyDescent="0.3">
      <c r="A283">
        <v>282</v>
      </c>
      <c r="B283" s="6">
        <v>44986</v>
      </c>
      <c r="C283" t="s">
        <v>34</v>
      </c>
      <c r="D283" t="s">
        <v>42</v>
      </c>
      <c r="E283" t="s">
        <v>41</v>
      </c>
      <c r="F283">
        <v>1</v>
      </c>
      <c r="G283">
        <v>373.15</v>
      </c>
      <c r="H283">
        <v>373.15</v>
      </c>
      <c r="I283" t="s">
        <v>523</v>
      </c>
      <c r="J283" t="str">
        <f t="shared" si="8"/>
        <v>Average😒</v>
      </c>
      <c r="K283" s="6" t="str">
        <f t="shared" si="9"/>
        <v>Restock</v>
      </c>
    </row>
    <row r="284" spans="1:11" x14ac:dyDescent="0.3">
      <c r="A284">
        <v>283</v>
      </c>
      <c r="B284" s="6">
        <v>45155</v>
      </c>
      <c r="C284" t="s">
        <v>34</v>
      </c>
      <c r="D284" t="s">
        <v>42</v>
      </c>
      <c r="E284" t="s">
        <v>66</v>
      </c>
      <c r="F284">
        <v>8</v>
      </c>
      <c r="G284">
        <v>415.69</v>
      </c>
      <c r="H284">
        <v>3325.52</v>
      </c>
      <c r="I284" t="s">
        <v>519</v>
      </c>
      <c r="J284" t="str">
        <f t="shared" si="8"/>
        <v>Excellent👍</v>
      </c>
      <c r="K284" s="6" t="str">
        <f t="shared" si="9"/>
        <v>Remain</v>
      </c>
    </row>
    <row r="285" spans="1:11" x14ac:dyDescent="0.3">
      <c r="A285">
        <v>284</v>
      </c>
      <c r="B285" s="6">
        <v>44931</v>
      </c>
      <c r="C285" t="s">
        <v>35</v>
      </c>
      <c r="D285" t="s">
        <v>53</v>
      </c>
      <c r="E285" t="s">
        <v>60</v>
      </c>
      <c r="F285">
        <v>3</v>
      </c>
      <c r="G285">
        <v>90.49</v>
      </c>
      <c r="H285">
        <v>271.47000000000003</v>
      </c>
      <c r="I285" t="s">
        <v>521</v>
      </c>
      <c r="J285" t="str">
        <f t="shared" si="8"/>
        <v>Average😒</v>
      </c>
      <c r="K285" s="6" t="str">
        <f t="shared" si="9"/>
        <v>Restock</v>
      </c>
    </row>
    <row r="286" spans="1:11" x14ac:dyDescent="0.3">
      <c r="A286">
        <v>285</v>
      </c>
      <c r="B286" s="6">
        <v>44988</v>
      </c>
      <c r="C286" t="s">
        <v>34</v>
      </c>
      <c r="D286" t="s">
        <v>56</v>
      </c>
      <c r="E286" t="s">
        <v>59</v>
      </c>
      <c r="F286">
        <v>3</v>
      </c>
      <c r="G286">
        <v>335.95</v>
      </c>
      <c r="H286">
        <v>1007.85</v>
      </c>
      <c r="I286" t="s">
        <v>521</v>
      </c>
      <c r="J286" t="str">
        <f t="shared" si="8"/>
        <v>Average😒</v>
      </c>
      <c r="K286" s="6" t="str">
        <f t="shared" si="9"/>
        <v>Restock</v>
      </c>
    </row>
    <row r="287" spans="1:11" x14ac:dyDescent="0.3">
      <c r="A287">
        <v>286</v>
      </c>
      <c r="B287" s="6">
        <v>44968</v>
      </c>
      <c r="C287" t="s">
        <v>33</v>
      </c>
      <c r="D287" t="s">
        <v>51</v>
      </c>
      <c r="E287" t="s">
        <v>55</v>
      </c>
      <c r="F287">
        <v>4</v>
      </c>
      <c r="G287">
        <v>164.94</v>
      </c>
      <c r="H287">
        <v>659.76</v>
      </c>
      <c r="I287" t="s">
        <v>520</v>
      </c>
      <c r="J287" t="str">
        <f t="shared" si="8"/>
        <v>Average😒</v>
      </c>
      <c r="K287" s="6" t="str">
        <f t="shared" si="9"/>
        <v>Restock</v>
      </c>
    </row>
    <row r="288" spans="1:11" x14ac:dyDescent="0.3">
      <c r="A288">
        <v>287</v>
      </c>
      <c r="B288" s="6">
        <v>45254</v>
      </c>
      <c r="C288" t="s">
        <v>33</v>
      </c>
      <c r="D288" t="s">
        <v>42</v>
      </c>
      <c r="E288" t="s">
        <v>50</v>
      </c>
      <c r="F288">
        <v>9</v>
      </c>
      <c r="G288">
        <v>344.66</v>
      </c>
      <c r="H288">
        <v>3101.94</v>
      </c>
      <c r="I288" t="s">
        <v>522</v>
      </c>
      <c r="J288" t="str">
        <f t="shared" si="8"/>
        <v>Excellent👍</v>
      </c>
      <c r="K288" s="6" t="str">
        <f t="shared" si="9"/>
        <v>Remain</v>
      </c>
    </row>
    <row r="289" spans="1:11" x14ac:dyDescent="0.3">
      <c r="A289">
        <v>288</v>
      </c>
      <c r="B289" s="6">
        <v>45214</v>
      </c>
      <c r="C289" t="s">
        <v>34</v>
      </c>
      <c r="D289" t="s">
        <v>53</v>
      </c>
      <c r="E289" t="s">
        <v>54</v>
      </c>
      <c r="F289">
        <v>7</v>
      </c>
      <c r="G289">
        <v>359.75</v>
      </c>
      <c r="H289">
        <v>2518.25</v>
      </c>
      <c r="I289" t="s">
        <v>524</v>
      </c>
      <c r="J289" t="str">
        <f t="shared" si="8"/>
        <v>Excellent👍</v>
      </c>
      <c r="K289" s="6" t="str">
        <f t="shared" si="9"/>
        <v>Remain</v>
      </c>
    </row>
    <row r="290" spans="1:11" x14ac:dyDescent="0.3">
      <c r="A290">
        <v>289</v>
      </c>
      <c r="B290" s="6">
        <v>45279</v>
      </c>
      <c r="C290" t="s">
        <v>35</v>
      </c>
      <c r="D290" t="s">
        <v>42</v>
      </c>
      <c r="E290" t="s">
        <v>50</v>
      </c>
      <c r="F290">
        <v>3</v>
      </c>
      <c r="G290">
        <v>315.81</v>
      </c>
      <c r="H290">
        <v>947.43000000000006</v>
      </c>
      <c r="I290" t="s">
        <v>519</v>
      </c>
      <c r="J290" t="str">
        <f t="shared" si="8"/>
        <v>Average😒</v>
      </c>
      <c r="K290" s="6" t="str">
        <f t="shared" si="9"/>
        <v>Restock</v>
      </c>
    </row>
    <row r="291" spans="1:11" x14ac:dyDescent="0.3">
      <c r="A291">
        <v>290</v>
      </c>
      <c r="B291" s="6">
        <v>45079</v>
      </c>
      <c r="C291" t="s">
        <v>33</v>
      </c>
      <c r="D291" t="s">
        <v>56</v>
      </c>
      <c r="E291" t="s">
        <v>57</v>
      </c>
      <c r="F291">
        <v>7</v>
      </c>
      <c r="G291">
        <v>224.98</v>
      </c>
      <c r="H291">
        <v>1574.86</v>
      </c>
      <c r="I291" t="s">
        <v>522</v>
      </c>
      <c r="J291" t="str">
        <f t="shared" si="8"/>
        <v>Average😒</v>
      </c>
      <c r="K291" s="6" t="str">
        <f t="shared" si="9"/>
        <v>Remain</v>
      </c>
    </row>
    <row r="292" spans="1:11" x14ac:dyDescent="0.3">
      <c r="A292">
        <v>291</v>
      </c>
      <c r="B292" s="6">
        <v>45235</v>
      </c>
      <c r="C292" t="s">
        <v>36</v>
      </c>
      <c r="D292" t="s">
        <v>51</v>
      </c>
      <c r="E292" t="s">
        <v>52</v>
      </c>
      <c r="F292">
        <v>1</v>
      </c>
      <c r="G292">
        <v>450.79</v>
      </c>
      <c r="H292">
        <v>450.79</v>
      </c>
      <c r="I292" t="s">
        <v>525</v>
      </c>
      <c r="J292" t="str">
        <f t="shared" si="8"/>
        <v>Average😒</v>
      </c>
      <c r="K292" s="6" t="str">
        <f t="shared" si="9"/>
        <v>Restock</v>
      </c>
    </row>
    <row r="293" spans="1:11" x14ac:dyDescent="0.3">
      <c r="A293">
        <v>292</v>
      </c>
      <c r="B293" s="6">
        <v>44965</v>
      </c>
      <c r="C293" t="s">
        <v>35</v>
      </c>
      <c r="D293" t="s">
        <v>56</v>
      </c>
      <c r="E293" t="s">
        <v>59</v>
      </c>
      <c r="F293">
        <v>8</v>
      </c>
      <c r="G293">
        <v>122.22</v>
      </c>
      <c r="H293">
        <v>977.76</v>
      </c>
      <c r="I293" t="s">
        <v>520</v>
      </c>
      <c r="J293" t="str">
        <f t="shared" si="8"/>
        <v>Average😒</v>
      </c>
      <c r="K293" s="6" t="str">
        <f t="shared" si="9"/>
        <v>Remain</v>
      </c>
    </row>
    <row r="294" spans="1:11" x14ac:dyDescent="0.3">
      <c r="A294">
        <v>293</v>
      </c>
      <c r="B294" s="6">
        <v>44993</v>
      </c>
      <c r="C294" t="s">
        <v>36</v>
      </c>
      <c r="D294" t="s">
        <v>56</v>
      </c>
      <c r="E294" t="s">
        <v>62</v>
      </c>
      <c r="F294">
        <v>3</v>
      </c>
      <c r="G294">
        <v>221.45</v>
      </c>
      <c r="H294">
        <v>664.34999999999991</v>
      </c>
      <c r="I294" t="s">
        <v>525</v>
      </c>
      <c r="J294" t="str">
        <f t="shared" si="8"/>
        <v>Average😒</v>
      </c>
      <c r="K294" s="6" t="str">
        <f t="shared" si="9"/>
        <v>Restock</v>
      </c>
    </row>
    <row r="295" spans="1:11" x14ac:dyDescent="0.3">
      <c r="A295">
        <v>294</v>
      </c>
      <c r="B295" s="6">
        <v>44968</v>
      </c>
      <c r="C295" t="s">
        <v>35</v>
      </c>
      <c r="D295" t="s">
        <v>56</v>
      </c>
      <c r="E295" t="s">
        <v>57</v>
      </c>
      <c r="F295">
        <v>7</v>
      </c>
      <c r="G295">
        <v>367.97</v>
      </c>
      <c r="H295">
        <v>2575.79</v>
      </c>
      <c r="I295" t="s">
        <v>523</v>
      </c>
      <c r="J295" t="str">
        <f t="shared" si="8"/>
        <v>Excellent👍</v>
      </c>
      <c r="K295" s="6" t="str">
        <f t="shared" si="9"/>
        <v>Remain</v>
      </c>
    </row>
    <row r="296" spans="1:11" x14ac:dyDescent="0.3">
      <c r="A296">
        <v>295</v>
      </c>
      <c r="B296" s="6">
        <v>45083</v>
      </c>
      <c r="C296" t="s">
        <v>36</v>
      </c>
      <c r="D296" t="s">
        <v>56</v>
      </c>
      <c r="E296" t="s">
        <v>59</v>
      </c>
      <c r="F296">
        <v>4</v>
      </c>
      <c r="G296">
        <v>399.07</v>
      </c>
      <c r="H296">
        <v>1596.28</v>
      </c>
      <c r="I296" t="s">
        <v>519</v>
      </c>
      <c r="J296" t="str">
        <f t="shared" si="8"/>
        <v>Average😒</v>
      </c>
      <c r="K296" s="6" t="str">
        <f t="shared" si="9"/>
        <v>Restock</v>
      </c>
    </row>
    <row r="297" spans="1:11" x14ac:dyDescent="0.3">
      <c r="A297">
        <v>296</v>
      </c>
      <c r="B297" s="6">
        <v>45157</v>
      </c>
      <c r="C297" t="s">
        <v>36</v>
      </c>
      <c r="D297" t="s">
        <v>56</v>
      </c>
      <c r="E297" t="s">
        <v>59</v>
      </c>
      <c r="F297">
        <v>1</v>
      </c>
      <c r="G297">
        <v>271.39999999999998</v>
      </c>
      <c r="H297">
        <v>271.39999999999998</v>
      </c>
      <c r="I297" t="s">
        <v>522</v>
      </c>
      <c r="J297" t="str">
        <f t="shared" si="8"/>
        <v>Average😒</v>
      </c>
      <c r="K297" s="6" t="str">
        <f t="shared" si="9"/>
        <v>Restock</v>
      </c>
    </row>
    <row r="298" spans="1:11" x14ac:dyDescent="0.3">
      <c r="A298">
        <v>297</v>
      </c>
      <c r="B298" s="6">
        <v>45023</v>
      </c>
      <c r="C298" t="s">
        <v>36</v>
      </c>
      <c r="D298" t="s">
        <v>56</v>
      </c>
      <c r="E298" t="s">
        <v>61</v>
      </c>
      <c r="F298">
        <v>4</v>
      </c>
      <c r="G298">
        <v>498.87</v>
      </c>
      <c r="H298">
        <v>1995.48</v>
      </c>
      <c r="I298" t="s">
        <v>522</v>
      </c>
      <c r="J298" t="str">
        <f t="shared" si="8"/>
        <v>Average😒</v>
      </c>
      <c r="K298" s="6" t="str">
        <f t="shared" si="9"/>
        <v>Restock</v>
      </c>
    </row>
    <row r="299" spans="1:11" x14ac:dyDescent="0.3">
      <c r="A299">
        <v>298</v>
      </c>
      <c r="B299" s="6">
        <v>45215</v>
      </c>
      <c r="C299" t="s">
        <v>33</v>
      </c>
      <c r="D299" t="s">
        <v>53</v>
      </c>
      <c r="E299" t="s">
        <v>58</v>
      </c>
      <c r="F299">
        <v>5</v>
      </c>
      <c r="G299">
        <v>391.5</v>
      </c>
      <c r="H299">
        <v>1957.5</v>
      </c>
      <c r="I299" t="s">
        <v>525</v>
      </c>
      <c r="J299" t="str">
        <f t="shared" si="8"/>
        <v>Average😒</v>
      </c>
      <c r="K299" s="6" t="str">
        <f t="shared" si="9"/>
        <v>Remain</v>
      </c>
    </row>
    <row r="300" spans="1:11" x14ac:dyDescent="0.3">
      <c r="A300">
        <v>299</v>
      </c>
      <c r="B300" s="6">
        <v>44936</v>
      </c>
      <c r="C300" t="s">
        <v>36</v>
      </c>
      <c r="D300" t="s">
        <v>56</v>
      </c>
      <c r="E300" t="s">
        <v>61</v>
      </c>
      <c r="F300">
        <v>4</v>
      </c>
      <c r="G300">
        <v>289.25</v>
      </c>
      <c r="H300">
        <v>1157</v>
      </c>
      <c r="I300" t="s">
        <v>519</v>
      </c>
      <c r="J300" t="str">
        <f t="shared" si="8"/>
        <v>Average😒</v>
      </c>
      <c r="K300" s="6" t="str">
        <f t="shared" si="9"/>
        <v>Restock</v>
      </c>
    </row>
    <row r="301" spans="1:11" x14ac:dyDescent="0.3">
      <c r="A301">
        <v>300</v>
      </c>
      <c r="B301" s="6">
        <v>45279</v>
      </c>
      <c r="C301" t="s">
        <v>36</v>
      </c>
      <c r="D301" t="s">
        <v>51</v>
      </c>
      <c r="E301" t="s">
        <v>55</v>
      </c>
      <c r="F301">
        <v>5</v>
      </c>
      <c r="G301">
        <v>439.62</v>
      </c>
      <c r="H301">
        <v>2198.1</v>
      </c>
      <c r="I301" t="s">
        <v>519</v>
      </c>
      <c r="J301" t="str">
        <f t="shared" si="8"/>
        <v>Excellent👍</v>
      </c>
      <c r="K301" s="6" t="str">
        <f t="shared" si="9"/>
        <v>Remain</v>
      </c>
    </row>
    <row r="302" spans="1:11" x14ac:dyDescent="0.3">
      <c r="A302">
        <v>301</v>
      </c>
      <c r="B302" s="6">
        <v>45085</v>
      </c>
      <c r="C302" t="s">
        <v>33</v>
      </c>
      <c r="D302" t="s">
        <v>51</v>
      </c>
      <c r="E302" t="s">
        <v>65</v>
      </c>
      <c r="F302">
        <v>6</v>
      </c>
      <c r="G302">
        <v>412.42</v>
      </c>
      <c r="H302">
        <v>2474.52</v>
      </c>
      <c r="I302" t="s">
        <v>525</v>
      </c>
      <c r="J302" t="str">
        <f t="shared" si="8"/>
        <v>Excellent👍</v>
      </c>
      <c r="K302" s="6" t="str">
        <f t="shared" si="9"/>
        <v>Remain</v>
      </c>
    </row>
    <row r="303" spans="1:11" x14ac:dyDescent="0.3">
      <c r="A303">
        <v>302</v>
      </c>
      <c r="B303" s="6">
        <v>45110</v>
      </c>
      <c r="C303" t="s">
        <v>36</v>
      </c>
      <c r="D303" t="s">
        <v>51</v>
      </c>
      <c r="E303" t="s">
        <v>63</v>
      </c>
      <c r="F303">
        <v>4</v>
      </c>
      <c r="G303">
        <v>233.93</v>
      </c>
      <c r="H303">
        <v>935.72</v>
      </c>
      <c r="I303" t="s">
        <v>525</v>
      </c>
      <c r="J303" t="str">
        <f t="shared" si="8"/>
        <v>Average😒</v>
      </c>
      <c r="K303" s="6" t="str">
        <f t="shared" si="9"/>
        <v>Restock</v>
      </c>
    </row>
    <row r="304" spans="1:11" x14ac:dyDescent="0.3">
      <c r="A304">
        <v>303</v>
      </c>
      <c r="B304" s="6">
        <v>44973</v>
      </c>
      <c r="C304" t="s">
        <v>34</v>
      </c>
      <c r="D304" t="s">
        <v>42</v>
      </c>
      <c r="E304" t="s">
        <v>66</v>
      </c>
      <c r="F304">
        <v>8</v>
      </c>
      <c r="G304">
        <v>83.46</v>
      </c>
      <c r="H304">
        <v>667.68</v>
      </c>
      <c r="I304" t="s">
        <v>520</v>
      </c>
      <c r="J304" t="str">
        <f t="shared" si="8"/>
        <v>Average😒</v>
      </c>
      <c r="K304" s="6" t="str">
        <f t="shared" si="9"/>
        <v>Remain</v>
      </c>
    </row>
    <row r="305" spans="1:11" x14ac:dyDescent="0.3">
      <c r="A305">
        <v>304</v>
      </c>
      <c r="B305" s="6">
        <v>45056</v>
      </c>
      <c r="C305" t="s">
        <v>34</v>
      </c>
      <c r="D305" t="s">
        <v>42</v>
      </c>
      <c r="E305" t="s">
        <v>41</v>
      </c>
      <c r="F305">
        <v>4</v>
      </c>
      <c r="G305">
        <v>363.9</v>
      </c>
      <c r="H305">
        <v>1455.6</v>
      </c>
      <c r="I305" t="s">
        <v>519</v>
      </c>
      <c r="J305" t="str">
        <f t="shared" si="8"/>
        <v>Average😒</v>
      </c>
      <c r="K305" s="6" t="str">
        <f t="shared" si="9"/>
        <v>Restock</v>
      </c>
    </row>
    <row r="306" spans="1:11" x14ac:dyDescent="0.3">
      <c r="A306">
        <v>305</v>
      </c>
      <c r="B306" s="6">
        <v>45218</v>
      </c>
      <c r="C306" t="s">
        <v>33</v>
      </c>
      <c r="D306" t="s">
        <v>53</v>
      </c>
      <c r="E306" t="s">
        <v>64</v>
      </c>
      <c r="F306">
        <v>3</v>
      </c>
      <c r="G306">
        <v>350.03</v>
      </c>
      <c r="H306">
        <v>1050.0899999999999</v>
      </c>
      <c r="I306" t="s">
        <v>524</v>
      </c>
      <c r="J306" t="str">
        <f t="shared" si="8"/>
        <v>Average😒</v>
      </c>
      <c r="K306" s="6" t="str">
        <f t="shared" si="9"/>
        <v>Restock</v>
      </c>
    </row>
    <row r="307" spans="1:11" x14ac:dyDescent="0.3">
      <c r="A307">
        <v>306</v>
      </c>
      <c r="B307" s="6">
        <v>45180</v>
      </c>
      <c r="C307" t="s">
        <v>33</v>
      </c>
      <c r="D307" t="s">
        <v>51</v>
      </c>
      <c r="E307" t="s">
        <v>52</v>
      </c>
      <c r="F307">
        <v>5</v>
      </c>
      <c r="G307">
        <v>415.13</v>
      </c>
      <c r="H307">
        <v>2075.65</v>
      </c>
      <c r="I307" t="s">
        <v>522</v>
      </c>
      <c r="J307" t="str">
        <f t="shared" si="8"/>
        <v>Excellent👍</v>
      </c>
      <c r="K307" s="6" t="str">
        <f t="shared" si="9"/>
        <v>Remain</v>
      </c>
    </row>
    <row r="308" spans="1:11" x14ac:dyDescent="0.3">
      <c r="A308">
        <v>307</v>
      </c>
      <c r="B308" s="6">
        <v>45126</v>
      </c>
      <c r="C308" t="s">
        <v>33</v>
      </c>
      <c r="D308" t="s">
        <v>56</v>
      </c>
      <c r="E308" t="s">
        <v>62</v>
      </c>
      <c r="F308">
        <v>8</v>
      </c>
      <c r="G308">
        <v>295.86</v>
      </c>
      <c r="H308">
        <v>2366.88</v>
      </c>
      <c r="I308" t="s">
        <v>523</v>
      </c>
      <c r="J308" t="str">
        <f t="shared" si="8"/>
        <v>Excellent👍</v>
      </c>
      <c r="K308" s="6" t="str">
        <f t="shared" si="9"/>
        <v>Remain</v>
      </c>
    </row>
    <row r="309" spans="1:11" x14ac:dyDescent="0.3">
      <c r="A309">
        <v>308</v>
      </c>
      <c r="B309" s="6">
        <v>45228</v>
      </c>
      <c r="C309" t="s">
        <v>35</v>
      </c>
      <c r="D309" t="s">
        <v>56</v>
      </c>
      <c r="E309" t="s">
        <v>57</v>
      </c>
      <c r="F309">
        <v>7</v>
      </c>
      <c r="G309">
        <v>236.38</v>
      </c>
      <c r="H309">
        <v>1654.66</v>
      </c>
      <c r="I309" t="s">
        <v>519</v>
      </c>
      <c r="J309" t="str">
        <f t="shared" si="8"/>
        <v>Average😒</v>
      </c>
      <c r="K309" s="6" t="str">
        <f t="shared" si="9"/>
        <v>Remain</v>
      </c>
    </row>
    <row r="310" spans="1:11" x14ac:dyDescent="0.3">
      <c r="A310">
        <v>309</v>
      </c>
      <c r="B310" s="6">
        <v>45037</v>
      </c>
      <c r="C310" t="s">
        <v>34</v>
      </c>
      <c r="D310" t="s">
        <v>51</v>
      </c>
      <c r="E310" t="s">
        <v>52</v>
      </c>
      <c r="F310">
        <v>8</v>
      </c>
      <c r="G310">
        <v>257.89</v>
      </c>
      <c r="H310">
        <v>2063.12</v>
      </c>
      <c r="I310" t="s">
        <v>520</v>
      </c>
      <c r="J310" t="str">
        <f t="shared" si="8"/>
        <v>Excellent👍</v>
      </c>
      <c r="K310" s="6" t="str">
        <f t="shared" si="9"/>
        <v>Remain</v>
      </c>
    </row>
    <row r="311" spans="1:11" x14ac:dyDescent="0.3">
      <c r="A311">
        <v>310</v>
      </c>
      <c r="B311" s="6">
        <v>45282</v>
      </c>
      <c r="C311" t="s">
        <v>33</v>
      </c>
      <c r="D311" t="s">
        <v>51</v>
      </c>
      <c r="E311" t="s">
        <v>65</v>
      </c>
      <c r="F311">
        <v>8</v>
      </c>
      <c r="G311">
        <v>437.34</v>
      </c>
      <c r="H311">
        <v>3498.72</v>
      </c>
      <c r="I311" t="s">
        <v>522</v>
      </c>
      <c r="J311" t="str">
        <f t="shared" si="8"/>
        <v>Excellent👍</v>
      </c>
      <c r="K311" s="6" t="str">
        <f t="shared" si="9"/>
        <v>Remain</v>
      </c>
    </row>
    <row r="312" spans="1:11" x14ac:dyDescent="0.3">
      <c r="A312">
        <v>311</v>
      </c>
      <c r="B312" s="6">
        <v>45219</v>
      </c>
      <c r="C312" t="s">
        <v>35</v>
      </c>
      <c r="D312" t="s">
        <v>53</v>
      </c>
      <c r="E312" t="s">
        <v>60</v>
      </c>
      <c r="F312">
        <v>4</v>
      </c>
      <c r="G312">
        <v>397.14</v>
      </c>
      <c r="H312">
        <v>1588.56</v>
      </c>
      <c r="I312" t="s">
        <v>521</v>
      </c>
      <c r="J312" t="str">
        <f t="shared" si="8"/>
        <v>Average😒</v>
      </c>
      <c r="K312" s="6" t="str">
        <f t="shared" si="9"/>
        <v>Restock</v>
      </c>
    </row>
    <row r="313" spans="1:11" x14ac:dyDescent="0.3">
      <c r="A313">
        <v>312</v>
      </c>
      <c r="B313" s="6">
        <v>45018</v>
      </c>
      <c r="C313" t="s">
        <v>33</v>
      </c>
      <c r="D313" t="s">
        <v>53</v>
      </c>
      <c r="E313" t="s">
        <v>64</v>
      </c>
      <c r="F313">
        <v>8</v>
      </c>
      <c r="G313">
        <v>329.17</v>
      </c>
      <c r="H313">
        <v>2633.36</v>
      </c>
      <c r="I313" t="s">
        <v>524</v>
      </c>
      <c r="J313" t="str">
        <f t="shared" si="8"/>
        <v>Excellent👍</v>
      </c>
      <c r="K313" s="6" t="str">
        <f t="shared" si="9"/>
        <v>Remain</v>
      </c>
    </row>
    <row r="314" spans="1:11" x14ac:dyDescent="0.3">
      <c r="A314">
        <v>313</v>
      </c>
      <c r="B314" s="6">
        <v>44955</v>
      </c>
      <c r="C314" t="s">
        <v>35</v>
      </c>
      <c r="D314" t="s">
        <v>53</v>
      </c>
      <c r="E314" t="s">
        <v>64</v>
      </c>
      <c r="F314">
        <v>9</v>
      </c>
      <c r="G314">
        <v>217.82</v>
      </c>
      <c r="H314">
        <v>1960.38</v>
      </c>
      <c r="I314" t="s">
        <v>519</v>
      </c>
      <c r="J314" t="str">
        <f t="shared" si="8"/>
        <v>Average😒</v>
      </c>
      <c r="K314" s="6" t="str">
        <f t="shared" si="9"/>
        <v>Remain</v>
      </c>
    </row>
    <row r="315" spans="1:11" x14ac:dyDescent="0.3">
      <c r="A315">
        <v>314</v>
      </c>
      <c r="B315" s="6">
        <v>45193</v>
      </c>
      <c r="C315" t="s">
        <v>35</v>
      </c>
      <c r="D315" t="s">
        <v>51</v>
      </c>
      <c r="E315" t="s">
        <v>65</v>
      </c>
      <c r="F315">
        <v>8</v>
      </c>
      <c r="G315">
        <v>421.82</v>
      </c>
      <c r="H315">
        <v>3374.56</v>
      </c>
      <c r="I315" t="s">
        <v>524</v>
      </c>
      <c r="J315" t="str">
        <f t="shared" si="8"/>
        <v>Excellent👍</v>
      </c>
      <c r="K315" s="6" t="str">
        <f t="shared" si="9"/>
        <v>Remain</v>
      </c>
    </row>
    <row r="316" spans="1:11" x14ac:dyDescent="0.3">
      <c r="A316">
        <v>315</v>
      </c>
      <c r="B316" s="6">
        <v>45027</v>
      </c>
      <c r="C316" t="s">
        <v>35</v>
      </c>
      <c r="D316" t="s">
        <v>51</v>
      </c>
      <c r="E316" t="s">
        <v>65</v>
      </c>
      <c r="F316">
        <v>7</v>
      </c>
      <c r="G316">
        <v>70.180000000000007</v>
      </c>
      <c r="H316">
        <v>491.26</v>
      </c>
      <c r="I316" t="s">
        <v>524</v>
      </c>
      <c r="J316" t="str">
        <f t="shared" si="8"/>
        <v>Average😒</v>
      </c>
      <c r="K316" s="6" t="str">
        <f t="shared" si="9"/>
        <v>Remain</v>
      </c>
    </row>
    <row r="317" spans="1:11" x14ac:dyDescent="0.3">
      <c r="A317">
        <v>316</v>
      </c>
      <c r="B317" s="6">
        <v>45108</v>
      </c>
      <c r="C317" t="s">
        <v>33</v>
      </c>
      <c r="D317" t="s">
        <v>56</v>
      </c>
      <c r="E317" t="s">
        <v>61</v>
      </c>
      <c r="F317">
        <v>5</v>
      </c>
      <c r="G317">
        <v>91.11</v>
      </c>
      <c r="H317">
        <v>455.55</v>
      </c>
      <c r="I317" t="s">
        <v>521</v>
      </c>
      <c r="J317" t="str">
        <f t="shared" si="8"/>
        <v>Average😒</v>
      </c>
      <c r="K317" s="6" t="str">
        <f t="shared" si="9"/>
        <v>Remain</v>
      </c>
    </row>
    <row r="318" spans="1:11" x14ac:dyDescent="0.3">
      <c r="A318">
        <v>317</v>
      </c>
      <c r="B318" s="6">
        <v>45245</v>
      </c>
      <c r="C318" t="s">
        <v>36</v>
      </c>
      <c r="D318" t="s">
        <v>51</v>
      </c>
      <c r="E318" t="s">
        <v>55</v>
      </c>
      <c r="F318">
        <v>7</v>
      </c>
      <c r="G318">
        <v>461.21</v>
      </c>
      <c r="H318">
        <v>3228.47</v>
      </c>
      <c r="I318" t="s">
        <v>521</v>
      </c>
      <c r="J318" t="str">
        <f t="shared" si="8"/>
        <v>Excellent👍</v>
      </c>
      <c r="K318" s="6" t="str">
        <f t="shared" si="9"/>
        <v>Remain</v>
      </c>
    </row>
    <row r="319" spans="1:11" x14ac:dyDescent="0.3">
      <c r="A319">
        <v>318</v>
      </c>
      <c r="B319" s="6">
        <v>45075</v>
      </c>
      <c r="C319" t="s">
        <v>33</v>
      </c>
      <c r="D319" t="s">
        <v>56</v>
      </c>
      <c r="E319" t="s">
        <v>59</v>
      </c>
      <c r="F319">
        <v>6</v>
      </c>
      <c r="G319">
        <v>264.23</v>
      </c>
      <c r="H319">
        <v>1585.38</v>
      </c>
      <c r="I319" t="s">
        <v>520</v>
      </c>
      <c r="J319" t="str">
        <f t="shared" si="8"/>
        <v>Average😒</v>
      </c>
      <c r="K319" s="6" t="str">
        <f t="shared" si="9"/>
        <v>Remain</v>
      </c>
    </row>
    <row r="320" spans="1:11" x14ac:dyDescent="0.3">
      <c r="A320">
        <v>319</v>
      </c>
      <c r="B320" s="6">
        <v>45128</v>
      </c>
      <c r="C320" t="s">
        <v>34</v>
      </c>
      <c r="D320" t="s">
        <v>53</v>
      </c>
      <c r="E320" t="s">
        <v>60</v>
      </c>
      <c r="F320">
        <v>9</v>
      </c>
      <c r="G320">
        <v>374.68</v>
      </c>
      <c r="H320">
        <v>3372.12</v>
      </c>
      <c r="I320" t="s">
        <v>523</v>
      </c>
      <c r="J320" t="str">
        <f t="shared" si="8"/>
        <v>Excellent👍</v>
      </c>
      <c r="K320" s="6" t="str">
        <f t="shared" si="9"/>
        <v>Remain</v>
      </c>
    </row>
    <row r="321" spans="1:11" x14ac:dyDescent="0.3">
      <c r="A321">
        <v>320</v>
      </c>
      <c r="B321" s="6">
        <v>45080</v>
      </c>
      <c r="C321" t="s">
        <v>34</v>
      </c>
      <c r="D321" t="s">
        <v>42</v>
      </c>
      <c r="E321" t="s">
        <v>66</v>
      </c>
      <c r="F321">
        <v>4</v>
      </c>
      <c r="G321">
        <v>396.02</v>
      </c>
      <c r="H321">
        <v>1584.08</v>
      </c>
      <c r="I321" t="s">
        <v>519</v>
      </c>
      <c r="J321" t="str">
        <f t="shared" si="8"/>
        <v>Average😒</v>
      </c>
      <c r="K321" s="6" t="str">
        <f t="shared" si="9"/>
        <v>Restock</v>
      </c>
    </row>
    <row r="322" spans="1:11" x14ac:dyDescent="0.3">
      <c r="A322">
        <v>321</v>
      </c>
      <c r="B322" s="6">
        <v>45170</v>
      </c>
      <c r="C322" t="s">
        <v>35</v>
      </c>
      <c r="D322" t="s">
        <v>51</v>
      </c>
      <c r="E322" t="s">
        <v>52</v>
      </c>
      <c r="F322">
        <v>9</v>
      </c>
      <c r="G322">
        <v>65.989999999999995</v>
      </c>
      <c r="H322">
        <v>593.91</v>
      </c>
      <c r="I322" t="s">
        <v>525</v>
      </c>
      <c r="J322" t="str">
        <f t="shared" si="8"/>
        <v>Average😒</v>
      </c>
      <c r="K322" s="6" t="str">
        <f t="shared" si="9"/>
        <v>Remain</v>
      </c>
    </row>
    <row r="323" spans="1:11" x14ac:dyDescent="0.3">
      <c r="A323">
        <v>322</v>
      </c>
      <c r="B323" s="6">
        <v>45220</v>
      </c>
      <c r="C323" t="s">
        <v>34</v>
      </c>
      <c r="D323" t="s">
        <v>56</v>
      </c>
      <c r="E323" t="s">
        <v>57</v>
      </c>
      <c r="F323">
        <v>9</v>
      </c>
      <c r="G323">
        <v>433.12</v>
      </c>
      <c r="H323">
        <v>3898.08</v>
      </c>
      <c r="I323" t="s">
        <v>523</v>
      </c>
      <c r="J323" t="str">
        <f t="shared" ref="J323:J386" si="10">IF(H323&gt;=2000,"Excellent👍","Average😒")</f>
        <v>Excellent👍</v>
      </c>
      <c r="K323" s="6" t="str">
        <f t="shared" ref="K323:K386" si="11">IF(F323&lt;5,"Restock","Remain")</f>
        <v>Remain</v>
      </c>
    </row>
    <row r="324" spans="1:11" x14ac:dyDescent="0.3">
      <c r="A324">
        <v>323</v>
      </c>
      <c r="B324" s="6">
        <v>45273</v>
      </c>
      <c r="C324" t="s">
        <v>33</v>
      </c>
      <c r="D324" t="s">
        <v>56</v>
      </c>
      <c r="E324" t="s">
        <v>61</v>
      </c>
      <c r="F324">
        <v>2</v>
      </c>
      <c r="G324">
        <v>238.19</v>
      </c>
      <c r="H324">
        <v>476.38</v>
      </c>
      <c r="I324" t="s">
        <v>524</v>
      </c>
      <c r="J324" t="str">
        <f t="shared" si="10"/>
        <v>Average😒</v>
      </c>
      <c r="K324" s="6" t="str">
        <f t="shared" si="11"/>
        <v>Restock</v>
      </c>
    </row>
    <row r="325" spans="1:11" x14ac:dyDescent="0.3">
      <c r="A325">
        <v>324</v>
      </c>
      <c r="B325" s="6">
        <v>45290</v>
      </c>
      <c r="C325" t="s">
        <v>33</v>
      </c>
      <c r="D325" t="s">
        <v>42</v>
      </c>
      <c r="E325" t="s">
        <v>66</v>
      </c>
      <c r="F325">
        <v>1</v>
      </c>
      <c r="G325">
        <v>297.66000000000003</v>
      </c>
      <c r="H325">
        <v>297.66000000000003</v>
      </c>
      <c r="I325" t="s">
        <v>519</v>
      </c>
      <c r="J325" t="str">
        <f t="shared" si="10"/>
        <v>Average😒</v>
      </c>
      <c r="K325" s="6" t="str">
        <f t="shared" si="11"/>
        <v>Restock</v>
      </c>
    </row>
    <row r="326" spans="1:11" x14ac:dyDescent="0.3">
      <c r="A326">
        <v>325</v>
      </c>
      <c r="B326" s="6">
        <v>44951</v>
      </c>
      <c r="C326" t="s">
        <v>36</v>
      </c>
      <c r="D326" t="s">
        <v>56</v>
      </c>
      <c r="E326" t="s">
        <v>59</v>
      </c>
      <c r="F326">
        <v>3</v>
      </c>
      <c r="G326">
        <v>131.63</v>
      </c>
      <c r="H326">
        <v>394.89</v>
      </c>
      <c r="I326" t="s">
        <v>521</v>
      </c>
      <c r="J326" t="str">
        <f t="shared" si="10"/>
        <v>Average😒</v>
      </c>
      <c r="K326" s="6" t="str">
        <f t="shared" si="11"/>
        <v>Restock</v>
      </c>
    </row>
    <row r="327" spans="1:11" x14ac:dyDescent="0.3">
      <c r="A327">
        <v>326</v>
      </c>
      <c r="B327" s="6">
        <v>45270</v>
      </c>
      <c r="C327" t="s">
        <v>34</v>
      </c>
      <c r="D327" t="s">
        <v>56</v>
      </c>
      <c r="E327" t="s">
        <v>59</v>
      </c>
      <c r="F327">
        <v>7</v>
      </c>
      <c r="G327">
        <v>91.1</v>
      </c>
      <c r="H327">
        <v>637.69999999999993</v>
      </c>
      <c r="I327" t="s">
        <v>522</v>
      </c>
      <c r="J327" t="str">
        <f t="shared" si="10"/>
        <v>Average😒</v>
      </c>
      <c r="K327" s="6" t="str">
        <f t="shared" si="11"/>
        <v>Remain</v>
      </c>
    </row>
    <row r="328" spans="1:11" x14ac:dyDescent="0.3">
      <c r="A328">
        <v>327</v>
      </c>
      <c r="B328" s="6">
        <v>44989</v>
      </c>
      <c r="C328" t="s">
        <v>36</v>
      </c>
      <c r="D328" t="s">
        <v>53</v>
      </c>
      <c r="E328" t="s">
        <v>58</v>
      </c>
      <c r="F328">
        <v>1</v>
      </c>
      <c r="G328">
        <v>187.57</v>
      </c>
      <c r="H328">
        <v>187.57</v>
      </c>
      <c r="I328" t="s">
        <v>519</v>
      </c>
      <c r="J328" t="str">
        <f t="shared" si="10"/>
        <v>Average😒</v>
      </c>
      <c r="K328" s="6" t="str">
        <f t="shared" si="11"/>
        <v>Restock</v>
      </c>
    </row>
    <row r="329" spans="1:11" x14ac:dyDescent="0.3">
      <c r="A329">
        <v>328</v>
      </c>
      <c r="B329" s="6">
        <v>44975</v>
      </c>
      <c r="C329" t="s">
        <v>34</v>
      </c>
      <c r="D329" t="s">
        <v>56</v>
      </c>
      <c r="E329" t="s">
        <v>57</v>
      </c>
      <c r="F329">
        <v>6</v>
      </c>
      <c r="G329">
        <v>117.85</v>
      </c>
      <c r="H329">
        <v>707.09999999999991</v>
      </c>
      <c r="I329" t="s">
        <v>523</v>
      </c>
      <c r="J329" t="str">
        <f t="shared" si="10"/>
        <v>Average😒</v>
      </c>
      <c r="K329" s="6" t="str">
        <f t="shared" si="11"/>
        <v>Remain</v>
      </c>
    </row>
    <row r="330" spans="1:11" x14ac:dyDescent="0.3">
      <c r="A330">
        <v>329</v>
      </c>
      <c r="B330" s="6">
        <v>45287</v>
      </c>
      <c r="C330" t="s">
        <v>36</v>
      </c>
      <c r="D330" t="s">
        <v>53</v>
      </c>
      <c r="E330" t="s">
        <v>64</v>
      </c>
      <c r="F330">
        <v>7</v>
      </c>
      <c r="G330">
        <v>488.02</v>
      </c>
      <c r="H330">
        <v>3416.14</v>
      </c>
      <c r="I330" t="s">
        <v>523</v>
      </c>
      <c r="J330" t="str">
        <f t="shared" si="10"/>
        <v>Excellent👍</v>
      </c>
      <c r="K330" s="6" t="str">
        <f t="shared" si="11"/>
        <v>Remain</v>
      </c>
    </row>
    <row r="331" spans="1:11" x14ac:dyDescent="0.3">
      <c r="A331">
        <v>330</v>
      </c>
      <c r="B331" s="6">
        <v>45268</v>
      </c>
      <c r="C331" t="s">
        <v>34</v>
      </c>
      <c r="D331" t="s">
        <v>42</v>
      </c>
      <c r="E331" t="s">
        <v>66</v>
      </c>
      <c r="F331">
        <v>1</v>
      </c>
      <c r="G331">
        <v>283.08</v>
      </c>
      <c r="H331">
        <v>283.08</v>
      </c>
      <c r="I331" t="s">
        <v>522</v>
      </c>
      <c r="J331" t="str">
        <f t="shared" si="10"/>
        <v>Average😒</v>
      </c>
      <c r="K331" s="6" t="str">
        <f t="shared" si="11"/>
        <v>Restock</v>
      </c>
    </row>
    <row r="332" spans="1:11" x14ac:dyDescent="0.3">
      <c r="A332">
        <v>331</v>
      </c>
      <c r="B332" s="6">
        <v>45183</v>
      </c>
      <c r="C332" t="s">
        <v>36</v>
      </c>
      <c r="D332" t="s">
        <v>42</v>
      </c>
      <c r="E332" t="s">
        <v>50</v>
      </c>
      <c r="F332">
        <v>8</v>
      </c>
      <c r="G332">
        <v>256.08</v>
      </c>
      <c r="H332">
        <v>2048.64</v>
      </c>
      <c r="I332" t="s">
        <v>525</v>
      </c>
      <c r="J332" t="str">
        <f t="shared" si="10"/>
        <v>Excellent👍</v>
      </c>
      <c r="K332" s="6" t="str">
        <f t="shared" si="11"/>
        <v>Remain</v>
      </c>
    </row>
    <row r="333" spans="1:11" x14ac:dyDescent="0.3">
      <c r="A333">
        <v>332</v>
      </c>
      <c r="B333" s="6">
        <v>45137</v>
      </c>
      <c r="C333" t="s">
        <v>35</v>
      </c>
      <c r="D333" t="s">
        <v>53</v>
      </c>
      <c r="E333" t="s">
        <v>60</v>
      </c>
      <c r="F333">
        <v>7</v>
      </c>
      <c r="G333">
        <v>219.13</v>
      </c>
      <c r="H333">
        <v>1533.91</v>
      </c>
      <c r="I333" t="s">
        <v>524</v>
      </c>
      <c r="J333" t="str">
        <f t="shared" si="10"/>
        <v>Average😒</v>
      </c>
      <c r="K333" s="6" t="str">
        <f t="shared" si="11"/>
        <v>Remain</v>
      </c>
    </row>
    <row r="334" spans="1:11" x14ac:dyDescent="0.3">
      <c r="A334">
        <v>333</v>
      </c>
      <c r="B334" s="6">
        <v>45212</v>
      </c>
      <c r="C334" t="s">
        <v>33</v>
      </c>
      <c r="D334" t="s">
        <v>53</v>
      </c>
      <c r="E334" t="s">
        <v>54</v>
      </c>
      <c r="F334">
        <v>1</v>
      </c>
      <c r="G334">
        <v>27.91</v>
      </c>
      <c r="H334">
        <v>27.91</v>
      </c>
      <c r="I334" t="s">
        <v>523</v>
      </c>
      <c r="J334" t="str">
        <f t="shared" si="10"/>
        <v>Average😒</v>
      </c>
      <c r="K334" s="6" t="str">
        <f t="shared" si="11"/>
        <v>Restock</v>
      </c>
    </row>
    <row r="335" spans="1:11" x14ac:dyDescent="0.3">
      <c r="A335">
        <v>334</v>
      </c>
      <c r="B335" s="6">
        <v>45183</v>
      </c>
      <c r="C335" t="s">
        <v>35</v>
      </c>
      <c r="D335" t="s">
        <v>42</v>
      </c>
      <c r="E335" t="s">
        <v>41</v>
      </c>
      <c r="F335">
        <v>8</v>
      </c>
      <c r="G335">
        <v>297.85000000000002</v>
      </c>
      <c r="H335">
        <v>2382.8000000000002</v>
      </c>
      <c r="I335" t="s">
        <v>524</v>
      </c>
      <c r="J335" t="str">
        <f t="shared" si="10"/>
        <v>Excellent👍</v>
      </c>
      <c r="K335" s="6" t="str">
        <f t="shared" si="11"/>
        <v>Remain</v>
      </c>
    </row>
    <row r="336" spans="1:11" x14ac:dyDescent="0.3">
      <c r="A336">
        <v>335</v>
      </c>
      <c r="B336" s="6">
        <v>45120</v>
      </c>
      <c r="C336" t="s">
        <v>34</v>
      </c>
      <c r="D336" t="s">
        <v>56</v>
      </c>
      <c r="E336" t="s">
        <v>61</v>
      </c>
      <c r="F336">
        <v>3</v>
      </c>
      <c r="G336">
        <v>232.11</v>
      </c>
      <c r="H336">
        <v>696.33</v>
      </c>
      <c r="I336" t="s">
        <v>523</v>
      </c>
      <c r="J336" t="str">
        <f t="shared" si="10"/>
        <v>Average😒</v>
      </c>
      <c r="K336" s="6" t="str">
        <f t="shared" si="11"/>
        <v>Restock</v>
      </c>
    </row>
    <row r="337" spans="1:11" x14ac:dyDescent="0.3">
      <c r="A337">
        <v>336</v>
      </c>
      <c r="B337" s="6">
        <v>45040</v>
      </c>
      <c r="C337" t="s">
        <v>36</v>
      </c>
      <c r="D337" t="s">
        <v>53</v>
      </c>
      <c r="E337" t="s">
        <v>60</v>
      </c>
      <c r="F337">
        <v>6</v>
      </c>
      <c r="G337">
        <v>225.97</v>
      </c>
      <c r="H337">
        <v>1355.82</v>
      </c>
      <c r="I337" t="s">
        <v>525</v>
      </c>
      <c r="J337" t="str">
        <f t="shared" si="10"/>
        <v>Average😒</v>
      </c>
      <c r="K337" s="6" t="str">
        <f t="shared" si="11"/>
        <v>Remain</v>
      </c>
    </row>
    <row r="338" spans="1:11" x14ac:dyDescent="0.3">
      <c r="A338">
        <v>337</v>
      </c>
      <c r="B338" s="6">
        <v>45058</v>
      </c>
      <c r="C338" t="s">
        <v>35</v>
      </c>
      <c r="D338" t="s">
        <v>42</v>
      </c>
      <c r="E338" t="s">
        <v>41</v>
      </c>
      <c r="F338">
        <v>6</v>
      </c>
      <c r="G338">
        <v>385.02</v>
      </c>
      <c r="H338">
        <v>2310.12</v>
      </c>
      <c r="I338" t="s">
        <v>524</v>
      </c>
      <c r="J338" t="str">
        <f t="shared" si="10"/>
        <v>Excellent👍</v>
      </c>
      <c r="K338" s="6" t="str">
        <f t="shared" si="11"/>
        <v>Remain</v>
      </c>
    </row>
    <row r="339" spans="1:11" x14ac:dyDescent="0.3">
      <c r="A339">
        <v>338</v>
      </c>
      <c r="B339" s="6">
        <v>44981</v>
      </c>
      <c r="C339" t="s">
        <v>35</v>
      </c>
      <c r="D339" t="s">
        <v>42</v>
      </c>
      <c r="E339" t="s">
        <v>41</v>
      </c>
      <c r="F339">
        <v>1</v>
      </c>
      <c r="G339">
        <v>173.84</v>
      </c>
      <c r="H339">
        <v>173.84</v>
      </c>
      <c r="I339" t="s">
        <v>522</v>
      </c>
      <c r="J339" t="str">
        <f t="shared" si="10"/>
        <v>Average😒</v>
      </c>
      <c r="K339" s="6" t="str">
        <f t="shared" si="11"/>
        <v>Restock</v>
      </c>
    </row>
    <row r="340" spans="1:11" x14ac:dyDescent="0.3">
      <c r="A340">
        <v>339</v>
      </c>
      <c r="B340" s="6">
        <v>45192</v>
      </c>
      <c r="C340" t="s">
        <v>34</v>
      </c>
      <c r="D340" t="s">
        <v>42</v>
      </c>
      <c r="E340" t="s">
        <v>43</v>
      </c>
      <c r="F340">
        <v>7</v>
      </c>
      <c r="G340">
        <v>379.09</v>
      </c>
      <c r="H340">
        <v>2653.63</v>
      </c>
      <c r="I340" t="s">
        <v>523</v>
      </c>
      <c r="J340" t="str">
        <f t="shared" si="10"/>
        <v>Excellent👍</v>
      </c>
      <c r="K340" s="6" t="str">
        <f t="shared" si="11"/>
        <v>Remain</v>
      </c>
    </row>
    <row r="341" spans="1:11" x14ac:dyDescent="0.3">
      <c r="A341">
        <v>340</v>
      </c>
      <c r="B341" s="6">
        <v>45013</v>
      </c>
      <c r="C341" t="s">
        <v>33</v>
      </c>
      <c r="D341" t="s">
        <v>53</v>
      </c>
      <c r="E341" t="s">
        <v>60</v>
      </c>
      <c r="F341">
        <v>3</v>
      </c>
      <c r="G341">
        <v>325.56</v>
      </c>
      <c r="H341">
        <v>976.68000000000006</v>
      </c>
      <c r="I341" t="s">
        <v>519</v>
      </c>
      <c r="J341" t="str">
        <f t="shared" si="10"/>
        <v>Average😒</v>
      </c>
      <c r="K341" s="6" t="str">
        <f t="shared" si="11"/>
        <v>Restock</v>
      </c>
    </row>
    <row r="342" spans="1:11" x14ac:dyDescent="0.3">
      <c r="A342">
        <v>341</v>
      </c>
      <c r="B342" s="6">
        <v>45104</v>
      </c>
      <c r="C342" t="s">
        <v>36</v>
      </c>
      <c r="D342" t="s">
        <v>56</v>
      </c>
      <c r="E342" t="s">
        <v>57</v>
      </c>
      <c r="F342">
        <v>7</v>
      </c>
      <c r="G342">
        <v>86.51</v>
      </c>
      <c r="H342">
        <v>605.57000000000005</v>
      </c>
      <c r="I342" t="s">
        <v>525</v>
      </c>
      <c r="J342" t="str">
        <f t="shared" si="10"/>
        <v>Average😒</v>
      </c>
      <c r="K342" s="6" t="str">
        <f t="shared" si="11"/>
        <v>Remain</v>
      </c>
    </row>
    <row r="343" spans="1:11" x14ac:dyDescent="0.3">
      <c r="A343">
        <v>342</v>
      </c>
      <c r="B343" s="6">
        <v>45247</v>
      </c>
      <c r="C343" t="s">
        <v>33</v>
      </c>
      <c r="D343" t="s">
        <v>42</v>
      </c>
      <c r="E343" t="s">
        <v>50</v>
      </c>
      <c r="F343">
        <v>7</v>
      </c>
      <c r="G343">
        <v>332.87</v>
      </c>
      <c r="H343">
        <v>2330.09</v>
      </c>
      <c r="I343" t="s">
        <v>520</v>
      </c>
      <c r="J343" t="str">
        <f t="shared" si="10"/>
        <v>Excellent👍</v>
      </c>
      <c r="K343" s="6" t="str">
        <f t="shared" si="11"/>
        <v>Remain</v>
      </c>
    </row>
    <row r="344" spans="1:11" x14ac:dyDescent="0.3">
      <c r="A344">
        <v>343</v>
      </c>
      <c r="B344" s="6">
        <v>45181</v>
      </c>
      <c r="C344" t="s">
        <v>35</v>
      </c>
      <c r="D344" t="s">
        <v>53</v>
      </c>
      <c r="E344" t="s">
        <v>60</v>
      </c>
      <c r="F344">
        <v>9</v>
      </c>
      <c r="G344">
        <v>118.77</v>
      </c>
      <c r="H344">
        <v>1068.93</v>
      </c>
      <c r="I344" t="s">
        <v>524</v>
      </c>
      <c r="J344" t="str">
        <f t="shared" si="10"/>
        <v>Average😒</v>
      </c>
      <c r="K344" s="6" t="str">
        <f t="shared" si="11"/>
        <v>Remain</v>
      </c>
    </row>
    <row r="345" spans="1:11" x14ac:dyDescent="0.3">
      <c r="A345">
        <v>344</v>
      </c>
      <c r="B345" s="6">
        <v>45165</v>
      </c>
      <c r="C345" t="s">
        <v>34</v>
      </c>
      <c r="D345" t="s">
        <v>42</v>
      </c>
      <c r="E345" t="s">
        <v>43</v>
      </c>
      <c r="F345">
        <v>8</v>
      </c>
      <c r="G345">
        <v>61.01</v>
      </c>
      <c r="H345">
        <v>488.08</v>
      </c>
      <c r="I345" t="s">
        <v>525</v>
      </c>
      <c r="J345" t="str">
        <f t="shared" si="10"/>
        <v>Average😒</v>
      </c>
      <c r="K345" s="6" t="str">
        <f t="shared" si="11"/>
        <v>Remain</v>
      </c>
    </row>
    <row r="346" spans="1:11" x14ac:dyDescent="0.3">
      <c r="A346">
        <v>345</v>
      </c>
      <c r="B346" s="6">
        <v>45023</v>
      </c>
      <c r="C346" t="s">
        <v>34</v>
      </c>
      <c r="D346" t="s">
        <v>51</v>
      </c>
      <c r="E346" t="s">
        <v>65</v>
      </c>
      <c r="F346">
        <v>5</v>
      </c>
      <c r="G346">
        <v>97.49</v>
      </c>
      <c r="H346">
        <v>487.45</v>
      </c>
      <c r="I346" t="s">
        <v>525</v>
      </c>
      <c r="J346" t="str">
        <f t="shared" si="10"/>
        <v>Average😒</v>
      </c>
      <c r="K346" s="6" t="str">
        <f t="shared" si="11"/>
        <v>Remain</v>
      </c>
    </row>
    <row r="347" spans="1:11" x14ac:dyDescent="0.3">
      <c r="A347">
        <v>346</v>
      </c>
      <c r="B347" s="6">
        <v>45022</v>
      </c>
      <c r="C347" t="s">
        <v>34</v>
      </c>
      <c r="D347" t="s">
        <v>51</v>
      </c>
      <c r="E347" t="s">
        <v>65</v>
      </c>
      <c r="F347">
        <v>8</v>
      </c>
      <c r="G347">
        <v>58.73</v>
      </c>
      <c r="H347">
        <v>469.84</v>
      </c>
      <c r="I347" t="s">
        <v>520</v>
      </c>
      <c r="J347" t="str">
        <f t="shared" si="10"/>
        <v>Average😒</v>
      </c>
      <c r="K347" s="6" t="str">
        <f t="shared" si="11"/>
        <v>Remain</v>
      </c>
    </row>
    <row r="348" spans="1:11" x14ac:dyDescent="0.3">
      <c r="A348">
        <v>347</v>
      </c>
      <c r="B348" s="6">
        <v>45046</v>
      </c>
      <c r="C348" t="s">
        <v>34</v>
      </c>
      <c r="D348" t="s">
        <v>51</v>
      </c>
      <c r="E348" t="s">
        <v>52</v>
      </c>
      <c r="F348">
        <v>8</v>
      </c>
      <c r="G348">
        <v>363.91</v>
      </c>
      <c r="H348">
        <v>2911.28</v>
      </c>
      <c r="I348" t="s">
        <v>524</v>
      </c>
      <c r="J348" t="str">
        <f t="shared" si="10"/>
        <v>Excellent👍</v>
      </c>
      <c r="K348" s="6" t="str">
        <f t="shared" si="11"/>
        <v>Remain</v>
      </c>
    </row>
    <row r="349" spans="1:11" x14ac:dyDescent="0.3">
      <c r="A349">
        <v>348</v>
      </c>
      <c r="B349" s="6">
        <v>45108</v>
      </c>
      <c r="C349" t="s">
        <v>33</v>
      </c>
      <c r="D349" t="s">
        <v>42</v>
      </c>
      <c r="E349" t="s">
        <v>50</v>
      </c>
      <c r="F349">
        <v>4</v>
      </c>
      <c r="G349">
        <v>472.76</v>
      </c>
      <c r="H349">
        <v>1891.04</v>
      </c>
      <c r="I349" t="s">
        <v>521</v>
      </c>
      <c r="J349" t="str">
        <f t="shared" si="10"/>
        <v>Average😒</v>
      </c>
      <c r="K349" s="6" t="str">
        <f t="shared" si="11"/>
        <v>Restock</v>
      </c>
    </row>
    <row r="350" spans="1:11" x14ac:dyDescent="0.3">
      <c r="A350">
        <v>349</v>
      </c>
      <c r="B350" s="6">
        <v>45237</v>
      </c>
      <c r="C350" t="s">
        <v>34</v>
      </c>
      <c r="D350" t="s">
        <v>53</v>
      </c>
      <c r="E350" t="s">
        <v>64</v>
      </c>
      <c r="F350">
        <v>5</v>
      </c>
      <c r="G350">
        <v>209.13</v>
      </c>
      <c r="H350">
        <v>1045.6500000000001</v>
      </c>
      <c r="I350" t="s">
        <v>525</v>
      </c>
      <c r="J350" t="str">
        <f t="shared" si="10"/>
        <v>Average😒</v>
      </c>
      <c r="K350" s="6" t="str">
        <f t="shared" si="11"/>
        <v>Remain</v>
      </c>
    </row>
    <row r="351" spans="1:11" x14ac:dyDescent="0.3">
      <c r="A351">
        <v>350</v>
      </c>
      <c r="B351" s="6">
        <v>45189</v>
      </c>
      <c r="C351" t="s">
        <v>34</v>
      </c>
      <c r="D351" t="s">
        <v>51</v>
      </c>
      <c r="E351" t="s">
        <v>55</v>
      </c>
      <c r="F351">
        <v>2</v>
      </c>
      <c r="G351">
        <v>16.37</v>
      </c>
      <c r="H351">
        <v>32.74</v>
      </c>
      <c r="I351" t="s">
        <v>519</v>
      </c>
      <c r="J351" t="str">
        <f t="shared" si="10"/>
        <v>Average😒</v>
      </c>
      <c r="K351" s="6" t="str">
        <f t="shared" si="11"/>
        <v>Restock</v>
      </c>
    </row>
    <row r="352" spans="1:11" x14ac:dyDescent="0.3">
      <c r="A352">
        <v>351</v>
      </c>
      <c r="B352" s="6">
        <v>45073</v>
      </c>
      <c r="C352" t="s">
        <v>36</v>
      </c>
      <c r="D352" t="s">
        <v>56</v>
      </c>
      <c r="E352" t="s">
        <v>61</v>
      </c>
      <c r="F352">
        <v>1</v>
      </c>
      <c r="G352">
        <v>111.86</v>
      </c>
      <c r="H352">
        <v>111.86</v>
      </c>
      <c r="I352" t="s">
        <v>524</v>
      </c>
      <c r="J352" t="str">
        <f t="shared" si="10"/>
        <v>Average😒</v>
      </c>
      <c r="K352" s="6" t="str">
        <f t="shared" si="11"/>
        <v>Restock</v>
      </c>
    </row>
    <row r="353" spans="1:11" x14ac:dyDescent="0.3">
      <c r="A353">
        <v>352</v>
      </c>
      <c r="B353" s="6">
        <v>45114</v>
      </c>
      <c r="C353" t="s">
        <v>35</v>
      </c>
      <c r="D353" t="s">
        <v>51</v>
      </c>
      <c r="E353" t="s">
        <v>55</v>
      </c>
      <c r="F353">
        <v>3</v>
      </c>
      <c r="G353">
        <v>295.69</v>
      </c>
      <c r="H353">
        <v>887.06999999999994</v>
      </c>
      <c r="I353" t="s">
        <v>523</v>
      </c>
      <c r="J353" t="str">
        <f t="shared" si="10"/>
        <v>Average😒</v>
      </c>
      <c r="K353" s="6" t="str">
        <f t="shared" si="11"/>
        <v>Restock</v>
      </c>
    </row>
    <row r="354" spans="1:11" x14ac:dyDescent="0.3">
      <c r="A354">
        <v>353</v>
      </c>
      <c r="B354" s="6">
        <v>45229</v>
      </c>
      <c r="C354" t="s">
        <v>36</v>
      </c>
      <c r="D354" t="s">
        <v>42</v>
      </c>
      <c r="E354" t="s">
        <v>43</v>
      </c>
      <c r="F354">
        <v>2</v>
      </c>
      <c r="G354">
        <v>447.41</v>
      </c>
      <c r="H354">
        <v>894.82</v>
      </c>
      <c r="I354" t="s">
        <v>522</v>
      </c>
      <c r="J354" t="str">
        <f t="shared" si="10"/>
        <v>Average😒</v>
      </c>
      <c r="K354" s="6" t="str">
        <f t="shared" si="11"/>
        <v>Restock</v>
      </c>
    </row>
    <row r="355" spans="1:11" x14ac:dyDescent="0.3">
      <c r="A355">
        <v>354</v>
      </c>
      <c r="B355" s="6">
        <v>45160</v>
      </c>
      <c r="C355" t="s">
        <v>34</v>
      </c>
      <c r="D355" t="s">
        <v>53</v>
      </c>
      <c r="E355" t="s">
        <v>60</v>
      </c>
      <c r="F355">
        <v>5</v>
      </c>
      <c r="G355">
        <v>177.49</v>
      </c>
      <c r="H355">
        <v>887.45</v>
      </c>
      <c r="I355" t="s">
        <v>519</v>
      </c>
      <c r="J355" t="str">
        <f t="shared" si="10"/>
        <v>Average😒</v>
      </c>
      <c r="K355" s="6" t="str">
        <f t="shared" si="11"/>
        <v>Remain</v>
      </c>
    </row>
    <row r="356" spans="1:11" x14ac:dyDescent="0.3">
      <c r="A356">
        <v>355</v>
      </c>
      <c r="B356" s="6">
        <v>45045</v>
      </c>
      <c r="C356" t="s">
        <v>35</v>
      </c>
      <c r="D356" t="s">
        <v>51</v>
      </c>
      <c r="E356" t="s">
        <v>52</v>
      </c>
      <c r="F356">
        <v>2</v>
      </c>
      <c r="G356">
        <v>187.9</v>
      </c>
      <c r="H356">
        <v>375.8</v>
      </c>
      <c r="I356" t="s">
        <v>522</v>
      </c>
      <c r="J356" t="str">
        <f t="shared" si="10"/>
        <v>Average😒</v>
      </c>
      <c r="K356" s="6" t="str">
        <f t="shared" si="11"/>
        <v>Restock</v>
      </c>
    </row>
    <row r="357" spans="1:11" x14ac:dyDescent="0.3">
      <c r="A357">
        <v>356</v>
      </c>
      <c r="B357" s="6">
        <v>45182</v>
      </c>
      <c r="C357" t="s">
        <v>36</v>
      </c>
      <c r="D357" t="s">
        <v>51</v>
      </c>
      <c r="E357" t="s">
        <v>63</v>
      </c>
      <c r="F357">
        <v>4</v>
      </c>
      <c r="G357">
        <v>315.83</v>
      </c>
      <c r="H357">
        <v>1263.32</v>
      </c>
      <c r="I357" t="s">
        <v>524</v>
      </c>
      <c r="J357" t="str">
        <f t="shared" si="10"/>
        <v>Average😒</v>
      </c>
      <c r="K357" s="6" t="str">
        <f t="shared" si="11"/>
        <v>Restock</v>
      </c>
    </row>
    <row r="358" spans="1:11" x14ac:dyDescent="0.3">
      <c r="A358">
        <v>357</v>
      </c>
      <c r="B358" s="6">
        <v>45281</v>
      </c>
      <c r="C358" t="s">
        <v>33</v>
      </c>
      <c r="D358" t="s">
        <v>53</v>
      </c>
      <c r="E358" t="s">
        <v>64</v>
      </c>
      <c r="F358">
        <v>9</v>
      </c>
      <c r="G358">
        <v>223.7</v>
      </c>
      <c r="H358">
        <v>2013.3</v>
      </c>
      <c r="I358" t="s">
        <v>520</v>
      </c>
      <c r="J358" t="str">
        <f t="shared" si="10"/>
        <v>Excellent👍</v>
      </c>
      <c r="K358" s="6" t="str">
        <f t="shared" si="11"/>
        <v>Remain</v>
      </c>
    </row>
    <row r="359" spans="1:11" x14ac:dyDescent="0.3">
      <c r="A359">
        <v>358</v>
      </c>
      <c r="B359" s="6">
        <v>45290</v>
      </c>
      <c r="C359" t="s">
        <v>33</v>
      </c>
      <c r="D359" t="s">
        <v>51</v>
      </c>
      <c r="E359" t="s">
        <v>55</v>
      </c>
      <c r="F359">
        <v>4</v>
      </c>
      <c r="G359">
        <v>487.53</v>
      </c>
      <c r="H359">
        <v>1950.12</v>
      </c>
      <c r="I359" t="s">
        <v>523</v>
      </c>
      <c r="J359" t="str">
        <f t="shared" si="10"/>
        <v>Average😒</v>
      </c>
      <c r="K359" s="6" t="str">
        <f t="shared" si="11"/>
        <v>Restock</v>
      </c>
    </row>
    <row r="360" spans="1:11" x14ac:dyDescent="0.3">
      <c r="A360">
        <v>359</v>
      </c>
      <c r="B360" s="6">
        <v>45084</v>
      </c>
      <c r="C360" t="s">
        <v>33</v>
      </c>
      <c r="D360" t="s">
        <v>56</v>
      </c>
      <c r="E360" t="s">
        <v>57</v>
      </c>
      <c r="F360">
        <v>8</v>
      </c>
      <c r="G360">
        <v>65.98</v>
      </c>
      <c r="H360">
        <v>527.84</v>
      </c>
      <c r="I360" t="s">
        <v>523</v>
      </c>
      <c r="J360" t="str">
        <f t="shared" si="10"/>
        <v>Average😒</v>
      </c>
      <c r="K360" s="6" t="str">
        <f t="shared" si="11"/>
        <v>Remain</v>
      </c>
    </row>
    <row r="361" spans="1:11" x14ac:dyDescent="0.3">
      <c r="A361">
        <v>360</v>
      </c>
      <c r="B361" s="6">
        <v>45141</v>
      </c>
      <c r="C361" t="s">
        <v>36</v>
      </c>
      <c r="D361" t="s">
        <v>56</v>
      </c>
      <c r="E361" t="s">
        <v>59</v>
      </c>
      <c r="F361">
        <v>8</v>
      </c>
      <c r="G361">
        <v>492.83</v>
      </c>
      <c r="H361">
        <v>3942.64</v>
      </c>
      <c r="I361" t="s">
        <v>525</v>
      </c>
      <c r="J361" t="str">
        <f t="shared" si="10"/>
        <v>Excellent👍</v>
      </c>
      <c r="K361" s="6" t="str">
        <f t="shared" si="11"/>
        <v>Remain</v>
      </c>
    </row>
    <row r="362" spans="1:11" x14ac:dyDescent="0.3">
      <c r="A362">
        <v>361</v>
      </c>
      <c r="B362" s="6">
        <v>45135</v>
      </c>
      <c r="C362" t="s">
        <v>33</v>
      </c>
      <c r="D362" t="s">
        <v>56</v>
      </c>
      <c r="E362" t="s">
        <v>61</v>
      </c>
      <c r="F362">
        <v>1</v>
      </c>
      <c r="G362">
        <v>247.54</v>
      </c>
      <c r="H362">
        <v>247.54</v>
      </c>
      <c r="I362" t="s">
        <v>523</v>
      </c>
      <c r="J362" t="str">
        <f t="shared" si="10"/>
        <v>Average😒</v>
      </c>
      <c r="K362" s="6" t="str">
        <f t="shared" si="11"/>
        <v>Restock</v>
      </c>
    </row>
    <row r="363" spans="1:11" x14ac:dyDescent="0.3">
      <c r="A363">
        <v>362</v>
      </c>
      <c r="B363" s="6">
        <v>45163</v>
      </c>
      <c r="C363" t="s">
        <v>33</v>
      </c>
      <c r="D363" t="s">
        <v>53</v>
      </c>
      <c r="E363" t="s">
        <v>54</v>
      </c>
      <c r="F363">
        <v>9</v>
      </c>
      <c r="G363">
        <v>275.39999999999998</v>
      </c>
      <c r="H363">
        <v>2478.6</v>
      </c>
      <c r="I363" t="s">
        <v>523</v>
      </c>
      <c r="J363" t="str">
        <f t="shared" si="10"/>
        <v>Excellent👍</v>
      </c>
      <c r="K363" s="6" t="str">
        <f t="shared" si="11"/>
        <v>Remain</v>
      </c>
    </row>
    <row r="364" spans="1:11" x14ac:dyDescent="0.3">
      <c r="A364">
        <v>363</v>
      </c>
      <c r="B364" s="6">
        <v>45172</v>
      </c>
      <c r="C364" t="s">
        <v>35</v>
      </c>
      <c r="D364" t="s">
        <v>56</v>
      </c>
      <c r="E364" t="s">
        <v>62</v>
      </c>
      <c r="F364">
        <v>9</v>
      </c>
      <c r="G364">
        <v>136.36000000000001</v>
      </c>
      <c r="H364">
        <v>1227.24</v>
      </c>
      <c r="I364" t="s">
        <v>520</v>
      </c>
      <c r="J364" t="str">
        <f t="shared" si="10"/>
        <v>Average😒</v>
      </c>
      <c r="K364" s="6" t="str">
        <f t="shared" si="11"/>
        <v>Remain</v>
      </c>
    </row>
    <row r="365" spans="1:11" x14ac:dyDescent="0.3">
      <c r="A365">
        <v>364</v>
      </c>
      <c r="B365" s="6">
        <v>44930</v>
      </c>
      <c r="C365" t="s">
        <v>35</v>
      </c>
      <c r="D365" t="s">
        <v>56</v>
      </c>
      <c r="E365" t="s">
        <v>57</v>
      </c>
      <c r="F365">
        <v>6</v>
      </c>
      <c r="G365">
        <v>419.12</v>
      </c>
      <c r="H365">
        <v>2514.7199999999998</v>
      </c>
      <c r="I365" t="s">
        <v>523</v>
      </c>
      <c r="J365" t="str">
        <f t="shared" si="10"/>
        <v>Excellent👍</v>
      </c>
      <c r="K365" s="6" t="str">
        <f t="shared" si="11"/>
        <v>Remain</v>
      </c>
    </row>
    <row r="366" spans="1:11" x14ac:dyDescent="0.3">
      <c r="A366">
        <v>365</v>
      </c>
      <c r="B366" s="6">
        <v>45001</v>
      </c>
      <c r="C366" t="s">
        <v>36</v>
      </c>
      <c r="D366" t="s">
        <v>53</v>
      </c>
      <c r="E366" t="s">
        <v>64</v>
      </c>
      <c r="F366">
        <v>2</v>
      </c>
      <c r="G366">
        <v>143.43</v>
      </c>
      <c r="H366">
        <v>286.86</v>
      </c>
      <c r="I366" t="s">
        <v>525</v>
      </c>
      <c r="J366" t="str">
        <f t="shared" si="10"/>
        <v>Average😒</v>
      </c>
      <c r="K366" s="6" t="str">
        <f t="shared" si="11"/>
        <v>Restock</v>
      </c>
    </row>
    <row r="367" spans="1:11" x14ac:dyDescent="0.3">
      <c r="A367">
        <v>366</v>
      </c>
      <c r="B367" s="6">
        <v>45267</v>
      </c>
      <c r="C367" t="s">
        <v>36</v>
      </c>
      <c r="D367" t="s">
        <v>42</v>
      </c>
      <c r="E367" t="s">
        <v>41</v>
      </c>
      <c r="F367">
        <v>6</v>
      </c>
      <c r="G367">
        <v>458.01</v>
      </c>
      <c r="H367">
        <v>2748.06</v>
      </c>
      <c r="I367" t="s">
        <v>520</v>
      </c>
      <c r="J367" t="str">
        <f t="shared" si="10"/>
        <v>Excellent👍</v>
      </c>
      <c r="K367" s="6" t="str">
        <f t="shared" si="11"/>
        <v>Remain</v>
      </c>
    </row>
    <row r="368" spans="1:11" x14ac:dyDescent="0.3">
      <c r="A368">
        <v>367</v>
      </c>
      <c r="B368" s="6">
        <v>44960</v>
      </c>
      <c r="C368" t="s">
        <v>34</v>
      </c>
      <c r="D368" t="s">
        <v>42</v>
      </c>
      <c r="E368" t="s">
        <v>66</v>
      </c>
      <c r="F368">
        <v>4</v>
      </c>
      <c r="G368">
        <v>254.06</v>
      </c>
      <c r="H368">
        <v>1016.24</v>
      </c>
      <c r="I368" t="s">
        <v>519</v>
      </c>
      <c r="J368" t="str">
        <f t="shared" si="10"/>
        <v>Average😒</v>
      </c>
      <c r="K368" s="6" t="str">
        <f t="shared" si="11"/>
        <v>Restock</v>
      </c>
    </row>
    <row r="369" spans="1:11" x14ac:dyDescent="0.3">
      <c r="A369">
        <v>368</v>
      </c>
      <c r="B369" s="6">
        <v>45002</v>
      </c>
      <c r="C369" t="s">
        <v>35</v>
      </c>
      <c r="D369" t="s">
        <v>56</v>
      </c>
      <c r="E369" t="s">
        <v>57</v>
      </c>
      <c r="F369">
        <v>1</v>
      </c>
      <c r="G369">
        <v>208.57</v>
      </c>
      <c r="H369">
        <v>208.57</v>
      </c>
      <c r="I369" t="s">
        <v>522</v>
      </c>
      <c r="J369" t="str">
        <f t="shared" si="10"/>
        <v>Average😒</v>
      </c>
      <c r="K369" s="6" t="str">
        <f t="shared" si="11"/>
        <v>Restock</v>
      </c>
    </row>
    <row r="370" spans="1:11" x14ac:dyDescent="0.3">
      <c r="A370">
        <v>369</v>
      </c>
      <c r="B370" s="6">
        <v>45268</v>
      </c>
      <c r="C370" t="s">
        <v>33</v>
      </c>
      <c r="D370" t="s">
        <v>42</v>
      </c>
      <c r="E370" t="s">
        <v>50</v>
      </c>
      <c r="F370">
        <v>7</v>
      </c>
      <c r="G370">
        <v>62.22</v>
      </c>
      <c r="H370">
        <v>435.54</v>
      </c>
      <c r="I370" t="s">
        <v>519</v>
      </c>
      <c r="J370" t="str">
        <f t="shared" si="10"/>
        <v>Average😒</v>
      </c>
      <c r="K370" s="6" t="str">
        <f t="shared" si="11"/>
        <v>Remain</v>
      </c>
    </row>
    <row r="371" spans="1:11" x14ac:dyDescent="0.3">
      <c r="A371">
        <v>370</v>
      </c>
      <c r="B371" s="6">
        <v>45213</v>
      </c>
      <c r="C371" t="s">
        <v>34</v>
      </c>
      <c r="D371" t="s">
        <v>42</v>
      </c>
      <c r="E371" t="s">
        <v>50</v>
      </c>
      <c r="F371">
        <v>5</v>
      </c>
      <c r="G371">
        <v>139.21</v>
      </c>
      <c r="H371">
        <v>696.05000000000007</v>
      </c>
      <c r="I371" t="s">
        <v>521</v>
      </c>
      <c r="J371" t="str">
        <f t="shared" si="10"/>
        <v>Average😒</v>
      </c>
      <c r="K371" s="6" t="str">
        <f t="shared" si="11"/>
        <v>Remain</v>
      </c>
    </row>
    <row r="372" spans="1:11" x14ac:dyDescent="0.3">
      <c r="A372">
        <v>371</v>
      </c>
      <c r="B372" s="6">
        <v>45024</v>
      </c>
      <c r="C372" t="s">
        <v>34</v>
      </c>
      <c r="D372" t="s">
        <v>42</v>
      </c>
      <c r="E372" t="s">
        <v>43</v>
      </c>
      <c r="F372">
        <v>6</v>
      </c>
      <c r="G372">
        <v>368.77</v>
      </c>
      <c r="H372">
        <v>2212.62</v>
      </c>
      <c r="I372" t="s">
        <v>520</v>
      </c>
      <c r="J372" t="str">
        <f t="shared" si="10"/>
        <v>Excellent👍</v>
      </c>
      <c r="K372" s="6" t="str">
        <f t="shared" si="11"/>
        <v>Remain</v>
      </c>
    </row>
    <row r="373" spans="1:11" x14ac:dyDescent="0.3">
      <c r="A373">
        <v>372</v>
      </c>
      <c r="B373" s="6">
        <v>45099</v>
      </c>
      <c r="C373" t="s">
        <v>35</v>
      </c>
      <c r="D373" t="s">
        <v>53</v>
      </c>
      <c r="E373" t="s">
        <v>64</v>
      </c>
      <c r="F373">
        <v>9</v>
      </c>
      <c r="G373">
        <v>252.19</v>
      </c>
      <c r="H373">
        <v>2269.71</v>
      </c>
      <c r="I373" t="s">
        <v>521</v>
      </c>
      <c r="J373" t="str">
        <f t="shared" si="10"/>
        <v>Excellent👍</v>
      </c>
      <c r="K373" s="6" t="str">
        <f t="shared" si="11"/>
        <v>Remain</v>
      </c>
    </row>
    <row r="374" spans="1:11" x14ac:dyDescent="0.3">
      <c r="A374">
        <v>373</v>
      </c>
      <c r="B374" s="6">
        <v>45116</v>
      </c>
      <c r="C374" t="s">
        <v>34</v>
      </c>
      <c r="D374" t="s">
        <v>51</v>
      </c>
      <c r="E374" t="s">
        <v>52</v>
      </c>
      <c r="F374">
        <v>1</v>
      </c>
      <c r="G374">
        <v>215.2</v>
      </c>
      <c r="H374">
        <v>215.2</v>
      </c>
      <c r="I374" t="s">
        <v>523</v>
      </c>
      <c r="J374" t="str">
        <f t="shared" si="10"/>
        <v>Average😒</v>
      </c>
      <c r="K374" s="6" t="str">
        <f t="shared" si="11"/>
        <v>Restock</v>
      </c>
    </row>
    <row r="375" spans="1:11" x14ac:dyDescent="0.3">
      <c r="A375">
        <v>374</v>
      </c>
      <c r="B375" s="6">
        <v>45289</v>
      </c>
      <c r="C375" t="s">
        <v>35</v>
      </c>
      <c r="D375" t="s">
        <v>56</v>
      </c>
      <c r="E375" t="s">
        <v>61</v>
      </c>
      <c r="F375">
        <v>2</v>
      </c>
      <c r="G375">
        <v>91.48</v>
      </c>
      <c r="H375">
        <v>182.96</v>
      </c>
      <c r="I375" t="s">
        <v>524</v>
      </c>
      <c r="J375" t="str">
        <f t="shared" si="10"/>
        <v>Average😒</v>
      </c>
      <c r="K375" s="6" t="str">
        <f t="shared" si="11"/>
        <v>Restock</v>
      </c>
    </row>
    <row r="376" spans="1:11" x14ac:dyDescent="0.3">
      <c r="A376">
        <v>375</v>
      </c>
      <c r="B376" s="6">
        <v>45218</v>
      </c>
      <c r="C376" t="s">
        <v>36</v>
      </c>
      <c r="D376" t="s">
        <v>42</v>
      </c>
      <c r="E376" t="s">
        <v>41</v>
      </c>
      <c r="F376">
        <v>1</v>
      </c>
      <c r="G376">
        <v>50.57</v>
      </c>
      <c r="H376">
        <v>50.57</v>
      </c>
      <c r="I376" t="s">
        <v>524</v>
      </c>
      <c r="J376" t="str">
        <f t="shared" si="10"/>
        <v>Average😒</v>
      </c>
      <c r="K376" s="6" t="str">
        <f t="shared" si="11"/>
        <v>Restock</v>
      </c>
    </row>
    <row r="377" spans="1:11" x14ac:dyDescent="0.3">
      <c r="A377">
        <v>376</v>
      </c>
      <c r="B377" s="6">
        <v>45075</v>
      </c>
      <c r="C377" t="s">
        <v>33</v>
      </c>
      <c r="D377" t="s">
        <v>56</v>
      </c>
      <c r="E377" t="s">
        <v>59</v>
      </c>
      <c r="F377">
        <v>3</v>
      </c>
      <c r="G377">
        <v>130.22</v>
      </c>
      <c r="H377">
        <v>390.66</v>
      </c>
      <c r="I377" t="s">
        <v>520</v>
      </c>
      <c r="J377" t="str">
        <f t="shared" si="10"/>
        <v>Average😒</v>
      </c>
      <c r="K377" s="6" t="str">
        <f t="shared" si="11"/>
        <v>Restock</v>
      </c>
    </row>
    <row r="378" spans="1:11" x14ac:dyDescent="0.3">
      <c r="A378">
        <v>377</v>
      </c>
      <c r="B378" s="6">
        <v>45090</v>
      </c>
      <c r="C378" t="s">
        <v>35</v>
      </c>
      <c r="D378" t="s">
        <v>53</v>
      </c>
      <c r="E378" t="s">
        <v>58</v>
      </c>
      <c r="F378">
        <v>8</v>
      </c>
      <c r="G378">
        <v>224.22</v>
      </c>
      <c r="H378">
        <v>1793.76</v>
      </c>
      <c r="I378" t="s">
        <v>519</v>
      </c>
      <c r="J378" t="str">
        <f t="shared" si="10"/>
        <v>Average😒</v>
      </c>
      <c r="K378" s="6" t="str">
        <f t="shared" si="11"/>
        <v>Remain</v>
      </c>
    </row>
    <row r="379" spans="1:11" x14ac:dyDescent="0.3">
      <c r="A379">
        <v>378</v>
      </c>
      <c r="B379" s="6">
        <v>45158</v>
      </c>
      <c r="C379" t="s">
        <v>36</v>
      </c>
      <c r="D379" t="s">
        <v>56</v>
      </c>
      <c r="E379" t="s">
        <v>61</v>
      </c>
      <c r="F379">
        <v>1</v>
      </c>
      <c r="G379">
        <v>363.55</v>
      </c>
      <c r="H379">
        <v>363.55</v>
      </c>
      <c r="I379" t="s">
        <v>525</v>
      </c>
      <c r="J379" t="str">
        <f t="shared" si="10"/>
        <v>Average😒</v>
      </c>
      <c r="K379" s="6" t="str">
        <f t="shared" si="11"/>
        <v>Restock</v>
      </c>
    </row>
    <row r="380" spans="1:11" x14ac:dyDescent="0.3">
      <c r="A380">
        <v>379</v>
      </c>
      <c r="B380" s="6">
        <v>44981</v>
      </c>
      <c r="C380" t="s">
        <v>33</v>
      </c>
      <c r="D380" t="s">
        <v>51</v>
      </c>
      <c r="E380" t="s">
        <v>55</v>
      </c>
      <c r="F380">
        <v>3</v>
      </c>
      <c r="G380">
        <v>475.16</v>
      </c>
      <c r="H380">
        <v>1425.48</v>
      </c>
      <c r="I380" t="s">
        <v>520</v>
      </c>
      <c r="J380" t="str">
        <f t="shared" si="10"/>
        <v>Average😒</v>
      </c>
      <c r="K380" s="6" t="str">
        <f t="shared" si="11"/>
        <v>Restock</v>
      </c>
    </row>
    <row r="381" spans="1:11" x14ac:dyDescent="0.3">
      <c r="A381">
        <v>380</v>
      </c>
      <c r="B381" s="6">
        <v>44995</v>
      </c>
      <c r="C381" t="s">
        <v>33</v>
      </c>
      <c r="D381" t="s">
        <v>42</v>
      </c>
      <c r="E381" t="s">
        <v>66</v>
      </c>
      <c r="F381">
        <v>8</v>
      </c>
      <c r="G381">
        <v>469.05</v>
      </c>
      <c r="H381">
        <v>3752.4</v>
      </c>
      <c r="I381" t="s">
        <v>524</v>
      </c>
      <c r="J381" t="str">
        <f t="shared" si="10"/>
        <v>Excellent👍</v>
      </c>
      <c r="K381" s="6" t="str">
        <f t="shared" si="11"/>
        <v>Remain</v>
      </c>
    </row>
    <row r="382" spans="1:11" x14ac:dyDescent="0.3">
      <c r="A382">
        <v>381</v>
      </c>
      <c r="B382" s="6">
        <v>44962</v>
      </c>
      <c r="C382" t="s">
        <v>36</v>
      </c>
      <c r="D382" t="s">
        <v>56</v>
      </c>
      <c r="E382" t="s">
        <v>62</v>
      </c>
      <c r="F382">
        <v>8</v>
      </c>
      <c r="G382">
        <v>115.32</v>
      </c>
      <c r="H382">
        <v>922.56</v>
      </c>
      <c r="I382" t="s">
        <v>519</v>
      </c>
      <c r="J382" t="str">
        <f t="shared" si="10"/>
        <v>Average😒</v>
      </c>
      <c r="K382" s="6" t="str">
        <f t="shared" si="11"/>
        <v>Remain</v>
      </c>
    </row>
    <row r="383" spans="1:11" x14ac:dyDescent="0.3">
      <c r="A383">
        <v>382</v>
      </c>
      <c r="B383" s="6">
        <v>45170</v>
      </c>
      <c r="C383" t="s">
        <v>33</v>
      </c>
      <c r="D383" t="s">
        <v>53</v>
      </c>
      <c r="E383" t="s">
        <v>58</v>
      </c>
      <c r="F383">
        <v>4</v>
      </c>
      <c r="G383">
        <v>89.39</v>
      </c>
      <c r="H383">
        <v>357.56</v>
      </c>
      <c r="I383" t="s">
        <v>525</v>
      </c>
      <c r="J383" t="str">
        <f t="shared" si="10"/>
        <v>Average😒</v>
      </c>
      <c r="K383" s="6" t="str">
        <f t="shared" si="11"/>
        <v>Restock</v>
      </c>
    </row>
    <row r="384" spans="1:11" x14ac:dyDescent="0.3">
      <c r="A384">
        <v>383</v>
      </c>
      <c r="B384" s="6">
        <v>45291</v>
      </c>
      <c r="C384" t="s">
        <v>35</v>
      </c>
      <c r="D384" t="s">
        <v>42</v>
      </c>
      <c r="E384" t="s">
        <v>41</v>
      </c>
      <c r="F384">
        <v>1</v>
      </c>
      <c r="G384">
        <v>253.22</v>
      </c>
      <c r="H384">
        <v>253.22</v>
      </c>
      <c r="I384" t="s">
        <v>523</v>
      </c>
      <c r="J384" t="str">
        <f t="shared" si="10"/>
        <v>Average😒</v>
      </c>
      <c r="K384" s="6" t="str">
        <f t="shared" si="11"/>
        <v>Restock</v>
      </c>
    </row>
    <row r="385" spans="1:11" x14ac:dyDescent="0.3">
      <c r="A385">
        <v>384</v>
      </c>
      <c r="B385" s="6">
        <v>44999</v>
      </c>
      <c r="C385" t="s">
        <v>36</v>
      </c>
      <c r="D385" t="s">
        <v>53</v>
      </c>
      <c r="E385" t="s">
        <v>60</v>
      </c>
      <c r="F385">
        <v>2</v>
      </c>
      <c r="G385">
        <v>315.43</v>
      </c>
      <c r="H385">
        <v>630.86</v>
      </c>
      <c r="I385" t="s">
        <v>520</v>
      </c>
      <c r="J385" t="str">
        <f t="shared" si="10"/>
        <v>Average😒</v>
      </c>
      <c r="K385" s="6" t="str">
        <f t="shared" si="11"/>
        <v>Restock</v>
      </c>
    </row>
    <row r="386" spans="1:11" x14ac:dyDescent="0.3">
      <c r="A386">
        <v>385</v>
      </c>
      <c r="B386" s="6">
        <v>45055</v>
      </c>
      <c r="C386" t="s">
        <v>33</v>
      </c>
      <c r="D386" t="s">
        <v>53</v>
      </c>
      <c r="E386" t="s">
        <v>64</v>
      </c>
      <c r="F386">
        <v>9</v>
      </c>
      <c r="G386">
        <v>182.25</v>
      </c>
      <c r="H386">
        <v>1640.25</v>
      </c>
      <c r="I386" t="s">
        <v>524</v>
      </c>
      <c r="J386" t="str">
        <f t="shared" si="10"/>
        <v>Average😒</v>
      </c>
      <c r="K386" s="6" t="str">
        <f t="shared" si="11"/>
        <v>Remain</v>
      </c>
    </row>
    <row r="387" spans="1:11" x14ac:dyDescent="0.3">
      <c r="A387">
        <v>386</v>
      </c>
      <c r="B387" s="6">
        <v>45030</v>
      </c>
      <c r="C387" t="s">
        <v>34</v>
      </c>
      <c r="D387" t="s">
        <v>51</v>
      </c>
      <c r="E387" t="s">
        <v>63</v>
      </c>
      <c r="F387">
        <v>9</v>
      </c>
      <c r="G387">
        <v>355.41</v>
      </c>
      <c r="H387">
        <v>3198.69</v>
      </c>
      <c r="I387" t="s">
        <v>525</v>
      </c>
      <c r="J387" t="str">
        <f t="shared" ref="J387:J450" si="12">IF(H387&gt;=2000,"Excellent👍","Average😒")</f>
        <v>Excellent👍</v>
      </c>
      <c r="K387" s="6" t="str">
        <f t="shared" ref="K387:K450" si="13">IF(F387&lt;5,"Restock","Remain")</f>
        <v>Remain</v>
      </c>
    </row>
    <row r="388" spans="1:11" x14ac:dyDescent="0.3">
      <c r="A388">
        <v>387</v>
      </c>
      <c r="B388" s="6">
        <v>45057</v>
      </c>
      <c r="C388" t="s">
        <v>34</v>
      </c>
      <c r="D388" t="s">
        <v>42</v>
      </c>
      <c r="E388" t="s">
        <v>66</v>
      </c>
      <c r="F388">
        <v>9</v>
      </c>
      <c r="G388">
        <v>130.74</v>
      </c>
      <c r="H388">
        <v>1176.6600000000001</v>
      </c>
      <c r="I388" t="s">
        <v>521</v>
      </c>
      <c r="J388" t="str">
        <f t="shared" si="12"/>
        <v>Average😒</v>
      </c>
      <c r="K388" s="6" t="str">
        <f t="shared" si="13"/>
        <v>Remain</v>
      </c>
    </row>
    <row r="389" spans="1:11" x14ac:dyDescent="0.3">
      <c r="A389">
        <v>388</v>
      </c>
      <c r="B389" s="6">
        <v>45098</v>
      </c>
      <c r="C389" t="s">
        <v>36</v>
      </c>
      <c r="D389" t="s">
        <v>42</v>
      </c>
      <c r="E389" t="s">
        <v>50</v>
      </c>
      <c r="F389">
        <v>2</v>
      </c>
      <c r="G389">
        <v>401.71</v>
      </c>
      <c r="H389">
        <v>803.42</v>
      </c>
      <c r="I389" t="s">
        <v>524</v>
      </c>
      <c r="J389" t="str">
        <f t="shared" si="12"/>
        <v>Average😒</v>
      </c>
      <c r="K389" s="6" t="str">
        <f t="shared" si="13"/>
        <v>Restock</v>
      </c>
    </row>
    <row r="390" spans="1:11" x14ac:dyDescent="0.3">
      <c r="A390">
        <v>389</v>
      </c>
      <c r="B390" s="6">
        <v>45280</v>
      </c>
      <c r="C390" t="s">
        <v>33</v>
      </c>
      <c r="D390" t="s">
        <v>51</v>
      </c>
      <c r="E390" t="s">
        <v>52</v>
      </c>
      <c r="F390">
        <v>3</v>
      </c>
      <c r="G390">
        <v>143.35</v>
      </c>
      <c r="H390">
        <v>430.05</v>
      </c>
      <c r="I390" t="s">
        <v>525</v>
      </c>
      <c r="J390" t="str">
        <f t="shared" si="12"/>
        <v>Average😒</v>
      </c>
      <c r="K390" s="6" t="str">
        <f t="shared" si="13"/>
        <v>Restock</v>
      </c>
    </row>
    <row r="391" spans="1:11" x14ac:dyDescent="0.3">
      <c r="A391">
        <v>390</v>
      </c>
      <c r="B391" s="6">
        <v>45231</v>
      </c>
      <c r="C391" t="s">
        <v>34</v>
      </c>
      <c r="D391" t="s">
        <v>51</v>
      </c>
      <c r="E391" t="s">
        <v>55</v>
      </c>
      <c r="F391">
        <v>3</v>
      </c>
      <c r="G391">
        <v>164.15</v>
      </c>
      <c r="H391">
        <v>492.45</v>
      </c>
      <c r="I391" t="s">
        <v>525</v>
      </c>
      <c r="J391" t="str">
        <f t="shared" si="12"/>
        <v>Average😒</v>
      </c>
      <c r="K391" s="6" t="str">
        <f t="shared" si="13"/>
        <v>Restock</v>
      </c>
    </row>
    <row r="392" spans="1:11" x14ac:dyDescent="0.3">
      <c r="A392">
        <v>391</v>
      </c>
      <c r="B392" s="6">
        <v>45237</v>
      </c>
      <c r="C392" t="s">
        <v>33</v>
      </c>
      <c r="D392" t="s">
        <v>53</v>
      </c>
      <c r="E392" t="s">
        <v>64</v>
      </c>
      <c r="F392">
        <v>1</v>
      </c>
      <c r="G392">
        <v>475.62</v>
      </c>
      <c r="H392">
        <v>475.62</v>
      </c>
      <c r="I392" t="s">
        <v>525</v>
      </c>
      <c r="J392" t="str">
        <f t="shared" si="12"/>
        <v>Average😒</v>
      </c>
      <c r="K392" s="6" t="str">
        <f t="shared" si="13"/>
        <v>Restock</v>
      </c>
    </row>
    <row r="393" spans="1:11" x14ac:dyDescent="0.3">
      <c r="A393">
        <v>392</v>
      </c>
      <c r="B393" s="6">
        <v>45244</v>
      </c>
      <c r="C393" t="s">
        <v>34</v>
      </c>
      <c r="D393" t="s">
        <v>56</v>
      </c>
      <c r="E393" t="s">
        <v>62</v>
      </c>
      <c r="F393">
        <v>1</v>
      </c>
      <c r="G393">
        <v>100.72</v>
      </c>
      <c r="H393">
        <v>100.72</v>
      </c>
      <c r="I393" t="s">
        <v>524</v>
      </c>
      <c r="J393" t="str">
        <f t="shared" si="12"/>
        <v>Average😒</v>
      </c>
      <c r="K393" s="6" t="str">
        <f t="shared" si="13"/>
        <v>Restock</v>
      </c>
    </row>
    <row r="394" spans="1:11" x14ac:dyDescent="0.3">
      <c r="A394">
        <v>393</v>
      </c>
      <c r="B394" s="6">
        <v>45075</v>
      </c>
      <c r="C394" t="s">
        <v>36</v>
      </c>
      <c r="D394" t="s">
        <v>51</v>
      </c>
      <c r="E394" t="s">
        <v>65</v>
      </c>
      <c r="F394">
        <v>8</v>
      </c>
      <c r="G394">
        <v>381.61</v>
      </c>
      <c r="H394">
        <v>3052.88</v>
      </c>
      <c r="I394" t="s">
        <v>519</v>
      </c>
      <c r="J394" t="str">
        <f t="shared" si="12"/>
        <v>Excellent👍</v>
      </c>
      <c r="K394" s="6" t="str">
        <f t="shared" si="13"/>
        <v>Remain</v>
      </c>
    </row>
    <row r="395" spans="1:11" x14ac:dyDescent="0.3">
      <c r="A395">
        <v>394</v>
      </c>
      <c r="B395" s="6">
        <v>45124</v>
      </c>
      <c r="C395" t="s">
        <v>36</v>
      </c>
      <c r="D395" t="s">
        <v>53</v>
      </c>
      <c r="E395" t="s">
        <v>58</v>
      </c>
      <c r="F395">
        <v>1</v>
      </c>
      <c r="G395">
        <v>332.8</v>
      </c>
      <c r="H395">
        <v>332.8</v>
      </c>
      <c r="I395" t="s">
        <v>525</v>
      </c>
      <c r="J395" t="str">
        <f t="shared" si="12"/>
        <v>Average😒</v>
      </c>
      <c r="K395" s="6" t="str">
        <f t="shared" si="13"/>
        <v>Restock</v>
      </c>
    </row>
    <row r="396" spans="1:11" x14ac:dyDescent="0.3">
      <c r="A396">
        <v>395</v>
      </c>
      <c r="B396" s="6">
        <v>45015</v>
      </c>
      <c r="C396" t="s">
        <v>36</v>
      </c>
      <c r="D396" t="s">
        <v>53</v>
      </c>
      <c r="E396" t="s">
        <v>64</v>
      </c>
      <c r="F396">
        <v>8</v>
      </c>
      <c r="G396">
        <v>132.34</v>
      </c>
      <c r="H396">
        <v>1058.72</v>
      </c>
      <c r="I396" t="s">
        <v>519</v>
      </c>
      <c r="J396" t="str">
        <f t="shared" si="12"/>
        <v>Average😒</v>
      </c>
      <c r="K396" s="6" t="str">
        <f t="shared" si="13"/>
        <v>Remain</v>
      </c>
    </row>
    <row r="397" spans="1:11" x14ac:dyDescent="0.3">
      <c r="A397">
        <v>396</v>
      </c>
      <c r="B397" s="6">
        <v>44973</v>
      </c>
      <c r="C397" t="s">
        <v>33</v>
      </c>
      <c r="D397" t="s">
        <v>42</v>
      </c>
      <c r="E397" t="s">
        <v>41</v>
      </c>
      <c r="F397">
        <v>9</v>
      </c>
      <c r="G397">
        <v>472.59</v>
      </c>
      <c r="H397">
        <v>4253.3099999999986</v>
      </c>
      <c r="I397" t="s">
        <v>519</v>
      </c>
      <c r="J397" t="str">
        <f t="shared" si="12"/>
        <v>Excellent👍</v>
      </c>
      <c r="K397" s="6" t="str">
        <f t="shared" si="13"/>
        <v>Remain</v>
      </c>
    </row>
    <row r="398" spans="1:11" x14ac:dyDescent="0.3">
      <c r="A398">
        <v>397</v>
      </c>
      <c r="B398" s="6">
        <v>45208</v>
      </c>
      <c r="C398" t="s">
        <v>35</v>
      </c>
      <c r="D398" t="s">
        <v>53</v>
      </c>
      <c r="E398" t="s">
        <v>58</v>
      </c>
      <c r="F398">
        <v>7</v>
      </c>
      <c r="G398">
        <v>499.68</v>
      </c>
      <c r="H398">
        <v>3497.76</v>
      </c>
      <c r="I398" t="s">
        <v>525</v>
      </c>
      <c r="J398" t="str">
        <f t="shared" si="12"/>
        <v>Excellent👍</v>
      </c>
      <c r="K398" s="6" t="str">
        <f t="shared" si="13"/>
        <v>Remain</v>
      </c>
    </row>
    <row r="399" spans="1:11" x14ac:dyDescent="0.3">
      <c r="A399">
        <v>398</v>
      </c>
      <c r="B399" s="6">
        <v>45196</v>
      </c>
      <c r="C399" t="s">
        <v>35</v>
      </c>
      <c r="D399" t="s">
        <v>56</v>
      </c>
      <c r="E399" t="s">
        <v>59</v>
      </c>
      <c r="F399">
        <v>5</v>
      </c>
      <c r="G399">
        <v>241.87</v>
      </c>
      <c r="H399">
        <v>1209.3499999999999</v>
      </c>
      <c r="I399" t="s">
        <v>524</v>
      </c>
      <c r="J399" t="str">
        <f t="shared" si="12"/>
        <v>Average😒</v>
      </c>
      <c r="K399" s="6" t="str">
        <f t="shared" si="13"/>
        <v>Remain</v>
      </c>
    </row>
    <row r="400" spans="1:11" x14ac:dyDescent="0.3">
      <c r="A400">
        <v>399</v>
      </c>
      <c r="B400" s="6">
        <v>45102</v>
      </c>
      <c r="C400" t="s">
        <v>36</v>
      </c>
      <c r="D400" t="s">
        <v>51</v>
      </c>
      <c r="E400" t="s">
        <v>65</v>
      </c>
      <c r="F400">
        <v>5</v>
      </c>
      <c r="G400">
        <v>368.2</v>
      </c>
      <c r="H400">
        <v>1841</v>
      </c>
      <c r="I400" t="s">
        <v>523</v>
      </c>
      <c r="J400" t="str">
        <f t="shared" si="12"/>
        <v>Average😒</v>
      </c>
      <c r="K400" s="6" t="str">
        <f t="shared" si="13"/>
        <v>Remain</v>
      </c>
    </row>
    <row r="401" spans="1:11" x14ac:dyDescent="0.3">
      <c r="A401">
        <v>400</v>
      </c>
      <c r="B401" s="6">
        <v>45141</v>
      </c>
      <c r="C401" t="s">
        <v>35</v>
      </c>
      <c r="D401" t="s">
        <v>42</v>
      </c>
      <c r="E401" t="s">
        <v>50</v>
      </c>
      <c r="F401">
        <v>8</v>
      </c>
      <c r="G401">
        <v>485.82</v>
      </c>
      <c r="H401">
        <v>3886.56</v>
      </c>
      <c r="I401" t="s">
        <v>525</v>
      </c>
      <c r="J401" t="str">
        <f t="shared" si="12"/>
        <v>Excellent👍</v>
      </c>
      <c r="K401" s="6" t="str">
        <f t="shared" si="13"/>
        <v>Remain</v>
      </c>
    </row>
    <row r="402" spans="1:11" x14ac:dyDescent="0.3">
      <c r="A402">
        <v>401</v>
      </c>
      <c r="B402" s="6">
        <v>45029</v>
      </c>
      <c r="C402" t="s">
        <v>36</v>
      </c>
      <c r="D402" t="s">
        <v>56</v>
      </c>
      <c r="E402" t="s">
        <v>61</v>
      </c>
      <c r="F402">
        <v>2</v>
      </c>
      <c r="G402">
        <v>375.08</v>
      </c>
      <c r="H402">
        <v>750.16</v>
      </c>
      <c r="I402" t="s">
        <v>521</v>
      </c>
      <c r="J402" t="str">
        <f t="shared" si="12"/>
        <v>Average😒</v>
      </c>
      <c r="K402" s="6" t="str">
        <f t="shared" si="13"/>
        <v>Restock</v>
      </c>
    </row>
    <row r="403" spans="1:11" x14ac:dyDescent="0.3">
      <c r="A403">
        <v>402</v>
      </c>
      <c r="B403" s="6">
        <v>45078</v>
      </c>
      <c r="C403" t="s">
        <v>33</v>
      </c>
      <c r="D403" t="s">
        <v>51</v>
      </c>
      <c r="E403" t="s">
        <v>55</v>
      </c>
      <c r="F403">
        <v>1</v>
      </c>
      <c r="G403">
        <v>328.58</v>
      </c>
      <c r="H403">
        <v>328.58</v>
      </c>
      <c r="I403" t="s">
        <v>524</v>
      </c>
      <c r="J403" t="str">
        <f t="shared" si="12"/>
        <v>Average😒</v>
      </c>
      <c r="K403" s="6" t="str">
        <f t="shared" si="13"/>
        <v>Restock</v>
      </c>
    </row>
    <row r="404" spans="1:11" x14ac:dyDescent="0.3">
      <c r="A404">
        <v>403</v>
      </c>
      <c r="B404" s="6">
        <v>45227</v>
      </c>
      <c r="C404" t="s">
        <v>33</v>
      </c>
      <c r="D404" t="s">
        <v>53</v>
      </c>
      <c r="E404" t="s">
        <v>60</v>
      </c>
      <c r="F404">
        <v>3</v>
      </c>
      <c r="G404">
        <v>284.73</v>
      </c>
      <c r="H404">
        <v>854.19</v>
      </c>
      <c r="I404" t="s">
        <v>525</v>
      </c>
      <c r="J404" t="str">
        <f t="shared" si="12"/>
        <v>Average😒</v>
      </c>
      <c r="K404" s="6" t="str">
        <f t="shared" si="13"/>
        <v>Restock</v>
      </c>
    </row>
    <row r="405" spans="1:11" x14ac:dyDescent="0.3">
      <c r="A405">
        <v>404</v>
      </c>
      <c r="B405" s="6">
        <v>45097</v>
      </c>
      <c r="C405" t="s">
        <v>33</v>
      </c>
      <c r="D405" t="s">
        <v>53</v>
      </c>
      <c r="E405" t="s">
        <v>60</v>
      </c>
      <c r="F405">
        <v>2</v>
      </c>
      <c r="G405">
        <v>443.65</v>
      </c>
      <c r="H405">
        <v>887.3</v>
      </c>
      <c r="I405" t="s">
        <v>522</v>
      </c>
      <c r="J405" t="str">
        <f t="shared" si="12"/>
        <v>Average😒</v>
      </c>
      <c r="K405" s="6" t="str">
        <f t="shared" si="13"/>
        <v>Restock</v>
      </c>
    </row>
    <row r="406" spans="1:11" x14ac:dyDescent="0.3">
      <c r="A406">
        <v>405</v>
      </c>
      <c r="B406" s="6">
        <v>45290</v>
      </c>
      <c r="C406" t="s">
        <v>33</v>
      </c>
      <c r="D406" t="s">
        <v>56</v>
      </c>
      <c r="E406" t="s">
        <v>61</v>
      </c>
      <c r="F406">
        <v>8</v>
      </c>
      <c r="G406">
        <v>226.11</v>
      </c>
      <c r="H406">
        <v>1808.88</v>
      </c>
      <c r="I406" t="s">
        <v>523</v>
      </c>
      <c r="J406" t="str">
        <f t="shared" si="12"/>
        <v>Average😒</v>
      </c>
      <c r="K406" s="6" t="str">
        <f t="shared" si="13"/>
        <v>Remain</v>
      </c>
    </row>
    <row r="407" spans="1:11" x14ac:dyDescent="0.3">
      <c r="A407">
        <v>406</v>
      </c>
      <c r="B407" s="6">
        <v>44930</v>
      </c>
      <c r="C407" t="s">
        <v>33</v>
      </c>
      <c r="D407" t="s">
        <v>42</v>
      </c>
      <c r="E407" t="s">
        <v>66</v>
      </c>
      <c r="F407">
        <v>7</v>
      </c>
      <c r="G407">
        <v>164.49</v>
      </c>
      <c r="H407">
        <v>1151.43</v>
      </c>
      <c r="I407" t="s">
        <v>520</v>
      </c>
      <c r="J407" t="str">
        <f t="shared" si="12"/>
        <v>Average😒</v>
      </c>
      <c r="K407" s="6" t="str">
        <f t="shared" si="13"/>
        <v>Remain</v>
      </c>
    </row>
    <row r="408" spans="1:11" x14ac:dyDescent="0.3">
      <c r="A408">
        <v>407</v>
      </c>
      <c r="B408" s="6">
        <v>45136</v>
      </c>
      <c r="C408" t="s">
        <v>33</v>
      </c>
      <c r="D408" t="s">
        <v>53</v>
      </c>
      <c r="E408" t="s">
        <v>64</v>
      </c>
      <c r="F408">
        <v>6</v>
      </c>
      <c r="G408">
        <v>166.19</v>
      </c>
      <c r="H408">
        <v>997.14</v>
      </c>
      <c r="I408" t="s">
        <v>520</v>
      </c>
      <c r="J408" t="str">
        <f t="shared" si="12"/>
        <v>Average😒</v>
      </c>
      <c r="K408" s="6" t="str">
        <f t="shared" si="13"/>
        <v>Remain</v>
      </c>
    </row>
    <row r="409" spans="1:11" x14ac:dyDescent="0.3">
      <c r="A409">
        <v>408</v>
      </c>
      <c r="B409" s="6">
        <v>45034</v>
      </c>
      <c r="C409" t="s">
        <v>35</v>
      </c>
      <c r="D409" t="s">
        <v>53</v>
      </c>
      <c r="E409" t="s">
        <v>58</v>
      </c>
      <c r="F409">
        <v>1</v>
      </c>
      <c r="G409">
        <v>444.13</v>
      </c>
      <c r="H409">
        <v>444.13</v>
      </c>
      <c r="I409" t="s">
        <v>521</v>
      </c>
      <c r="J409" t="str">
        <f t="shared" si="12"/>
        <v>Average😒</v>
      </c>
      <c r="K409" s="6" t="str">
        <f t="shared" si="13"/>
        <v>Restock</v>
      </c>
    </row>
    <row r="410" spans="1:11" x14ac:dyDescent="0.3">
      <c r="A410">
        <v>409</v>
      </c>
      <c r="B410" s="6">
        <v>45096</v>
      </c>
      <c r="C410" t="s">
        <v>34</v>
      </c>
      <c r="D410" t="s">
        <v>53</v>
      </c>
      <c r="E410" t="s">
        <v>64</v>
      </c>
      <c r="F410">
        <v>2</v>
      </c>
      <c r="G410">
        <v>21.96</v>
      </c>
      <c r="H410">
        <v>43.92</v>
      </c>
      <c r="I410" t="s">
        <v>523</v>
      </c>
      <c r="J410" t="str">
        <f t="shared" si="12"/>
        <v>Average😒</v>
      </c>
      <c r="K410" s="6" t="str">
        <f t="shared" si="13"/>
        <v>Restock</v>
      </c>
    </row>
    <row r="411" spans="1:11" x14ac:dyDescent="0.3">
      <c r="A411">
        <v>410</v>
      </c>
      <c r="B411" s="6">
        <v>45173</v>
      </c>
      <c r="C411" t="s">
        <v>36</v>
      </c>
      <c r="D411" t="s">
        <v>42</v>
      </c>
      <c r="E411" t="s">
        <v>50</v>
      </c>
      <c r="F411">
        <v>2</v>
      </c>
      <c r="G411">
        <v>20.420000000000002</v>
      </c>
      <c r="H411">
        <v>40.840000000000003</v>
      </c>
      <c r="I411" t="s">
        <v>519</v>
      </c>
      <c r="J411" t="str">
        <f t="shared" si="12"/>
        <v>Average😒</v>
      </c>
      <c r="K411" s="6" t="str">
        <f t="shared" si="13"/>
        <v>Restock</v>
      </c>
    </row>
    <row r="412" spans="1:11" x14ac:dyDescent="0.3">
      <c r="A412">
        <v>411</v>
      </c>
      <c r="B412" s="6">
        <v>45153</v>
      </c>
      <c r="C412" t="s">
        <v>34</v>
      </c>
      <c r="D412" t="s">
        <v>42</v>
      </c>
      <c r="E412" t="s">
        <v>43</v>
      </c>
      <c r="F412">
        <v>2</v>
      </c>
      <c r="G412">
        <v>470.14</v>
      </c>
      <c r="H412">
        <v>940.28</v>
      </c>
      <c r="I412" t="s">
        <v>520</v>
      </c>
      <c r="J412" t="str">
        <f t="shared" si="12"/>
        <v>Average😒</v>
      </c>
      <c r="K412" s="6" t="str">
        <f t="shared" si="13"/>
        <v>Restock</v>
      </c>
    </row>
    <row r="413" spans="1:11" x14ac:dyDescent="0.3">
      <c r="A413">
        <v>412</v>
      </c>
      <c r="B413" s="6">
        <v>44955</v>
      </c>
      <c r="C413" t="s">
        <v>35</v>
      </c>
      <c r="D413" t="s">
        <v>42</v>
      </c>
      <c r="E413" t="s">
        <v>66</v>
      </c>
      <c r="F413">
        <v>7</v>
      </c>
      <c r="G413">
        <v>14.65</v>
      </c>
      <c r="H413">
        <v>102.55</v>
      </c>
      <c r="I413" t="s">
        <v>525</v>
      </c>
      <c r="J413" t="str">
        <f t="shared" si="12"/>
        <v>Average😒</v>
      </c>
      <c r="K413" s="6" t="str">
        <f t="shared" si="13"/>
        <v>Remain</v>
      </c>
    </row>
    <row r="414" spans="1:11" x14ac:dyDescent="0.3">
      <c r="A414">
        <v>413</v>
      </c>
      <c r="B414" s="6">
        <v>45171</v>
      </c>
      <c r="C414" t="s">
        <v>34</v>
      </c>
      <c r="D414" t="s">
        <v>42</v>
      </c>
      <c r="E414" t="s">
        <v>43</v>
      </c>
      <c r="F414">
        <v>1</v>
      </c>
      <c r="G414">
        <v>206.95</v>
      </c>
      <c r="H414">
        <v>206.95</v>
      </c>
      <c r="I414" t="s">
        <v>525</v>
      </c>
      <c r="J414" t="str">
        <f t="shared" si="12"/>
        <v>Average😒</v>
      </c>
      <c r="K414" s="6" t="str">
        <f t="shared" si="13"/>
        <v>Restock</v>
      </c>
    </row>
    <row r="415" spans="1:11" x14ac:dyDescent="0.3">
      <c r="A415">
        <v>414</v>
      </c>
      <c r="B415" s="6">
        <v>45162</v>
      </c>
      <c r="C415" t="s">
        <v>33</v>
      </c>
      <c r="D415" t="s">
        <v>42</v>
      </c>
      <c r="E415" t="s">
        <v>43</v>
      </c>
      <c r="F415">
        <v>9</v>
      </c>
      <c r="G415">
        <v>294.57</v>
      </c>
      <c r="H415">
        <v>2651.13</v>
      </c>
      <c r="I415" t="s">
        <v>522</v>
      </c>
      <c r="J415" t="str">
        <f t="shared" si="12"/>
        <v>Excellent👍</v>
      </c>
      <c r="K415" s="6" t="str">
        <f t="shared" si="13"/>
        <v>Remain</v>
      </c>
    </row>
    <row r="416" spans="1:11" x14ac:dyDescent="0.3">
      <c r="A416">
        <v>415</v>
      </c>
      <c r="B416" s="6">
        <v>45285</v>
      </c>
      <c r="C416" t="s">
        <v>35</v>
      </c>
      <c r="D416" t="s">
        <v>51</v>
      </c>
      <c r="E416" t="s">
        <v>55</v>
      </c>
      <c r="F416">
        <v>9</v>
      </c>
      <c r="G416">
        <v>386.45</v>
      </c>
      <c r="H416">
        <v>3478.05</v>
      </c>
      <c r="I416" t="s">
        <v>520</v>
      </c>
      <c r="J416" t="str">
        <f t="shared" si="12"/>
        <v>Excellent👍</v>
      </c>
      <c r="K416" s="6" t="str">
        <f t="shared" si="13"/>
        <v>Remain</v>
      </c>
    </row>
    <row r="417" spans="1:11" x14ac:dyDescent="0.3">
      <c r="A417">
        <v>416</v>
      </c>
      <c r="B417" s="6">
        <v>45103</v>
      </c>
      <c r="C417" t="s">
        <v>36</v>
      </c>
      <c r="D417" t="s">
        <v>53</v>
      </c>
      <c r="E417" t="s">
        <v>54</v>
      </c>
      <c r="F417">
        <v>4</v>
      </c>
      <c r="G417">
        <v>371.42</v>
      </c>
      <c r="H417">
        <v>1485.68</v>
      </c>
      <c r="I417" t="s">
        <v>519</v>
      </c>
      <c r="J417" t="str">
        <f t="shared" si="12"/>
        <v>Average😒</v>
      </c>
      <c r="K417" s="6" t="str">
        <f t="shared" si="13"/>
        <v>Restock</v>
      </c>
    </row>
    <row r="418" spans="1:11" x14ac:dyDescent="0.3">
      <c r="A418">
        <v>417</v>
      </c>
      <c r="B418" s="6">
        <v>45084</v>
      </c>
      <c r="C418" t="s">
        <v>34</v>
      </c>
      <c r="D418" t="s">
        <v>53</v>
      </c>
      <c r="E418" t="s">
        <v>64</v>
      </c>
      <c r="F418">
        <v>3</v>
      </c>
      <c r="G418">
        <v>238.98</v>
      </c>
      <c r="H418">
        <v>716.93999999999994</v>
      </c>
      <c r="I418" t="s">
        <v>523</v>
      </c>
      <c r="J418" t="str">
        <f t="shared" si="12"/>
        <v>Average😒</v>
      </c>
      <c r="K418" s="6" t="str">
        <f t="shared" si="13"/>
        <v>Restock</v>
      </c>
    </row>
    <row r="419" spans="1:11" x14ac:dyDescent="0.3">
      <c r="A419">
        <v>418</v>
      </c>
      <c r="B419" s="6">
        <v>45219</v>
      </c>
      <c r="C419" t="s">
        <v>34</v>
      </c>
      <c r="D419" t="s">
        <v>42</v>
      </c>
      <c r="E419" t="s">
        <v>41</v>
      </c>
      <c r="F419">
        <v>2</v>
      </c>
      <c r="G419">
        <v>155.19</v>
      </c>
      <c r="H419">
        <v>310.38</v>
      </c>
      <c r="I419" t="s">
        <v>525</v>
      </c>
      <c r="J419" t="str">
        <f t="shared" si="12"/>
        <v>Average😒</v>
      </c>
      <c r="K419" s="6" t="str">
        <f t="shared" si="13"/>
        <v>Restock</v>
      </c>
    </row>
    <row r="420" spans="1:11" x14ac:dyDescent="0.3">
      <c r="A420">
        <v>419</v>
      </c>
      <c r="B420" s="6">
        <v>44999</v>
      </c>
      <c r="C420" t="s">
        <v>33</v>
      </c>
      <c r="D420" t="s">
        <v>53</v>
      </c>
      <c r="E420" t="s">
        <v>60</v>
      </c>
      <c r="F420">
        <v>9</v>
      </c>
      <c r="G420">
        <v>145.86000000000001</v>
      </c>
      <c r="H420">
        <v>1312.74</v>
      </c>
      <c r="I420" t="s">
        <v>525</v>
      </c>
      <c r="J420" t="str">
        <f t="shared" si="12"/>
        <v>Average😒</v>
      </c>
      <c r="K420" s="6" t="str">
        <f t="shared" si="13"/>
        <v>Remain</v>
      </c>
    </row>
    <row r="421" spans="1:11" x14ac:dyDescent="0.3">
      <c r="A421">
        <v>420</v>
      </c>
      <c r="B421" s="6">
        <v>45066</v>
      </c>
      <c r="C421" t="s">
        <v>34</v>
      </c>
      <c r="D421" t="s">
        <v>53</v>
      </c>
      <c r="E421" t="s">
        <v>60</v>
      </c>
      <c r="F421">
        <v>1</v>
      </c>
      <c r="G421">
        <v>201.9</v>
      </c>
      <c r="H421">
        <v>201.9</v>
      </c>
      <c r="I421" t="s">
        <v>521</v>
      </c>
      <c r="J421" t="str">
        <f t="shared" si="12"/>
        <v>Average😒</v>
      </c>
      <c r="K421" s="6" t="str">
        <f t="shared" si="13"/>
        <v>Restock</v>
      </c>
    </row>
    <row r="422" spans="1:11" x14ac:dyDescent="0.3">
      <c r="A422">
        <v>421</v>
      </c>
      <c r="B422" s="6">
        <v>45124</v>
      </c>
      <c r="C422" t="s">
        <v>36</v>
      </c>
      <c r="D422" t="s">
        <v>53</v>
      </c>
      <c r="E422" t="s">
        <v>64</v>
      </c>
      <c r="F422">
        <v>5</v>
      </c>
      <c r="G422">
        <v>395.31</v>
      </c>
      <c r="H422">
        <v>1976.55</v>
      </c>
      <c r="I422" t="s">
        <v>524</v>
      </c>
      <c r="J422" t="str">
        <f t="shared" si="12"/>
        <v>Average😒</v>
      </c>
      <c r="K422" s="6" t="str">
        <f t="shared" si="13"/>
        <v>Remain</v>
      </c>
    </row>
    <row r="423" spans="1:11" x14ac:dyDescent="0.3">
      <c r="A423">
        <v>422</v>
      </c>
      <c r="B423" s="6">
        <v>45228</v>
      </c>
      <c r="C423" t="s">
        <v>36</v>
      </c>
      <c r="D423" t="s">
        <v>51</v>
      </c>
      <c r="E423" t="s">
        <v>63</v>
      </c>
      <c r="F423">
        <v>7</v>
      </c>
      <c r="G423">
        <v>440.77</v>
      </c>
      <c r="H423">
        <v>3085.39</v>
      </c>
      <c r="I423" t="s">
        <v>525</v>
      </c>
      <c r="J423" t="str">
        <f t="shared" si="12"/>
        <v>Excellent👍</v>
      </c>
      <c r="K423" s="6" t="str">
        <f t="shared" si="13"/>
        <v>Remain</v>
      </c>
    </row>
    <row r="424" spans="1:11" x14ac:dyDescent="0.3">
      <c r="A424">
        <v>423</v>
      </c>
      <c r="B424" s="6">
        <v>45259</v>
      </c>
      <c r="C424" t="s">
        <v>34</v>
      </c>
      <c r="D424" t="s">
        <v>51</v>
      </c>
      <c r="E424" t="s">
        <v>63</v>
      </c>
      <c r="F424">
        <v>8</v>
      </c>
      <c r="G424">
        <v>239.03</v>
      </c>
      <c r="H424">
        <v>1912.24</v>
      </c>
      <c r="I424" t="s">
        <v>519</v>
      </c>
      <c r="J424" t="str">
        <f t="shared" si="12"/>
        <v>Average😒</v>
      </c>
      <c r="K424" s="6" t="str">
        <f t="shared" si="13"/>
        <v>Remain</v>
      </c>
    </row>
    <row r="425" spans="1:11" x14ac:dyDescent="0.3">
      <c r="A425">
        <v>424</v>
      </c>
      <c r="B425" s="6">
        <v>44978</v>
      </c>
      <c r="C425" t="s">
        <v>35</v>
      </c>
      <c r="D425" t="s">
        <v>42</v>
      </c>
      <c r="E425" t="s">
        <v>50</v>
      </c>
      <c r="F425">
        <v>2</v>
      </c>
      <c r="G425">
        <v>91.85</v>
      </c>
      <c r="H425">
        <v>183.7</v>
      </c>
      <c r="I425" t="s">
        <v>523</v>
      </c>
      <c r="J425" t="str">
        <f t="shared" si="12"/>
        <v>Average😒</v>
      </c>
      <c r="K425" s="6" t="str">
        <f t="shared" si="13"/>
        <v>Restock</v>
      </c>
    </row>
    <row r="426" spans="1:11" x14ac:dyDescent="0.3">
      <c r="A426">
        <v>425</v>
      </c>
      <c r="B426" s="6">
        <v>45074</v>
      </c>
      <c r="C426" t="s">
        <v>34</v>
      </c>
      <c r="D426" t="s">
        <v>51</v>
      </c>
      <c r="E426" t="s">
        <v>63</v>
      </c>
      <c r="F426">
        <v>4</v>
      </c>
      <c r="G426">
        <v>123.52</v>
      </c>
      <c r="H426">
        <v>494.08</v>
      </c>
      <c r="I426" t="s">
        <v>520</v>
      </c>
      <c r="J426" t="str">
        <f t="shared" si="12"/>
        <v>Average😒</v>
      </c>
      <c r="K426" s="6" t="str">
        <f t="shared" si="13"/>
        <v>Restock</v>
      </c>
    </row>
    <row r="427" spans="1:11" x14ac:dyDescent="0.3">
      <c r="A427">
        <v>426</v>
      </c>
      <c r="B427" s="6">
        <v>45256</v>
      </c>
      <c r="C427" t="s">
        <v>34</v>
      </c>
      <c r="D427" t="s">
        <v>53</v>
      </c>
      <c r="E427" t="s">
        <v>60</v>
      </c>
      <c r="F427">
        <v>6</v>
      </c>
      <c r="G427">
        <v>307.79000000000002</v>
      </c>
      <c r="H427">
        <v>1846.74</v>
      </c>
      <c r="I427" t="s">
        <v>521</v>
      </c>
      <c r="J427" t="str">
        <f t="shared" si="12"/>
        <v>Average😒</v>
      </c>
      <c r="K427" s="6" t="str">
        <f t="shared" si="13"/>
        <v>Remain</v>
      </c>
    </row>
    <row r="428" spans="1:11" x14ac:dyDescent="0.3">
      <c r="A428">
        <v>427</v>
      </c>
      <c r="B428" s="6">
        <v>45167</v>
      </c>
      <c r="C428" t="s">
        <v>36</v>
      </c>
      <c r="D428" t="s">
        <v>51</v>
      </c>
      <c r="E428" t="s">
        <v>55</v>
      </c>
      <c r="F428">
        <v>2</v>
      </c>
      <c r="G428">
        <v>198.2</v>
      </c>
      <c r="H428">
        <v>396.4</v>
      </c>
      <c r="I428" t="s">
        <v>524</v>
      </c>
      <c r="J428" t="str">
        <f t="shared" si="12"/>
        <v>Average😒</v>
      </c>
      <c r="K428" s="6" t="str">
        <f t="shared" si="13"/>
        <v>Restock</v>
      </c>
    </row>
    <row r="429" spans="1:11" x14ac:dyDescent="0.3">
      <c r="A429">
        <v>428</v>
      </c>
      <c r="B429" s="6">
        <v>44931</v>
      </c>
      <c r="C429" t="s">
        <v>34</v>
      </c>
      <c r="D429" t="s">
        <v>51</v>
      </c>
      <c r="E429" t="s">
        <v>63</v>
      </c>
      <c r="F429">
        <v>3</v>
      </c>
      <c r="G429">
        <v>414.84</v>
      </c>
      <c r="H429">
        <v>1244.52</v>
      </c>
      <c r="I429" t="s">
        <v>521</v>
      </c>
      <c r="J429" t="str">
        <f t="shared" si="12"/>
        <v>Average😒</v>
      </c>
      <c r="K429" s="6" t="str">
        <f t="shared" si="13"/>
        <v>Restock</v>
      </c>
    </row>
    <row r="430" spans="1:11" x14ac:dyDescent="0.3">
      <c r="A430">
        <v>429</v>
      </c>
      <c r="B430" s="6">
        <v>45141</v>
      </c>
      <c r="C430" t="s">
        <v>33</v>
      </c>
      <c r="D430" t="s">
        <v>56</v>
      </c>
      <c r="E430" t="s">
        <v>62</v>
      </c>
      <c r="F430">
        <v>5</v>
      </c>
      <c r="G430">
        <v>318.58999999999997</v>
      </c>
      <c r="H430">
        <v>1592.95</v>
      </c>
      <c r="I430" t="s">
        <v>521</v>
      </c>
      <c r="J430" t="str">
        <f t="shared" si="12"/>
        <v>Average😒</v>
      </c>
      <c r="K430" s="6" t="str">
        <f t="shared" si="13"/>
        <v>Remain</v>
      </c>
    </row>
    <row r="431" spans="1:11" x14ac:dyDescent="0.3">
      <c r="A431">
        <v>430</v>
      </c>
      <c r="B431" s="6">
        <v>44946</v>
      </c>
      <c r="C431" t="s">
        <v>34</v>
      </c>
      <c r="D431" t="s">
        <v>42</v>
      </c>
      <c r="E431" t="s">
        <v>66</v>
      </c>
      <c r="F431">
        <v>1</v>
      </c>
      <c r="G431">
        <v>263.95</v>
      </c>
      <c r="H431">
        <v>263.95</v>
      </c>
      <c r="I431" t="s">
        <v>519</v>
      </c>
      <c r="J431" t="str">
        <f t="shared" si="12"/>
        <v>Average😒</v>
      </c>
      <c r="K431" s="6" t="str">
        <f t="shared" si="13"/>
        <v>Restock</v>
      </c>
    </row>
    <row r="432" spans="1:11" x14ac:dyDescent="0.3">
      <c r="A432">
        <v>431</v>
      </c>
      <c r="B432" s="6">
        <v>45104</v>
      </c>
      <c r="C432" t="s">
        <v>33</v>
      </c>
      <c r="D432" t="s">
        <v>56</v>
      </c>
      <c r="E432" t="s">
        <v>57</v>
      </c>
      <c r="F432">
        <v>1</v>
      </c>
      <c r="G432">
        <v>95.21</v>
      </c>
      <c r="H432">
        <v>95.21</v>
      </c>
      <c r="I432" t="s">
        <v>520</v>
      </c>
      <c r="J432" t="str">
        <f t="shared" si="12"/>
        <v>Average😒</v>
      </c>
      <c r="K432" s="6" t="str">
        <f t="shared" si="13"/>
        <v>Restock</v>
      </c>
    </row>
    <row r="433" spans="1:11" x14ac:dyDescent="0.3">
      <c r="A433">
        <v>432</v>
      </c>
      <c r="B433" s="6">
        <v>45142</v>
      </c>
      <c r="C433" t="s">
        <v>33</v>
      </c>
      <c r="D433" t="s">
        <v>56</v>
      </c>
      <c r="E433" t="s">
        <v>61</v>
      </c>
      <c r="F433">
        <v>2</v>
      </c>
      <c r="G433">
        <v>351.05</v>
      </c>
      <c r="H433">
        <v>702.1</v>
      </c>
      <c r="I433" t="s">
        <v>519</v>
      </c>
      <c r="J433" t="str">
        <f t="shared" si="12"/>
        <v>Average😒</v>
      </c>
      <c r="K433" s="6" t="str">
        <f t="shared" si="13"/>
        <v>Restock</v>
      </c>
    </row>
    <row r="434" spans="1:11" x14ac:dyDescent="0.3">
      <c r="A434">
        <v>433</v>
      </c>
      <c r="B434" s="6">
        <v>45195</v>
      </c>
      <c r="C434" t="s">
        <v>34</v>
      </c>
      <c r="D434" t="s">
        <v>56</v>
      </c>
      <c r="E434" t="s">
        <v>62</v>
      </c>
      <c r="F434">
        <v>3</v>
      </c>
      <c r="G434">
        <v>409.76</v>
      </c>
      <c r="H434">
        <v>1229.28</v>
      </c>
      <c r="I434" t="s">
        <v>519</v>
      </c>
      <c r="J434" t="str">
        <f t="shared" si="12"/>
        <v>Average😒</v>
      </c>
      <c r="K434" s="6" t="str">
        <f t="shared" si="13"/>
        <v>Restock</v>
      </c>
    </row>
    <row r="435" spans="1:11" x14ac:dyDescent="0.3">
      <c r="A435">
        <v>434</v>
      </c>
      <c r="B435" s="6">
        <v>45015</v>
      </c>
      <c r="C435" t="s">
        <v>33</v>
      </c>
      <c r="D435" t="s">
        <v>42</v>
      </c>
      <c r="E435" t="s">
        <v>50</v>
      </c>
      <c r="F435">
        <v>8</v>
      </c>
      <c r="G435">
        <v>376.46</v>
      </c>
      <c r="H435">
        <v>3011.68</v>
      </c>
      <c r="I435" t="s">
        <v>525</v>
      </c>
      <c r="J435" t="str">
        <f t="shared" si="12"/>
        <v>Excellent👍</v>
      </c>
      <c r="K435" s="6" t="str">
        <f t="shared" si="13"/>
        <v>Remain</v>
      </c>
    </row>
    <row r="436" spans="1:11" x14ac:dyDescent="0.3">
      <c r="A436">
        <v>435</v>
      </c>
      <c r="B436" s="6">
        <v>45283</v>
      </c>
      <c r="C436" t="s">
        <v>35</v>
      </c>
      <c r="D436" t="s">
        <v>56</v>
      </c>
      <c r="E436" t="s">
        <v>57</v>
      </c>
      <c r="F436">
        <v>9</v>
      </c>
      <c r="G436">
        <v>448.51</v>
      </c>
      <c r="H436">
        <v>4036.59</v>
      </c>
      <c r="I436" t="s">
        <v>522</v>
      </c>
      <c r="J436" t="str">
        <f t="shared" si="12"/>
        <v>Excellent👍</v>
      </c>
      <c r="K436" s="6" t="str">
        <f t="shared" si="13"/>
        <v>Remain</v>
      </c>
    </row>
    <row r="437" spans="1:11" x14ac:dyDescent="0.3">
      <c r="A437">
        <v>436</v>
      </c>
      <c r="B437" s="6">
        <v>45249</v>
      </c>
      <c r="C437" t="s">
        <v>36</v>
      </c>
      <c r="D437" t="s">
        <v>56</v>
      </c>
      <c r="E437" t="s">
        <v>61</v>
      </c>
      <c r="F437">
        <v>2</v>
      </c>
      <c r="G437">
        <v>234.14</v>
      </c>
      <c r="H437">
        <v>468.28</v>
      </c>
      <c r="I437" t="s">
        <v>524</v>
      </c>
      <c r="J437" t="str">
        <f t="shared" si="12"/>
        <v>Average😒</v>
      </c>
      <c r="K437" s="6" t="str">
        <f t="shared" si="13"/>
        <v>Restock</v>
      </c>
    </row>
    <row r="438" spans="1:11" x14ac:dyDescent="0.3">
      <c r="A438">
        <v>437</v>
      </c>
      <c r="B438" s="6">
        <v>45152</v>
      </c>
      <c r="C438" t="s">
        <v>34</v>
      </c>
      <c r="D438" t="s">
        <v>42</v>
      </c>
      <c r="E438" t="s">
        <v>41</v>
      </c>
      <c r="F438">
        <v>9</v>
      </c>
      <c r="G438">
        <v>31.74</v>
      </c>
      <c r="H438">
        <v>285.66000000000003</v>
      </c>
      <c r="I438" t="s">
        <v>523</v>
      </c>
      <c r="J438" t="str">
        <f t="shared" si="12"/>
        <v>Average😒</v>
      </c>
      <c r="K438" s="6" t="str">
        <f t="shared" si="13"/>
        <v>Remain</v>
      </c>
    </row>
    <row r="439" spans="1:11" x14ac:dyDescent="0.3">
      <c r="A439">
        <v>438</v>
      </c>
      <c r="B439" s="6">
        <v>44951</v>
      </c>
      <c r="C439" t="s">
        <v>33</v>
      </c>
      <c r="D439" t="s">
        <v>56</v>
      </c>
      <c r="E439" t="s">
        <v>62</v>
      </c>
      <c r="F439">
        <v>9</v>
      </c>
      <c r="G439">
        <v>171.24</v>
      </c>
      <c r="H439">
        <v>1541.16</v>
      </c>
      <c r="I439" t="s">
        <v>523</v>
      </c>
      <c r="J439" t="str">
        <f t="shared" si="12"/>
        <v>Average😒</v>
      </c>
      <c r="K439" s="6" t="str">
        <f t="shared" si="13"/>
        <v>Remain</v>
      </c>
    </row>
    <row r="440" spans="1:11" x14ac:dyDescent="0.3">
      <c r="A440">
        <v>439</v>
      </c>
      <c r="B440" s="6">
        <v>45152</v>
      </c>
      <c r="C440" t="s">
        <v>33</v>
      </c>
      <c r="D440" t="s">
        <v>53</v>
      </c>
      <c r="E440" t="s">
        <v>64</v>
      </c>
      <c r="F440">
        <v>5</v>
      </c>
      <c r="G440">
        <v>370.25</v>
      </c>
      <c r="H440">
        <v>1851.25</v>
      </c>
      <c r="I440" t="s">
        <v>519</v>
      </c>
      <c r="J440" t="str">
        <f t="shared" si="12"/>
        <v>Average😒</v>
      </c>
      <c r="K440" s="6" t="str">
        <f t="shared" si="13"/>
        <v>Remain</v>
      </c>
    </row>
    <row r="441" spans="1:11" x14ac:dyDescent="0.3">
      <c r="A441">
        <v>440</v>
      </c>
      <c r="B441" s="6">
        <v>44964</v>
      </c>
      <c r="C441" t="s">
        <v>33</v>
      </c>
      <c r="D441" t="s">
        <v>42</v>
      </c>
      <c r="E441" t="s">
        <v>41</v>
      </c>
      <c r="F441">
        <v>8</v>
      </c>
      <c r="G441">
        <v>133.80000000000001</v>
      </c>
      <c r="H441">
        <v>1070.4000000000001</v>
      </c>
      <c r="I441" t="s">
        <v>519</v>
      </c>
      <c r="J441" t="str">
        <f t="shared" si="12"/>
        <v>Average😒</v>
      </c>
      <c r="K441" s="6" t="str">
        <f t="shared" si="13"/>
        <v>Remain</v>
      </c>
    </row>
    <row r="442" spans="1:11" x14ac:dyDescent="0.3">
      <c r="A442">
        <v>441</v>
      </c>
      <c r="B442" s="6">
        <v>45102</v>
      </c>
      <c r="C442" t="s">
        <v>33</v>
      </c>
      <c r="D442" t="s">
        <v>51</v>
      </c>
      <c r="E442" t="s">
        <v>65</v>
      </c>
      <c r="F442">
        <v>8</v>
      </c>
      <c r="G442">
        <v>350.9</v>
      </c>
      <c r="H442">
        <v>2807.2</v>
      </c>
      <c r="I442" t="s">
        <v>525</v>
      </c>
      <c r="J442" t="str">
        <f t="shared" si="12"/>
        <v>Excellent👍</v>
      </c>
      <c r="K442" s="6" t="str">
        <f t="shared" si="13"/>
        <v>Remain</v>
      </c>
    </row>
    <row r="443" spans="1:11" x14ac:dyDescent="0.3">
      <c r="A443">
        <v>442</v>
      </c>
      <c r="B443" s="6">
        <v>45242</v>
      </c>
      <c r="C443" t="s">
        <v>33</v>
      </c>
      <c r="D443" t="s">
        <v>53</v>
      </c>
      <c r="E443" t="s">
        <v>58</v>
      </c>
      <c r="F443">
        <v>2</v>
      </c>
      <c r="G443">
        <v>49.71</v>
      </c>
      <c r="H443">
        <v>99.42</v>
      </c>
      <c r="I443" t="s">
        <v>520</v>
      </c>
      <c r="J443" t="str">
        <f t="shared" si="12"/>
        <v>Average😒</v>
      </c>
      <c r="K443" s="6" t="str">
        <f t="shared" si="13"/>
        <v>Restock</v>
      </c>
    </row>
    <row r="444" spans="1:11" x14ac:dyDescent="0.3">
      <c r="A444">
        <v>443</v>
      </c>
      <c r="B444" s="6">
        <v>45040</v>
      </c>
      <c r="C444" t="s">
        <v>34</v>
      </c>
      <c r="D444" t="s">
        <v>56</v>
      </c>
      <c r="E444" t="s">
        <v>61</v>
      </c>
      <c r="F444">
        <v>5</v>
      </c>
      <c r="G444">
        <v>495.82</v>
      </c>
      <c r="H444">
        <v>2479.1</v>
      </c>
      <c r="I444" t="s">
        <v>523</v>
      </c>
      <c r="J444" t="str">
        <f t="shared" si="12"/>
        <v>Excellent👍</v>
      </c>
      <c r="K444" s="6" t="str">
        <f t="shared" si="13"/>
        <v>Remain</v>
      </c>
    </row>
    <row r="445" spans="1:11" x14ac:dyDescent="0.3">
      <c r="A445">
        <v>444</v>
      </c>
      <c r="B445" s="6">
        <v>45244</v>
      </c>
      <c r="C445" t="s">
        <v>33</v>
      </c>
      <c r="D445" t="s">
        <v>53</v>
      </c>
      <c r="E445" t="s">
        <v>58</v>
      </c>
      <c r="F445">
        <v>8</v>
      </c>
      <c r="G445">
        <v>442.62</v>
      </c>
      <c r="H445">
        <v>3540.96</v>
      </c>
      <c r="I445" t="s">
        <v>525</v>
      </c>
      <c r="J445" t="str">
        <f t="shared" si="12"/>
        <v>Excellent👍</v>
      </c>
      <c r="K445" s="6" t="str">
        <f t="shared" si="13"/>
        <v>Remain</v>
      </c>
    </row>
    <row r="446" spans="1:11" x14ac:dyDescent="0.3">
      <c r="A446">
        <v>445</v>
      </c>
      <c r="B446" s="6">
        <v>44982</v>
      </c>
      <c r="C446" t="s">
        <v>35</v>
      </c>
      <c r="D446" t="s">
        <v>51</v>
      </c>
      <c r="E446" t="s">
        <v>65</v>
      </c>
      <c r="F446">
        <v>3</v>
      </c>
      <c r="G446">
        <v>414.09</v>
      </c>
      <c r="H446">
        <v>1242.27</v>
      </c>
      <c r="I446" t="s">
        <v>521</v>
      </c>
      <c r="J446" t="str">
        <f t="shared" si="12"/>
        <v>Average😒</v>
      </c>
      <c r="K446" s="6" t="str">
        <f t="shared" si="13"/>
        <v>Restock</v>
      </c>
    </row>
    <row r="447" spans="1:11" x14ac:dyDescent="0.3">
      <c r="A447">
        <v>446</v>
      </c>
      <c r="B447" s="6">
        <v>45273</v>
      </c>
      <c r="C447" t="s">
        <v>33</v>
      </c>
      <c r="D447" t="s">
        <v>51</v>
      </c>
      <c r="E447" t="s">
        <v>55</v>
      </c>
      <c r="F447">
        <v>8</v>
      </c>
      <c r="G447">
        <v>342.23</v>
      </c>
      <c r="H447">
        <v>2737.84</v>
      </c>
      <c r="I447" t="s">
        <v>519</v>
      </c>
      <c r="J447" t="str">
        <f t="shared" si="12"/>
        <v>Excellent👍</v>
      </c>
      <c r="K447" s="6" t="str">
        <f t="shared" si="13"/>
        <v>Remain</v>
      </c>
    </row>
    <row r="448" spans="1:11" x14ac:dyDescent="0.3">
      <c r="A448">
        <v>447</v>
      </c>
      <c r="B448" s="6">
        <v>45073</v>
      </c>
      <c r="C448" t="s">
        <v>36</v>
      </c>
      <c r="D448" t="s">
        <v>53</v>
      </c>
      <c r="E448" t="s">
        <v>58</v>
      </c>
      <c r="F448">
        <v>1</v>
      </c>
      <c r="G448">
        <v>440.53</v>
      </c>
      <c r="H448">
        <v>440.53</v>
      </c>
      <c r="I448" t="s">
        <v>525</v>
      </c>
      <c r="J448" t="str">
        <f t="shared" si="12"/>
        <v>Average😒</v>
      </c>
      <c r="K448" s="6" t="str">
        <f t="shared" si="13"/>
        <v>Restock</v>
      </c>
    </row>
    <row r="449" spans="1:11" x14ac:dyDescent="0.3">
      <c r="A449">
        <v>448</v>
      </c>
      <c r="B449" s="6">
        <v>44985</v>
      </c>
      <c r="C449" t="s">
        <v>34</v>
      </c>
      <c r="D449" t="s">
        <v>51</v>
      </c>
      <c r="E449" t="s">
        <v>65</v>
      </c>
      <c r="F449">
        <v>8</v>
      </c>
      <c r="G449">
        <v>130.19</v>
      </c>
      <c r="H449">
        <v>1041.52</v>
      </c>
      <c r="I449" t="s">
        <v>524</v>
      </c>
      <c r="J449" t="str">
        <f t="shared" si="12"/>
        <v>Average😒</v>
      </c>
      <c r="K449" s="6" t="str">
        <f t="shared" si="13"/>
        <v>Remain</v>
      </c>
    </row>
    <row r="450" spans="1:11" x14ac:dyDescent="0.3">
      <c r="A450">
        <v>449</v>
      </c>
      <c r="B450" s="6">
        <v>44971</v>
      </c>
      <c r="C450" t="s">
        <v>35</v>
      </c>
      <c r="D450" t="s">
        <v>53</v>
      </c>
      <c r="E450" t="s">
        <v>64</v>
      </c>
      <c r="F450">
        <v>9</v>
      </c>
      <c r="G450">
        <v>173.66</v>
      </c>
      <c r="H450">
        <v>1562.94</v>
      </c>
      <c r="I450" t="s">
        <v>521</v>
      </c>
      <c r="J450" t="str">
        <f t="shared" si="12"/>
        <v>Average😒</v>
      </c>
      <c r="K450" s="6" t="str">
        <f t="shared" si="13"/>
        <v>Remain</v>
      </c>
    </row>
    <row r="451" spans="1:11" x14ac:dyDescent="0.3">
      <c r="A451">
        <v>450</v>
      </c>
      <c r="B451" s="6">
        <v>45282</v>
      </c>
      <c r="C451" t="s">
        <v>34</v>
      </c>
      <c r="D451" t="s">
        <v>56</v>
      </c>
      <c r="E451" t="s">
        <v>57</v>
      </c>
      <c r="F451">
        <v>9</v>
      </c>
      <c r="G451">
        <v>465.74</v>
      </c>
      <c r="H451">
        <v>4191.66</v>
      </c>
      <c r="I451" t="s">
        <v>521</v>
      </c>
      <c r="J451" t="str">
        <f t="shared" ref="J451:J501" si="14">IF(H451&gt;=2000,"Excellent👍","Average😒")</f>
        <v>Excellent👍</v>
      </c>
      <c r="K451" s="6" t="str">
        <f t="shared" ref="K451:K501" si="15">IF(F451&lt;5,"Restock","Remain")</f>
        <v>Remain</v>
      </c>
    </row>
    <row r="452" spans="1:11" x14ac:dyDescent="0.3">
      <c r="A452">
        <v>451</v>
      </c>
      <c r="B452" s="6">
        <v>45059</v>
      </c>
      <c r="C452" t="s">
        <v>33</v>
      </c>
      <c r="D452" t="s">
        <v>56</v>
      </c>
      <c r="E452" t="s">
        <v>62</v>
      </c>
      <c r="F452">
        <v>6</v>
      </c>
      <c r="G452">
        <v>102.72</v>
      </c>
      <c r="H452">
        <v>616.31999999999994</v>
      </c>
      <c r="I452" t="s">
        <v>523</v>
      </c>
      <c r="J452" t="str">
        <f t="shared" si="14"/>
        <v>Average😒</v>
      </c>
      <c r="K452" s="6" t="str">
        <f t="shared" si="15"/>
        <v>Remain</v>
      </c>
    </row>
    <row r="453" spans="1:11" x14ac:dyDescent="0.3">
      <c r="A453">
        <v>452</v>
      </c>
      <c r="B453" s="6">
        <v>44949</v>
      </c>
      <c r="C453" t="s">
        <v>36</v>
      </c>
      <c r="D453" t="s">
        <v>51</v>
      </c>
      <c r="E453" t="s">
        <v>52</v>
      </c>
      <c r="F453">
        <v>9</v>
      </c>
      <c r="G453">
        <v>24.33</v>
      </c>
      <c r="H453">
        <v>218.97</v>
      </c>
      <c r="I453" t="s">
        <v>522</v>
      </c>
      <c r="J453" t="str">
        <f t="shared" si="14"/>
        <v>Average😒</v>
      </c>
      <c r="K453" s="6" t="str">
        <f t="shared" si="15"/>
        <v>Remain</v>
      </c>
    </row>
    <row r="454" spans="1:11" x14ac:dyDescent="0.3">
      <c r="A454">
        <v>453</v>
      </c>
      <c r="B454" s="6">
        <v>45008</v>
      </c>
      <c r="C454" t="s">
        <v>33</v>
      </c>
      <c r="D454" t="s">
        <v>42</v>
      </c>
      <c r="E454" t="s">
        <v>50</v>
      </c>
      <c r="F454">
        <v>5</v>
      </c>
      <c r="G454">
        <v>374.32</v>
      </c>
      <c r="H454">
        <v>1871.6</v>
      </c>
      <c r="I454" t="s">
        <v>524</v>
      </c>
      <c r="J454" t="str">
        <f t="shared" si="14"/>
        <v>Average😒</v>
      </c>
      <c r="K454" s="6" t="str">
        <f t="shared" si="15"/>
        <v>Remain</v>
      </c>
    </row>
    <row r="455" spans="1:11" x14ac:dyDescent="0.3">
      <c r="A455">
        <v>454</v>
      </c>
      <c r="B455" s="6">
        <v>45003</v>
      </c>
      <c r="C455" t="s">
        <v>35</v>
      </c>
      <c r="D455" t="s">
        <v>42</v>
      </c>
      <c r="E455" t="s">
        <v>41</v>
      </c>
      <c r="F455">
        <v>4</v>
      </c>
      <c r="G455">
        <v>282.52999999999997</v>
      </c>
      <c r="H455">
        <v>1130.1199999999999</v>
      </c>
      <c r="I455" t="s">
        <v>519</v>
      </c>
      <c r="J455" t="str">
        <f t="shared" si="14"/>
        <v>Average😒</v>
      </c>
      <c r="K455" s="6" t="str">
        <f t="shared" si="15"/>
        <v>Restock</v>
      </c>
    </row>
    <row r="456" spans="1:11" x14ac:dyDescent="0.3">
      <c r="A456">
        <v>455</v>
      </c>
      <c r="B456" s="6">
        <v>44939</v>
      </c>
      <c r="C456" t="s">
        <v>36</v>
      </c>
      <c r="D456" t="s">
        <v>53</v>
      </c>
      <c r="E456" t="s">
        <v>54</v>
      </c>
      <c r="F456">
        <v>7</v>
      </c>
      <c r="G456">
        <v>104.64</v>
      </c>
      <c r="H456">
        <v>732.48</v>
      </c>
      <c r="I456" t="s">
        <v>523</v>
      </c>
      <c r="J456" t="str">
        <f t="shared" si="14"/>
        <v>Average😒</v>
      </c>
      <c r="K456" s="6" t="str">
        <f t="shared" si="15"/>
        <v>Remain</v>
      </c>
    </row>
    <row r="457" spans="1:11" x14ac:dyDescent="0.3">
      <c r="A457">
        <v>456</v>
      </c>
      <c r="B457" s="6">
        <v>45286</v>
      </c>
      <c r="C457" t="s">
        <v>34</v>
      </c>
      <c r="D457" t="s">
        <v>53</v>
      </c>
      <c r="E457" t="s">
        <v>64</v>
      </c>
      <c r="F457">
        <v>1</v>
      </c>
      <c r="G457">
        <v>284.32</v>
      </c>
      <c r="H457">
        <v>284.32</v>
      </c>
      <c r="I457" t="s">
        <v>520</v>
      </c>
      <c r="J457" t="str">
        <f t="shared" si="14"/>
        <v>Average😒</v>
      </c>
      <c r="K457" s="6" t="str">
        <f t="shared" si="15"/>
        <v>Restock</v>
      </c>
    </row>
    <row r="458" spans="1:11" x14ac:dyDescent="0.3">
      <c r="A458">
        <v>457</v>
      </c>
      <c r="B458" s="6">
        <v>45270</v>
      </c>
      <c r="C458" t="s">
        <v>35</v>
      </c>
      <c r="D458" t="s">
        <v>42</v>
      </c>
      <c r="E458" t="s">
        <v>50</v>
      </c>
      <c r="F458">
        <v>2</v>
      </c>
      <c r="G458">
        <v>320.66000000000003</v>
      </c>
      <c r="H458">
        <v>641.32000000000005</v>
      </c>
      <c r="I458" t="s">
        <v>522</v>
      </c>
      <c r="J458" t="str">
        <f t="shared" si="14"/>
        <v>Average😒</v>
      </c>
      <c r="K458" s="6" t="str">
        <f t="shared" si="15"/>
        <v>Restock</v>
      </c>
    </row>
    <row r="459" spans="1:11" x14ac:dyDescent="0.3">
      <c r="A459">
        <v>458</v>
      </c>
      <c r="B459" s="6">
        <v>45000</v>
      </c>
      <c r="C459" t="s">
        <v>34</v>
      </c>
      <c r="D459" t="s">
        <v>53</v>
      </c>
      <c r="E459" t="s">
        <v>60</v>
      </c>
      <c r="F459">
        <v>3</v>
      </c>
      <c r="G459">
        <v>72.94</v>
      </c>
      <c r="H459">
        <v>218.82</v>
      </c>
      <c r="I459" t="s">
        <v>523</v>
      </c>
      <c r="J459" t="str">
        <f t="shared" si="14"/>
        <v>Average😒</v>
      </c>
      <c r="K459" s="6" t="str">
        <f t="shared" si="15"/>
        <v>Restock</v>
      </c>
    </row>
    <row r="460" spans="1:11" x14ac:dyDescent="0.3">
      <c r="A460">
        <v>459</v>
      </c>
      <c r="B460" s="6">
        <v>45245</v>
      </c>
      <c r="C460" t="s">
        <v>34</v>
      </c>
      <c r="D460" t="s">
        <v>56</v>
      </c>
      <c r="E460" t="s">
        <v>59</v>
      </c>
      <c r="F460">
        <v>9</v>
      </c>
      <c r="G460">
        <v>481.87</v>
      </c>
      <c r="H460">
        <v>4336.83</v>
      </c>
      <c r="I460" t="s">
        <v>525</v>
      </c>
      <c r="J460" t="str">
        <f t="shared" si="14"/>
        <v>Excellent👍</v>
      </c>
      <c r="K460" s="6" t="str">
        <f t="shared" si="15"/>
        <v>Remain</v>
      </c>
    </row>
    <row r="461" spans="1:11" x14ac:dyDescent="0.3">
      <c r="A461">
        <v>460</v>
      </c>
      <c r="B461" s="6">
        <v>45122</v>
      </c>
      <c r="C461" t="s">
        <v>33</v>
      </c>
      <c r="D461" t="s">
        <v>56</v>
      </c>
      <c r="E461" t="s">
        <v>62</v>
      </c>
      <c r="F461">
        <v>5</v>
      </c>
      <c r="G461">
        <v>60.23</v>
      </c>
      <c r="H461">
        <v>301.14999999999998</v>
      </c>
      <c r="I461" t="s">
        <v>525</v>
      </c>
      <c r="J461" t="str">
        <f t="shared" si="14"/>
        <v>Average😒</v>
      </c>
      <c r="K461" s="6" t="str">
        <f t="shared" si="15"/>
        <v>Remain</v>
      </c>
    </row>
    <row r="462" spans="1:11" x14ac:dyDescent="0.3">
      <c r="A462">
        <v>461</v>
      </c>
      <c r="B462" s="6">
        <v>45168</v>
      </c>
      <c r="C462" t="s">
        <v>34</v>
      </c>
      <c r="D462" t="s">
        <v>56</v>
      </c>
      <c r="E462" t="s">
        <v>62</v>
      </c>
      <c r="F462">
        <v>4</v>
      </c>
      <c r="G462">
        <v>347.06</v>
      </c>
      <c r="H462">
        <v>1388.24</v>
      </c>
      <c r="I462" t="s">
        <v>522</v>
      </c>
      <c r="J462" t="str">
        <f t="shared" si="14"/>
        <v>Average😒</v>
      </c>
      <c r="K462" s="6" t="str">
        <f t="shared" si="15"/>
        <v>Restock</v>
      </c>
    </row>
    <row r="463" spans="1:11" x14ac:dyDescent="0.3">
      <c r="A463">
        <v>462</v>
      </c>
      <c r="B463" s="6">
        <v>44943</v>
      </c>
      <c r="C463" t="s">
        <v>35</v>
      </c>
      <c r="D463" t="s">
        <v>53</v>
      </c>
      <c r="E463" t="s">
        <v>58</v>
      </c>
      <c r="F463">
        <v>4</v>
      </c>
      <c r="G463">
        <v>157.47</v>
      </c>
      <c r="H463">
        <v>629.88</v>
      </c>
      <c r="I463" t="s">
        <v>521</v>
      </c>
      <c r="J463" t="str">
        <f t="shared" si="14"/>
        <v>Average😒</v>
      </c>
      <c r="K463" s="6" t="str">
        <f t="shared" si="15"/>
        <v>Restock</v>
      </c>
    </row>
    <row r="464" spans="1:11" x14ac:dyDescent="0.3">
      <c r="A464">
        <v>463</v>
      </c>
      <c r="B464" s="6">
        <v>45119</v>
      </c>
      <c r="C464" t="s">
        <v>34</v>
      </c>
      <c r="D464" t="s">
        <v>51</v>
      </c>
      <c r="E464" t="s">
        <v>65</v>
      </c>
      <c r="F464">
        <v>6</v>
      </c>
      <c r="G464">
        <v>357.2</v>
      </c>
      <c r="H464">
        <v>2143.1999999999998</v>
      </c>
      <c r="I464" t="s">
        <v>520</v>
      </c>
      <c r="J464" t="str">
        <f t="shared" si="14"/>
        <v>Excellent👍</v>
      </c>
      <c r="K464" s="6" t="str">
        <f t="shared" si="15"/>
        <v>Remain</v>
      </c>
    </row>
    <row r="465" spans="1:11" x14ac:dyDescent="0.3">
      <c r="A465">
        <v>464</v>
      </c>
      <c r="B465" s="6">
        <v>45136</v>
      </c>
      <c r="C465" t="s">
        <v>34</v>
      </c>
      <c r="D465" t="s">
        <v>56</v>
      </c>
      <c r="E465" t="s">
        <v>57</v>
      </c>
      <c r="F465">
        <v>6</v>
      </c>
      <c r="G465">
        <v>314.25</v>
      </c>
      <c r="H465">
        <v>1885.5</v>
      </c>
      <c r="I465" t="s">
        <v>525</v>
      </c>
      <c r="J465" t="str">
        <f t="shared" si="14"/>
        <v>Average😒</v>
      </c>
      <c r="K465" s="6" t="str">
        <f t="shared" si="15"/>
        <v>Remain</v>
      </c>
    </row>
    <row r="466" spans="1:11" x14ac:dyDescent="0.3">
      <c r="A466">
        <v>465</v>
      </c>
      <c r="B466" s="6">
        <v>45101</v>
      </c>
      <c r="C466" t="s">
        <v>33</v>
      </c>
      <c r="D466" t="s">
        <v>56</v>
      </c>
      <c r="E466" t="s">
        <v>62</v>
      </c>
      <c r="F466">
        <v>2</v>
      </c>
      <c r="G466">
        <v>495.17</v>
      </c>
      <c r="H466">
        <v>990.34</v>
      </c>
      <c r="I466" t="s">
        <v>523</v>
      </c>
      <c r="J466" t="str">
        <f t="shared" si="14"/>
        <v>Average😒</v>
      </c>
      <c r="K466" s="6" t="str">
        <f t="shared" si="15"/>
        <v>Restock</v>
      </c>
    </row>
    <row r="467" spans="1:11" x14ac:dyDescent="0.3">
      <c r="A467">
        <v>466</v>
      </c>
      <c r="B467" s="6">
        <v>44933</v>
      </c>
      <c r="C467" t="s">
        <v>34</v>
      </c>
      <c r="D467" t="s">
        <v>51</v>
      </c>
      <c r="E467" t="s">
        <v>65</v>
      </c>
      <c r="F467">
        <v>4</v>
      </c>
      <c r="G467">
        <v>327.31</v>
      </c>
      <c r="H467">
        <v>1309.24</v>
      </c>
      <c r="I467" t="s">
        <v>524</v>
      </c>
      <c r="J467" t="str">
        <f t="shared" si="14"/>
        <v>Average😒</v>
      </c>
      <c r="K467" s="6" t="str">
        <f t="shared" si="15"/>
        <v>Restock</v>
      </c>
    </row>
    <row r="468" spans="1:11" x14ac:dyDescent="0.3">
      <c r="A468">
        <v>467</v>
      </c>
      <c r="B468" s="6">
        <v>45005</v>
      </c>
      <c r="C468" t="s">
        <v>33</v>
      </c>
      <c r="D468" t="s">
        <v>53</v>
      </c>
      <c r="E468" t="s">
        <v>64</v>
      </c>
      <c r="F468">
        <v>1</v>
      </c>
      <c r="G468">
        <v>168.57</v>
      </c>
      <c r="H468">
        <v>168.57</v>
      </c>
      <c r="I468" t="s">
        <v>524</v>
      </c>
      <c r="J468" t="str">
        <f t="shared" si="14"/>
        <v>Average😒</v>
      </c>
      <c r="K468" s="6" t="str">
        <f t="shared" si="15"/>
        <v>Restock</v>
      </c>
    </row>
    <row r="469" spans="1:11" x14ac:dyDescent="0.3">
      <c r="A469">
        <v>468</v>
      </c>
      <c r="B469" s="6">
        <v>44952</v>
      </c>
      <c r="C469" t="s">
        <v>33</v>
      </c>
      <c r="D469" t="s">
        <v>53</v>
      </c>
      <c r="E469" t="s">
        <v>54</v>
      </c>
      <c r="F469">
        <v>3</v>
      </c>
      <c r="G469">
        <v>133.72999999999999</v>
      </c>
      <c r="H469">
        <v>401.18999999999988</v>
      </c>
      <c r="I469" t="s">
        <v>521</v>
      </c>
      <c r="J469" t="str">
        <f t="shared" si="14"/>
        <v>Average😒</v>
      </c>
      <c r="K469" s="6" t="str">
        <f t="shared" si="15"/>
        <v>Restock</v>
      </c>
    </row>
    <row r="470" spans="1:11" x14ac:dyDescent="0.3">
      <c r="A470">
        <v>469</v>
      </c>
      <c r="B470" s="6">
        <v>45211</v>
      </c>
      <c r="C470" t="s">
        <v>34</v>
      </c>
      <c r="D470" t="s">
        <v>51</v>
      </c>
      <c r="E470" t="s">
        <v>52</v>
      </c>
      <c r="F470">
        <v>2</v>
      </c>
      <c r="G470">
        <v>144.08000000000001</v>
      </c>
      <c r="H470">
        <v>288.16000000000003</v>
      </c>
      <c r="I470" t="s">
        <v>525</v>
      </c>
      <c r="J470" t="str">
        <f t="shared" si="14"/>
        <v>Average😒</v>
      </c>
      <c r="K470" s="6" t="str">
        <f t="shared" si="15"/>
        <v>Restock</v>
      </c>
    </row>
    <row r="471" spans="1:11" x14ac:dyDescent="0.3">
      <c r="A471">
        <v>470</v>
      </c>
      <c r="B471" s="6">
        <v>44965</v>
      </c>
      <c r="C471" t="s">
        <v>35</v>
      </c>
      <c r="D471" t="s">
        <v>56</v>
      </c>
      <c r="E471" t="s">
        <v>61</v>
      </c>
      <c r="F471">
        <v>4</v>
      </c>
      <c r="G471">
        <v>218.83</v>
      </c>
      <c r="H471">
        <v>875.32</v>
      </c>
      <c r="I471" t="s">
        <v>522</v>
      </c>
      <c r="J471" t="str">
        <f t="shared" si="14"/>
        <v>Average😒</v>
      </c>
      <c r="K471" s="6" t="str">
        <f t="shared" si="15"/>
        <v>Restock</v>
      </c>
    </row>
    <row r="472" spans="1:11" x14ac:dyDescent="0.3">
      <c r="A472">
        <v>471</v>
      </c>
      <c r="B472" s="6">
        <v>45001</v>
      </c>
      <c r="C472" t="s">
        <v>34</v>
      </c>
      <c r="D472" t="s">
        <v>42</v>
      </c>
      <c r="E472" t="s">
        <v>41</v>
      </c>
      <c r="F472">
        <v>7</v>
      </c>
      <c r="G472">
        <v>414.7</v>
      </c>
      <c r="H472">
        <v>2902.9</v>
      </c>
      <c r="I472" t="s">
        <v>525</v>
      </c>
      <c r="J472" t="str">
        <f t="shared" si="14"/>
        <v>Excellent👍</v>
      </c>
      <c r="K472" s="6" t="str">
        <f t="shared" si="15"/>
        <v>Remain</v>
      </c>
    </row>
    <row r="473" spans="1:11" x14ac:dyDescent="0.3">
      <c r="A473">
        <v>472</v>
      </c>
      <c r="B473" s="6">
        <v>45101</v>
      </c>
      <c r="C473" t="s">
        <v>35</v>
      </c>
      <c r="D473" t="s">
        <v>56</v>
      </c>
      <c r="E473" t="s">
        <v>61</v>
      </c>
      <c r="F473">
        <v>4</v>
      </c>
      <c r="G473">
        <v>421.57</v>
      </c>
      <c r="H473">
        <v>1686.28</v>
      </c>
      <c r="I473" t="s">
        <v>521</v>
      </c>
      <c r="J473" t="str">
        <f t="shared" si="14"/>
        <v>Average😒</v>
      </c>
      <c r="K473" s="6" t="str">
        <f t="shared" si="15"/>
        <v>Restock</v>
      </c>
    </row>
    <row r="474" spans="1:11" x14ac:dyDescent="0.3">
      <c r="A474">
        <v>473</v>
      </c>
      <c r="B474" s="6">
        <v>44953</v>
      </c>
      <c r="C474" t="s">
        <v>36</v>
      </c>
      <c r="D474" t="s">
        <v>51</v>
      </c>
      <c r="E474" t="s">
        <v>55</v>
      </c>
      <c r="F474">
        <v>4</v>
      </c>
      <c r="G474">
        <v>330.71</v>
      </c>
      <c r="H474">
        <v>1322.84</v>
      </c>
      <c r="I474" t="s">
        <v>520</v>
      </c>
      <c r="J474" t="str">
        <f t="shared" si="14"/>
        <v>Average😒</v>
      </c>
      <c r="K474" s="6" t="str">
        <f t="shared" si="15"/>
        <v>Restock</v>
      </c>
    </row>
    <row r="475" spans="1:11" x14ac:dyDescent="0.3">
      <c r="A475">
        <v>474</v>
      </c>
      <c r="B475" s="6">
        <v>45162</v>
      </c>
      <c r="C475" t="s">
        <v>33</v>
      </c>
      <c r="D475" t="s">
        <v>42</v>
      </c>
      <c r="E475" t="s">
        <v>43</v>
      </c>
      <c r="F475">
        <v>3</v>
      </c>
      <c r="G475">
        <v>475.92</v>
      </c>
      <c r="H475">
        <v>1427.76</v>
      </c>
      <c r="I475" t="s">
        <v>520</v>
      </c>
      <c r="J475" t="str">
        <f t="shared" si="14"/>
        <v>Average😒</v>
      </c>
      <c r="K475" s="6" t="str">
        <f t="shared" si="15"/>
        <v>Restock</v>
      </c>
    </row>
    <row r="476" spans="1:11" x14ac:dyDescent="0.3">
      <c r="A476">
        <v>475</v>
      </c>
      <c r="B476" s="6">
        <v>44947</v>
      </c>
      <c r="C476" t="s">
        <v>34</v>
      </c>
      <c r="D476" t="s">
        <v>51</v>
      </c>
      <c r="E476" t="s">
        <v>65</v>
      </c>
      <c r="F476">
        <v>8</v>
      </c>
      <c r="G476">
        <v>221.84</v>
      </c>
      <c r="H476">
        <v>1774.72</v>
      </c>
      <c r="I476" t="s">
        <v>525</v>
      </c>
      <c r="J476" t="str">
        <f t="shared" si="14"/>
        <v>Average😒</v>
      </c>
      <c r="K476" s="6" t="str">
        <f t="shared" si="15"/>
        <v>Remain</v>
      </c>
    </row>
    <row r="477" spans="1:11" x14ac:dyDescent="0.3">
      <c r="A477">
        <v>476</v>
      </c>
      <c r="B477" s="6">
        <v>45188</v>
      </c>
      <c r="C477" t="s">
        <v>36</v>
      </c>
      <c r="D477" t="s">
        <v>53</v>
      </c>
      <c r="E477" t="s">
        <v>64</v>
      </c>
      <c r="F477">
        <v>5</v>
      </c>
      <c r="G477">
        <v>322.88</v>
      </c>
      <c r="H477">
        <v>1614.4</v>
      </c>
      <c r="I477" t="s">
        <v>519</v>
      </c>
      <c r="J477" t="str">
        <f t="shared" si="14"/>
        <v>Average😒</v>
      </c>
      <c r="K477" s="6" t="str">
        <f t="shared" si="15"/>
        <v>Remain</v>
      </c>
    </row>
    <row r="478" spans="1:11" x14ac:dyDescent="0.3">
      <c r="A478">
        <v>477</v>
      </c>
      <c r="B478" s="6">
        <v>45183</v>
      </c>
      <c r="C478" t="s">
        <v>34</v>
      </c>
      <c r="D478" t="s">
        <v>51</v>
      </c>
      <c r="E478" t="s">
        <v>55</v>
      </c>
      <c r="F478">
        <v>3</v>
      </c>
      <c r="G478">
        <v>144.37</v>
      </c>
      <c r="H478">
        <v>433.11</v>
      </c>
      <c r="I478" t="s">
        <v>519</v>
      </c>
      <c r="J478" t="str">
        <f t="shared" si="14"/>
        <v>Average😒</v>
      </c>
      <c r="K478" s="6" t="str">
        <f t="shared" si="15"/>
        <v>Restock</v>
      </c>
    </row>
    <row r="479" spans="1:11" x14ac:dyDescent="0.3">
      <c r="A479">
        <v>478</v>
      </c>
      <c r="B479" s="6">
        <v>45089</v>
      </c>
      <c r="C479" t="s">
        <v>36</v>
      </c>
      <c r="D479" t="s">
        <v>53</v>
      </c>
      <c r="E479" t="s">
        <v>64</v>
      </c>
      <c r="F479">
        <v>6</v>
      </c>
      <c r="G479">
        <v>122.68</v>
      </c>
      <c r="H479">
        <v>736.08</v>
      </c>
      <c r="I479" t="s">
        <v>522</v>
      </c>
      <c r="J479" t="str">
        <f t="shared" si="14"/>
        <v>Average😒</v>
      </c>
      <c r="K479" s="6" t="str">
        <f t="shared" si="15"/>
        <v>Remain</v>
      </c>
    </row>
    <row r="480" spans="1:11" x14ac:dyDescent="0.3">
      <c r="A480">
        <v>479</v>
      </c>
      <c r="B480" s="6">
        <v>44938</v>
      </c>
      <c r="C480" t="s">
        <v>34</v>
      </c>
      <c r="D480" t="s">
        <v>56</v>
      </c>
      <c r="E480" t="s">
        <v>62</v>
      </c>
      <c r="F480">
        <v>1</v>
      </c>
      <c r="G480">
        <v>329.32</v>
      </c>
      <c r="H480">
        <v>329.32</v>
      </c>
      <c r="I480" t="s">
        <v>525</v>
      </c>
      <c r="J480" t="str">
        <f t="shared" si="14"/>
        <v>Average😒</v>
      </c>
      <c r="K480" s="6" t="str">
        <f t="shared" si="15"/>
        <v>Restock</v>
      </c>
    </row>
    <row r="481" spans="1:11" x14ac:dyDescent="0.3">
      <c r="A481">
        <v>480</v>
      </c>
      <c r="B481" s="6">
        <v>45134</v>
      </c>
      <c r="C481" t="s">
        <v>36</v>
      </c>
      <c r="D481" t="s">
        <v>51</v>
      </c>
      <c r="E481" t="s">
        <v>65</v>
      </c>
      <c r="F481">
        <v>2</v>
      </c>
      <c r="G481">
        <v>433.54</v>
      </c>
      <c r="H481">
        <v>867.08</v>
      </c>
      <c r="I481" t="s">
        <v>520</v>
      </c>
      <c r="J481" t="str">
        <f t="shared" si="14"/>
        <v>Average😒</v>
      </c>
      <c r="K481" s="6" t="str">
        <f t="shared" si="15"/>
        <v>Restock</v>
      </c>
    </row>
    <row r="482" spans="1:11" x14ac:dyDescent="0.3">
      <c r="A482">
        <v>481</v>
      </c>
      <c r="B482" s="6">
        <v>45071</v>
      </c>
      <c r="C482" t="s">
        <v>35</v>
      </c>
      <c r="D482" t="s">
        <v>53</v>
      </c>
      <c r="E482" t="s">
        <v>60</v>
      </c>
      <c r="F482">
        <v>8</v>
      </c>
      <c r="G482">
        <v>88.03</v>
      </c>
      <c r="H482">
        <v>704.24</v>
      </c>
      <c r="I482" t="s">
        <v>524</v>
      </c>
      <c r="J482" t="str">
        <f t="shared" si="14"/>
        <v>Average😒</v>
      </c>
      <c r="K482" s="6" t="str">
        <f t="shared" si="15"/>
        <v>Remain</v>
      </c>
    </row>
    <row r="483" spans="1:11" x14ac:dyDescent="0.3">
      <c r="A483">
        <v>482</v>
      </c>
      <c r="B483" s="6">
        <v>44953</v>
      </c>
      <c r="C483" t="s">
        <v>34</v>
      </c>
      <c r="D483" t="s">
        <v>56</v>
      </c>
      <c r="E483" t="s">
        <v>62</v>
      </c>
      <c r="F483">
        <v>5</v>
      </c>
      <c r="G483">
        <v>85.29</v>
      </c>
      <c r="H483">
        <v>426.45</v>
      </c>
      <c r="I483" t="s">
        <v>521</v>
      </c>
      <c r="J483" t="str">
        <f t="shared" si="14"/>
        <v>Average😒</v>
      </c>
      <c r="K483" s="6" t="str">
        <f t="shared" si="15"/>
        <v>Remain</v>
      </c>
    </row>
    <row r="484" spans="1:11" x14ac:dyDescent="0.3">
      <c r="A484">
        <v>483</v>
      </c>
      <c r="B484" s="6">
        <v>45275</v>
      </c>
      <c r="C484" t="s">
        <v>36</v>
      </c>
      <c r="D484" t="s">
        <v>56</v>
      </c>
      <c r="E484" t="s">
        <v>61</v>
      </c>
      <c r="F484">
        <v>2</v>
      </c>
      <c r="G484">
        <v>382.9</v>
      </c>
      <c r="H484">
        <v>765.8</v>
      </c>
      <c r="I484" t="s">
        <v>519</v>
      </c>
      <c r="J484" t="str">
        <f t="shared" si="14"/>
        <v>Average😒</v>
      </c>
      <c r="K484" s="6" t="str">
        <f t="shared" si="15"/>
        <v>Restock</v>
      </c>
    </row>
    <row r="485" spans="1:11" x14ac:dyDescent="0.3">
      <c r="A485">
        <v>484</v>
      </c>
      <c r="B485" s="6">
        <v>44972</v>
      </c>
      <c r="C485" t="s">
        <v>33</v>
      </c>
      <c r="D485" t="s">
        <v>51</v>
      </c>
      <c r="E485" t="s">
        <v>65</v>
      </c>
      <c r="F485">
        <v>5</v>
      </c>
      <c r="G485">
        <v>456.8</v>
      </c>
      <c r="H485">
        <v>2284</v>
      </c>
      <c r="I485" t="s">
        <v>525</v>
      </c>
      <c r="J485" t="str">
        <f t="shared" si="14"/>
        <v>Excellent👍</v>
      </c>
      <c r="K485" s="6" t="str">
        <f t="shared" si="15"/>
        <v>Remain</v>
      </c>
    </row>
    <row r="486" spans="1:11" x14ac:dyDescent="0.3">
      <c r="A486">
        <v>485</v>
      </c>
      <c r="B486" s="6">
        <v>45199</v>
      </c>
      <c r="C486" t="s">
        <v>34</v>
      </c>
      <c r="D486" t="s">
        <v>42</v>
      </c>
      <c r="E486" t="s">
        <v>66</v>
      </c>
      <c r="F486">
        <v>9</v>
      </c>
      <c r="G486">
        <v>10.6</v>
      </c>
      <c r="H486">
        <v>95.399999999999991</v>
      </c>
      <c r="I486" t="s">
        <v>520</v>
      </c>
      <c r="J486" t="str">
        <f t="shared" si="14"/>
        <v>Average😒</v>
      </c>
      <c r="K486" s="6" t="str">
        <f t="shared" si="15"/>
        <v>Remain</v>
      </c>
    </row>
    <row r="487" spans="1:11" x14ac:dyDescent="0.3">
      <c r="A487">
        <v>486</v>
      </c>
      <c r="B487" s="6">
        <v>45092</v>
      </c>
      <c r="C487" t="s">
        <v>35</v>
      </c>
      <c r="D487" t="s">
        <v>42</v>
      </c>
      <c r="E487" t="s">
        <v>41</v>
      </c>
      <c r="F487">
        <v>4</v>
      </c>
      <c r="G487">
        <v>220.85</v>
      </c>
      <c r="H487">
        <v>883.4</v>
      </c>
      <c r="I487" t="s">
        <v>525</v>
      </c>
      <c r="J487" t="str">
        <f t="shared" si="14"/>
        <v>Average😒</v>
      </c>
      <c r="K487" s="6" t="str">
        <f t="shared" si="15"/>
        <v>Restock</v>
      </c>
    </row>
    <row r="488" spans="1:11" x14ac:dyDescent="0.3">
      <c r="A488">
        <v>487</v>
      </c>
      <c r="B488" s="6">
        <v>45140</v>
      </c>
      <c r="C488" t="s">
        <v>34</v>
      </c>
      <c r="D488" t="s">
        <v>56</v>
      </c>
      <c r="E488" t="s">
        <v>61</v>
      </c>
      <c r="F488">
        <v>9</v>
      </c>
      <c r="G488">
        <v>88.8</v>
      </c>
      <c r="H488">
        <v>799.19999999999993</v>
      </c>
      <c r="I488" t="s">
        <v>524</v>
      </c>
      <c r="J488" t="str">
        <f t="shared" si="14"/>
        <v>Average😒</v>
      </c>
      <c r="K488" s="6" t="str">
        <f t="shared" si="15"/>
        <v>Remain</v>
      </c>
    </row>
    <row r="489" spans="1:11" x14ac:dyDescent="0.3">
      <c r="A489">
        <v>488</v>
      </c>
      <c r="B489" s="6">
        <v>45270</v>
      </c>
      <c r="C489" t="s">
        <v>34</v>
      </c>
      <c r="D489" t="s">
        <v>53</v>
      </c>
      <c r="E489" t="s">
        <v>58</v>
      </c>
      <c r="F489">
        <v>6</v>
      </c>
      <c r="G489">
        <v>169.7</v>
      </c>
      <c r="H489">
        <v>1018.2</v>
      </c>
      <c r="I489" t="s">
        <v>519</v>
      </c>
      <c r="J489" t="str">
        <f t="shared" si="14"/>
        <v>Average😒</v>
      </c>
      <c r="K489" s="6" t="str">
        <f t="shared" si="15"/>
        <v>Remain</v>
      </c>
    </row>
    <row r="490" spans="1:11" x14ac:dyDescent="0.3">
      <c r="A490">
        <v>489</v>
      </c>
      <c r="B490" s="6">
        <v>45131</v>
      </c>
      <c r="C490" t="s">
        <v>35</v>
      </c>
      <c r="D490" t="s">
        <v>51</v>
      </c>
      <c r="E490" t="s">
        <v>52</v>
      </c>
      <c r="F490">
        <v>8</v>
      </c>
      <c r="G490">
        <v>162.08000000000001</v>
      </c>
      <c r="H490">
        <v>1296.6400000000001</v>
      </c>
      <c r="I490" t="s">
        <v>522</v>
      </c>
      <c r="J490" t="str">
        <f t="shared" si="14"/>
        <v>Average😒</v>
      </c>
      <c r="K490" s="6" t="str">
        <f t="shared" si="15"/>
        <v>Remain</v>
      </c>
    </row>
    <row r="491" spans="1:11" x14ac:dyDescent="0.3">
      <c r="A491">
        <v>490</v>
      </c>
      <c r="B491" s="6">
        <v>45200</v>
      </c>
      <c r="C491" t="s">
        <v>33</v>
      </c>
      <c r="D491" t="s">
        <v>42</v>
      </c>
      <c r="E491" t="s">
        <v>66</v>
      </c>
      <c r="F491">
        <v>1</v>
      </c>
      <c r="G491">
        <v>15.69</v>
      </c>
      <c r="H491">
        <v>15.69</v>
      </c>
      <c r="I491" t="s">
        <v>519</v>
      </c>
      <c r="J491" t="str">
        <f t="shared" si="14"/>
        <v>Average😒</v>
      </c>
      <c r="K491" s="6" t="str">
        <f t="shared" si="15"/>
        <v>Restock</v>
      </c>
    </row>
    <row r="492" spans="1:11" x14ac:dyDescent="0.3">
      <c r="A492">
        <v>491</v>
      </c>
      <c r="B492" s="6">
        <v>45021</v>
      </c>
      <c r="C492" t="s">
        <v>34</v>
      </c>
      <c r="D492" t="s">
        <v>53</v>
      </c>
      <c r="E492" t="s">
        <v>60</v>
      </c>
      <c r="F492">
        <v>2</v>
      </c>
      <c r="G492">
        <v>245.17</v>
      </c>
      <c r="H492">
        <v>490.34</v>
      </c>
      <c r="I492" t="s">
        <v>519</v>
      </c>
      <c r="J492" t="str">
        <f t="shared" si="14"/>
        <v>Average😒</v>
      </c>
      <c r="K492" s="6" t="str">
        <f t="shared" si="15"/>
        <v>Restock</v>
      </c>
    </row>
    <row r="493" spans="1:11" x14ac:dyDescent="0.3">
      <c r="A493">
        <v>492</v>
      </c>
      <c r="B493" s="6">
        <v>45227</v>
      </c>
      <c r="C493" t="s">
        <v>36</v>
      </c>
      <c r="D493" t="s">
        <v>42</v>
      </c>
      <c r="E493" t="s">
        <v>43</v>
      </c>
      <c r="F493">
        <v>6</v>
      </c>
      <c r="G493">
        <v>152.91</v>
      </c>
      <c r="H493">
        <v>917.46</v>
      </c>
      <c r="I493" t="s">
        <v>520</v>
      </c>
      <c r="J493" t="str">
        <f t="shared" si="14"/>
        <v>Average😒</v>
      </c>
      <c r="K493" s="6" t="str">
        <f t="shared" si="15"/>
        <v>Remain</v>
      </c>
    </row>
    <row r="494" spans="1:11" x14ac:dyDescent="0.3">
      <c r="A494">
        <v>493</v>
      </c>
      <c r="B494" s="6">
        <v>45028</v>
      </c>
      <c r="C494" t="s">
        <v>35</v>
      </c>
      <c r="D494" t="s">
        <v>53</v>
      </c>
      <c r="E494" t="s">
        <v>60</v>
      </c>
      <c r="F494">
        <v>9</v>
      </c>
      <c r="G494">
        <v>431.46</v>
      </c>
      <c r="H494">
        <v>3883.14</v>
      </c>
      <c r="I494" t="s">
        <v>524</v>
      </c>
      <c r="J494" t="str">
        <f t="shared" si="14"/>
        <v>Excellent👍</v>
      </c>
      <c r="K494" s="6" t="str">
        <f t="shared" si="15"/>
        <v>Remain</v>
      </c>
    </row>
    <row r="495" spans="1:11" x14ac:dyDescent="0.3">
      <c r="A495">
        <v>494</v>
      </c>
      <c r="B495" s="6">
        <v>45140</v>
      </c>
      <c r="C495" t="s">
        <v>35</v>
      </c>
      <c r="D495" t="s">
        <v>56</v>
      </c>
      <c r="E495" t="s">
        <v>62</v>
      </c>
      <c r="F495">
        <v>9</v>
      </c>
      <c r="G495">
        <v>29.41</v>
      </c>
      <c r="H495">
        <v>264.69</v>
      </c>
      <c r="I495" t="s">
        <v>519</v>
      </c>
      <c r="J495" t="str">
        <f t="shared" si="14"/>
        <v>Average😒</v>
      </c>
      <c r="K495" s="6" t="str">
        <f t="shared" si="15"/>
        <v>Remain</v>
      </c>
    </row>
    <row r="496" spans="1:11" x14ac:dyDescent="0.3">
      <c r="A496">
        <v>495</v>
      </c>
      <c r="B496" s="6">
        <v>45002</v>
      </c>
      <c r="C496" t="s">
        <v>34</v>
      </c>
      <c r="D496" t="s">
        <v>51</v>
      </c>
      <c r="E496" t="s">
        <v>55</v>
      </c>
      <c r="F496">
        <v>3</v>
      </c>
      <c r="G496">
        <v>61.42</v>
      </c>
      <c r="H496">
        <v>184.26</v>
      </c>
      <c r="I496" t="s">
        <v>523</v>
      </c>
      <c r="J496" t="str">
        <f t="shared" si="14"/>
        <v>Average😒</v>
      </c>
      <c r="K496" s="6" t="str">
        <f t="shared" si="15"/>
        <v>Restock</v>
      </c>
    </row>
    <row r="497" spans="1:11" x14ac:dyDescent="0.3">
      <c r="A497">
        <v>496</v>
      </c>
      <c r="B497" s="6">
        <v>45006</v>
      </c>
      <c r="C497" t="s">
        <v>35</v>
      </c>
      <c r="D497" t="s">
        <v>42</v>
      </c>
      <c r="E497" t="s">
        <v>41</v>
      </c>
      <c r="F497">
        <v>9</v>
      </c>
      <c r="G497">
        <v>289.74</v>
      </c>
      <c r="H497">
        <v>2607.66</v>
      </c>
      <c r="I497" t="s">
        <v>523</v>
      </c>
      <c r="J497" t="str">
        <f t="shared" si="14"/>
        <v>Excellent👍</v>
      </c>
      <c r="K497" s="6" t="str">
        <f t="shared" si="15"/>
        <v>Remain</v>
      </c>
    </row>
    <row r="498" spans="1:11" x14ac:dyDescent="0.3">
      <c r="A498">
        <v>497</v>
      </c>
      <c r="B498" s="6">
        <v>45074</v>
      </c>
      <c r="C498" t="s">
        <v>36</v>
      </c>
      <c r="D498" t="s">
        <v>56</v>
      </c>
      <c r="E498" t="s">
        <v>57</v>
      </c>
      <c r="F498">
        <v>6</v>
      </c>
      <c r="G498">
        <v>312.89999999999998</v>
      </c>
      <c r="H498">
        <v>1877.4</v>
      </c>
      <c r="I498" t="s">
        <v>519</v>
      </c>
      <c r="J498" t="str">
        <f t="shared" si="14"/>
        <v>Average😒</v>
      </c>
      <c r="K498" s="6" t="str">
        <f t="shared" si="15"/>
        <v>Remain</v>
      </c>
    </row>
    <row r="499" spans="1:11" x14ac:dyDescent="0.3">
      <c r="A499">
        <v>498</v>
      </c>
      <c r="B499" s="6">
        <v>45168</v>
      </c>
      <c r="C499" t="s">
        <v>36</v>
      </c>
      <c r="D499" t="s">
        <v>42</v>
      </c>
      <c r="E499" t="s">
        <v>41</v>
      </c>
      <c r="F499">
        <v>1</v>
      </c>
      <c r="G499">
        <v>284.23</v>
      </c>
      <c r="H499">
        <v>284.23</v>
      </c>
      <c r="I499" t="s">
        <v>521</v>
      </c>
      <c r="J499" t="str">
        <f t="shared" si="14"/>
        <v>Average😒</v>
      </c>
      <c r="K499" s="6" t="str">
        <f t="shared" si="15"/>
        <v>Restock</v>
      </c>
    </row>
    <row r="500" spans="1:11" x14ac:dyDescent="0.3">
      <c r="A500">
        <v>499</v>
      </c>
      <c r="B500" s="6">
        <v>45215</v>
      </c>
      <c r="C500" t="s">
        <v>34</v>
      </c>
      <c r="D500" t="s">
        <v>56</v>
      </c>
      <c r="E500" t="s">
        <v>62</v>
      </c>
      <c r="F500">
        <v>1</v>
      </c>
      <c r="G500">
        <v>263.68</v>
      </c>
      <c r="H500">
        <v>263.68</v>
      </c>
      <c r="I500" t="s">
        <v>522</v>
      </c>
      <c r="J500" t="str">
        <f t="shared" si="14"/>
        <v>Average😒</v>
      </c>
      <c r="K500" s="6" t="str">
        <f t="shared" si="15"/>
        <v>Restock</v>
      </c>
    </row>
    <row r="501" spans="1:11" x14ac:dyDescent="0.3">
      <c r="A501">
        <v>500</v>
      </c>
      <c r="B501" s="6">
        <v>45003</v>
      </c>
      <c r="C501" t="s">
        <v>34</v>
      </c>
      <c r="D501" t="s">
        <v>53</v>
      </c>
      <c r="E501" t="s">
        <v>60</v>
      </c>
      <c r="F501">
        <v>9</v>
      </c>
      <c r="G501">
        <v>181.81</v>
      </c>
      <c r="H501">
        <v>1636.29</v>
      </c>
      <c r="I501" t="s">
        <v>521</v>
      </c>
      <c r="J501" t="str">
        <f t="shared" si="14"/>
        <v>Average😒</v>
      </c>
      <c r="K501" s="6" t="str">
        <f t="shared" si="15"/>
        <v>Remain</v>
      </c>
    </row>
  </sheetData>
  <conditionalFormatting sqref="A2:K501">
    <cfRule type="expression" dxfId="0" priority="1">
      <formula>$K2="Restock"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EB53C-13E0-462A-8B13-00F662F9F151}">
  <dimension ref="A1:H24"/>
  <sheetViews>
    <sheetView zoomScale="160" zoomScaleNormal="160" workbookViewId="0">
      <selection activeCell="D3" sqref="D3"/>
    </sheetView>
  </sheetViews>
  <sheetFormatPr defaultRowHeight="14.4" x14ac:dyDescent="0.3"/>
  <cols>
    <col min="4" max="4" width="15" customWidth="1"/>
  </cols>
  <sheetData>
    <row r="1" spans="1:8" x14ac:dyDescent="0.3">
      <c r="H1" s="4">
        <v>0.1</v>
      </c>
    </row>
    <row r="2" spans="1:8" x14ac:dyDescent="0.3">
      <c r="A2" t="s">
        <v>528</v>
      </c>
      <c r="B2" t="s">
        <v>526</v>
      </c>
      <c r="C2" t="s">
        <v>527</v>
      </c>
      <c r="D2" t="s">
        <v>49</v>
      </c>
      <c r="E2" t="s">
        <v>532</v>
      </c>
    </row>
    <row r="3" spans="1:8" x14ac:dyDescent="0.3">
      <c r="A3" t="s">
        <v>529</v>
      </c>
      <c r="B3">
        <v>10</v>
      </c>
      <c r="C3">
        <v>55</v>
      </c>
      <c r="D3">
        <f>C3*Price_A</f>
        <v>13750000</v>
      </c>
    </row>
    <row r="4" spans="1:8" x14ac:dyDescent="0.3">
      <c r="A4" t="s">
        <v>530</v>
      </c>
      <c r="B4">
        <v>15</v>
      </c>
      <c r="C4">
        <v>70</v>
      </c>
    </row>
    <row r="5" spans="1:8" x14ac:dyDescent="0.3">
      <c r="A5" t="s">
        <v>531</v>
      </c>
      <c r="B5">
        <v>20</v>
      </c>
      <c r="C5">
        <v>60</v>
      </c>
    </row>
    <row r="8" spans="1:8" x14ac:dyDescent="0.3">
      <c r="E8" s="5" t="s">
        <v>528</v>
      </c>
      <c r="F8" s="5" t="s">
        <v>526</v>
      </c>
    </row>
    <row r="9" spans="1:8" x14ac:dyDescent="0.3">
      <c r="E9" s="5" t="s">
        <v>529</v>
      </c>
      <c r="F9" s="5">
        <v>10</v>
      </c>
    </row>
    <row r="10" spans="1:8" x14ac:dyDescent="0.3">
      <c r="E10" s="5" t="s">
        <v>530</v>
      </c>
      <c r="F10" s="5">
        <v>15</v>
      </c>
    </row>
    <row r="11" spans="1:8" x14ac:dyDescent="0.3">
      <c r="E11" s="5" t="s">
        <v>531</v>
      </c>
      <c r="F11" s="5">
        <v>20</v>
      </c>
    </row>
    <row r="13" spans="1:8" x14ac:dyDescent="0.3">
      <c r="B13" t="s">
        <v>527</v>
      </c>
    </row>
    <row r="14" spans="1:8" x14ac:dyDescent="0.3">
      <c r="B14" s="5" t="s">
        <v>528</v>
      </c>
      <c r="C14" s="5" t="s">
        <v>533</v>
      </c>
      <c r="D14" s="5" t="s">
        <v>534</v>
      </c>
      <c r="E14" s="5" t="s">
        <v>535</v>
      </c>
    </row>
    <row r="15" spans="1:8" x14ac:dyDescent="0.3">
      <c r="B15" s="5" t="s">
        <v>529</v>
      </c>
      <c r="C15" s="5">
        <v>10</v>
      </c>
      <c r="D15" s="5">
        <v>15</v>
      </c>
      <c r="E15" s="5">
        <v>20</v>
      </c>
    </row>
    <row r="16" spans="1:8" x14ac:dyDescent="0.3">
      <c r="B16" s="5" t="s">
        <v>530</v>
      </c>
      <c r="C16" s="5">
        <v>55</v>
      </c>
      <c r="D16" s="5">
        <v>70</v>
      </c>
      <c r="E16" s="5">
        <v>60</v>
      </c>
    </row>
    <row r="17" spans="2:5" x14ac:dyDescent="0.3">
      <c r="B17" s="5" t="s">
        <v>531</v>
      </c>
      <c r="C17" s="5">
        <v>550</v>
      </c>
      <c r="D17" s="5">
        <v>1050</v>
      </c>
      <c r="E17" s="5">
        <v>1200</v>
      </c>
    </row>
    <row r="20" spans="2:5" x14ac:dyDescent="0.3">
      <c r="B20" t="s">
        <v>536</v>
      </c>
    </row>
    <row r="21" spans="2:5" x14ac:dyDescent="0.3">
      <c r="B21" s="5" t="s">
        <v>528</v>
      </c>
      <c r="C21" s="5" t="s">
        <v>533</v>
      </c>
      <c r="D21" s="5" t="s">
        <v>534</v>
      </c>
      <c r="E21" s="5" t="s">
        <v>535</v>
      </c>
    </row>
    <row r="22" spans="2:5" x14ac:dyDescent="0.3">
      <c r="B22" s="5" t="s">
        <v>529</v>
      </c>
      <c r="C22" s="5">
        <f>C15*$F9</f>
        <v>100</v>
      </c>
      <c r="D22" s="5">
        <f t="shared" ref="D22:E22" si="0">D15*$F9</f>
        <v>150</v>
      </c>
      <c r="E22" s="5">
        <f t="shared" si="0"/>
        <v>200</v>
      </c>
    </row>
    <row r="23" spans="2:5" x14ac:dyDescent="0.3">
      <c r="B23" s="5" t="s">
        <v>530</v>
      </c>
      <c r="C23" s="5">
        <f t="shared" ref="C23:E24" si="1">C16*$F10</f>
        <v>825</v>
      </c>
      <c r="D23" s="5">
        <f t="shared" si="1"/>
        <v>1050</v>
      </c>
      <c r="E23" s="5">
        <f t="shared" si="1"/>
        <v>900</v>
      </c>
    </row>
    <row r="24" spans="2:5" x14ac:dyDescent="0.3">
      <c r="B24" s="5" t="s">
        <v>531</v>
      </c>
      <c r="C24" s="5">
        <f t="shared" si="1"/>
        <v>11000</v>
      </c>
      <c r="D24" s="5">
        <f t="shared" si="1"/>
        <v>21000</v>
      </c>
      <c r="E24" s="5">
        <f t="shared" si="1"/>
        <v>24000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B667-F107-4E84-B1D1-373ADB5E4BC2}">
  <dimension ref="A1:B3"/>
  <sheetViews>
    <sheetView zoomScale="295" zoomScaleNormal="295" workbookViewId="0">
      <selection activeCell="B1" sqref="B1"/>
    </sheetView>
  </sheetViews>
  <sheetFormatPr defaultRowHeight="14.4" x14ac:dyDescent="0.3"/>
  <sheetData>
    <row r="1" spans="1:2" x14ac:dyDescent="0.3">
      <c r="A1" t="s">
        <v>537</v>
      </c>
      <c r="B1">
        <v>250000</v>
      </c>
    </row>
    <row r="2" spans="1:2" x14ac:dyDescent="0.3">
      <c r="A2" t="s">
        <v>538</v>
      </c>
      <c r="B2">
        <v>45000</v>
      </c>
    </row>
    <row r="3" spans="1:2" x14ac:dyDescent="0.3">
      <c r="A3" t="s">
        <v>539</v>
      </c>
      <c r="B3">
        <v>125000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1"/>
  <sheetViews>
    <sheetView topLeftCell="E1" zoomScaleNormal="100" workbookViewId="0">
      <selection activeCell="Q1" sqref="Q1:Q1048576"/>
    </sheetView>
  </sheetViews>
  <sheetFormatPr defaultRowHeight="14.4" x14ac:dyDescent="0.3"/>
  <cols>
    <col min="1" max="1" width="6.5546875" bestFit="1" customWidth="1"/>
    <col min="2" max="2" width="13" bestFit="1" customWidth="1"/>
    <col min="3" max="3" width="11.109375" bestFit="1" customWidth="1"/>
    <col min="4" max="4" width="8.77734375" bestFit="1" customWidth="1"/>
    <col min="5" max="5" width="18.33203125" style="6" customWidth="1"/>
    <col min="6" max="6" width="15.44140625" style="10" customWidth="1"/>
    <col min="7" max="7" width="15.77734375" customWidth="1"/>
    <col min="8" max="8" width="14" customWidth="1"/>
    <col min="9" max="9" width="25.6640625" style="12" customWidth="1"/>
    <col min="10" max="10" width="14.33203125" customWidth="1"/>
    <col min="11" max="11" width="13.88671875" customWidth="1"/>
    <col min="12" max="12" width="24.21875" bestFit="1" customWidth="1"/>
    <col min="13" max="13" width="15.109375" customWidth="1"/>
    <col min="15" max="15" width="10.77734375" bestFit="1" customWidth="1"/>
    <col min="16" max="16" width="12.21875" bestFit="1" customWidth="1"/>
    <col min="17" max="17" width="12.21875" customWidth="1"/>
  </cols>
  <sheetData>
    <row r="1" spans="1:17" x14ac:dyDescent="0.3">
      <c r="A1" s="1" t="s">
        <v>67</v>
      </c>
      <c r="B1" s="1" t="s">
        <v>68</v>
      </c>
      <c r="C1" s="1" t="s">
        <v>69</v>
      </c>
      <c r="D1" s="1" t="s">
        <v>70</v>
      </c>
      <c r="E1" s="8" t="s">
        <v>71</v>
      </c>
      <c r="F1" s="9" t="s">
        <v>72</v>
      </c>
      <c r="G1" s="1" t="s">
        <v>44</v>
      </c>
      <c r="H1" s="3" t="s">
        <v>542</v>
      </c>
      <c r="I1" s="11" t="s">
        <v>543</v>
      </c>
      <c r="J1" s="7" t="s">
        <v>544</v>
      </c>
      <c r="K1" s="7" t="s">
        <v>545</v>
      </c>
      <c r="L1" s="7" t="s">
        <v>546</v>
      </c>
      <c r="M1" s="7" t="s">
        <v>547</v>
      </c>
      <c r="N1" s="7" t="s">
        <v>548</v>
      </c>
      <c r="O1" s="7" t="s">
        <v>549</v>
      </c>
      <c r="P1" s="7" t="s">
        <v>550</v>
      </c>
      <c r="Q1" s="7" t="s">
        <v>551</v>
      </c>
    </row>
    <row r="2" spans="1:17" x14ac:dyDescent="0.3">
      <c r="A2">
        <v>1</v>
      </c>
      <c r="B2" t="s">
        <v>73</v>
      </c>
      <c r="C2" t="s">
        <v>74</v>
      </c>
      <c r="D2" t="s">
        <v>75</v>
      </c>
      <c r="E2" s="6">
        <v>44168</v>
      </c>
      <c r="F2" s="10">
        <v>10333</v>
      </c>
      <c r="G2" t="s">
        <v>76</v>
      </c>
      <c r="H2">
        <f ca="1">DATEDIF(E2,TODAY(),"Y")</f>
        <v>4</v>
      </c>
      <c r="I2" s="12" t="str">
        <f ca="1">DATEDIF(E2,TODAY(),"Y")&amp;" year "&amp;DATEDIF(E2,TODAY(),"YM")&amp;" month "&amp;DATEDIF(E2,TODAY(),"MD")&amp;" day"</f>
        <v>4 year 10 month 3 day</v>
      </c>
      <c r="J2" s="6">
        <f>EDATE(E2,36)</f>
        <v>45263</v>
      </c>
      <c r="K2" s="6">
        <f>E2+60</f>
        <v>44228</v>
      </c>
      <c r="L2" s="6">
        <f>WORKDAY(E2,60)</f>
        <v>44252</v>
      </c>
      <c r="M2">
        <f ca="1">NETWORKDAYS(DATE(2025,1,1),TODAY())-N2</f>
        <v>194</v>
      </c>
      <c r="N2">
        <v>5</v>
      </c>
      <c r="O2" t="str">
        <f>TEXT(L2,"DDDD")</f>
        <v>Thursday</v>
      </c>
      <c r="P2" t="str">
        <f>TEXT(L2,"MMMM")</f>
        <v>February</v>
      </c>
      <c r="Q2" t="str">
        <f>IF(WEEKDAY(E2,2)&gt;5,"Weekend","Weekday")</f>
        <v>Weekday</v>
      </c>
    </row>
    <row r="3" spans="1:17" x14ac:dyDescent="0.3">
      <c r="A3">
        <v>2</v>
      </c>
      <c r="B3" t="s">
        <v>77</v>
      </c>
      <c r="C3" t="s">
        <v>78</v>
      </c>
      <c r="D3" t="s">
        <v>75</v>
      </c>
      <c r="E3" s="6">
        <v>44246</v>
      </c>
      <c r="F3" s="10">
        <v>9514</v>
      </c>
      <c r="G3" t="s">
        <v>79</v>
      </c>
      <c r="H3">
        <f t="shared" ref="H3:H66" ca="1" si="0">DATEDIF(E3,TODAY(),"Y")</f>
        <v>4</v>
      </c>
      <c r="I3" s="12" t="str">
        <f t="shared" ref="I3:I66" ca="1" si="1">DATEDIF(E3,TODAY(),"Y")&amp;" year "&amp;DATEDIF(E3,TODAY(),"YM")&amp;" month "&amp;DATEDIF(E3,TODAY(),"MD")&amp;" day"</f>
        <v>4 year 7 month 17 day</v>
      </c>
      <c r="J3" s="6">
        <f t="shared" ref="J3:J66" si="2">EDATE(E3,36)</f>
        <v>45341</v>
      </c>
      <c r="K3" s="6">
        <f t="shared" ref="K3:K66" si="3">E3+60</f>
        <v>44306</v>
      </c>
      <c r="L3" s="6">
        <f t="shared" ref="L3:L66" si="4">WORKDAY(E3,60)</f>
        <v>44330</v>
      </c>
      <c r="M3">
        <f t="shared" ref="M3:M66" ca="1" si="5">NETWORKDAYS(DATE(2025,1,1),TODAY())-N3</f>
        <v>198</v>
      </c>
      <c r="N3">
        <v>1</v>
      </c>
      <c r="O3" t="str">
        <f t="shared" ref="O3:O66" si="6">TEXT(L3,"DDDD")</f>
        <v>Friday</v>
      </c>
      <c r="P3" t="str">
        <f t="shared" ref="P3:P66" si="7">TEXT(L3,"MMMM")</f>
        <v>May</v>
      </c>
      <c r="Q3" t="str">
        <f t="shared" ref="Q3:Q66" si="8">IF(WEEKDAY(E3,2)&gt;5,"Weekend","Weekday")</f>
        <v>Weekday</v>
      </c>
    </row>
    <row r="4" spans="1:17" x14ac:dyDescent="0.3">
      <c r="A4">
        <v>3</v>
      </c>
      <c r="B4" t="s">
        <v>80</v>
      </c>
      <c r="C4" t="s">
        <v>78</v>
      </c>
      <c r="D4" t="s">
        <v>81</v>
      </c>
      <c r="E4" s="6">
        <v>43714</v>
      </c>
      <c r="F4" s="10">
        <v>5541</v>
      </c>
      <c r="G4" t="s">
        <v>82</v>
      </c>
      <c r="H4">
        <f t="shared" ca="1" si="0"/>
        <v>6</v>
      </c>
      <c r="I4" s="12" t="str">
        <f t="shared" ca="1" si="1"/>
        <v>6 year 1 month 0 day</v>
      </c>
      <c r="J4" s="6">
        <f t="shared" si="2"/>
        <v>44810</v>
      </c>
      <c r="K4" s="6">
        <f t="shared" si="3"/>
        <v>43774</v>
      </c>
      <c r="L4" s="6">
        <f t="shared" si="4"/>
        <v>43798</v>
      </c>
      <c r="M4">
        <f t="shared" ca="1" si="5"/>
        <v>198</v>
      </c>
      <c r="N4">
        <v>1</v>
      </c>
      <c r="O4" t="str">
        <f t="shared" si="6"/>
        <v>Friday</v>
      </c>
      <c r="P4" t="str">
        <f t="shared" si="7"/>
        <v>November</v>
      </c>
      <c r="Q4" t="str">
        <f t="shared" si="8"/>
        <v>Weekday</v>
      </c>
    </row>
    <row r="5" spans="1:17" x14ac:dyDescent="0.3">
      <c r="A5">
        <v>4</v>
      </c>
      <c r="B5" t="s">
        <v>83</v>
      </c>
      <c r="C5" t="s">
        <v>74</v>
      </c>
      <c r="D5" t="s">
        <v>84</v>
      </c>
      <c r="E5" s="6">
        <v>42891</v>
      </c>
      <c r="F5" s="10">
        <v>11119</v>
      </c>
      <c r="G5" t="s">
        <v>85</v>
      </c>
      <c r="H5">
        <f t="shared" ca="1" si="0"/>
        <v>8</v>
      </c>
      <c r="I5" s="12" t="str">
        <f t="shared" ca="1" si="1"/>
        <v>8 year 4 month 1 day</v>
      </c>
      <c r="J5" s="6">
        <f t="shared" si="2"/>
        <v>43987</v>
      </c>
      <c r="K5" s="6">
        <f t="shared" si="3"/>
        <v>42951</v>
      </c>
      <c r="L5" s="6">
        <f t="shared" si="4"/>
        <v>42975</v>
      </c>
      <c r="M5">
        <f t="shared" ca="1" si="5"/>
        <v>198</v>
      </c>
      <c r="N5">
        <v>1</v>
      </c>
      <c r="O5" t="str">
        <f t="shared" si="6"/>
        <v>Monday</v>
      </c>
      <c r="P5" t="str">
        <f t="shared" si="7"/>
        <v>August</v>
      </c>
      <c r="Q5" t="str">
        <f t="shared" si="8"/>
        <v>Weekday</v>
      </c>
    </row>
    <row r="6" spans="1:17" x14ac:dyDescent="0.3">
      <c r="A6">
        <v>5</v>
      </c>
      <c r="B6" t="s">
        <v>86</v>
      </c>
      <c r="C6" t="s">
        <v>87</v>
      </c>
      <c r="D6" t="s">
        <v>81</v>
      </c>
      <c r="E6" s="6">
        <v>43900</v>
      </c>
      <c r="F6" s="10">
        <v>8590</v>
      </c>
      <c r="G6" t="s">
        <v>88</v>
      </c>
      <c r="H6">
        <f t="shared" ca="1" si="0"/>
        <v>5</v>
      </c>
      <c r="I6" s="12" t="str">
        <f t="shared" ca="1" si="1"/>
        <v>5 year 6 month 26 day</v>
      </c>
      <c r="J6" s="6">
        <f t="shared" si="2"/>
        <v>44995</v>
      </c>
      <c r="K6" s="6">
        <f t="shared" si="3"/>
        <v>43960</v>
      </c>
      <c r="L6" s="6">
        <f t="shared" si="4"/>
        <v>43984</v>
      </c>
      <c r="M6">
        <f t="shared" ca="1" si="5"/>
        <v>198</v>
      </c>
      <c r="N6">
        <v>1</v>
      </c>
      <c r="O6" t="str">
        <f t="shared" si="6"/>
        <v>Tuesday</v>
      </c>
      <c r="P6" t="str">
        <f t="shared" si="7"/>
        <v>June</v>
      </c>
      <c r="Q6" t="str">
        <f t="shared" si="8"/>
        <v>Weekday</v>
      </c>
    </row>
    <row r="7" spans="1:17" x14ac:dyDescent="0.3">
      <c r="A7">
        <v>6</v>
      </c>
      <c r="B7" t="s">
        <v>89</v>
      </c>
      <c r="C7" t="s">
        <v>90</v>
      </c>
      <c r="D7" t="s">
        <v>91</v>
      </c>
      <c r="E7" s="6">
        <v>43991</v>
      </c>
      <c r="F7" s="10">
        <v>3134</v>
      </c>
      <c r="G7" t="s">
        <v>92</v>
      </c>
      <c r="H7">
        <f t="shared" ca="1" si="0"/>
        <v>5</v>
      </c>
      <c r="I7" s="12" t="str">
        <f t="shared" ca="1" si="1"/>
        <v>5 year 3 month 27 day</v>
      </c>
      <c r="J7" s="6">
        <f t="shared" si="2"/>
        <v>45086</v>
      </c>
      <c r="K7" s="6">
        <f t="shared" si="3"/>
        <v>44051</v>
      </c>
      <c r="L7" s="6">
        <f t="shared" si="4"/>
        <v>44075</v>
      </c>
      <c r="M7">
        <f t="shared" ca="1" si="5"/>
        <v>198</v>
      </c>
      <c r="N7">
        <v>1</v>
      </c>
      <c r="O7" t="str">
        <f t="shared" si="6"/>
        <v>Tuesday</v>
      </c>
      <c r="P7" t="str">
        <f t="shared" si="7"/>
        <v>September</v>
      </c>
      <c r="Q7" t="str">
        <f t="shared" si="8"/>
        <v>Weekday</v>
      </c>
    </row>
    <row r="8" spans="1:17" x14ac:dyDescent="0.3">
      <c r="A8">
        <v>7</v>
      </c>
      <c r="B8" t="s">
        <v>93</v>
      </c>
      <c r="C8" t="s">
        <v>87</v>
      </c>
      <c r="D8" t="s">
        <v>81</v>
      </c>
      <c r="E8" s="6">
        <v>44061</v>
      </c>
      <c r="F8" s="10">
        <v>9417</v>
      </c>
      <c r="G8" t="s">
        <v>94</v>
      </c>
      <c r="H8">
        <f t="shared" ca="1" si="0"/>
        <v>5</v>
      </c>
      <c r="I8" s="12" t="str">
        <f t="shared" ca="1" si="1"/>
        <v>5 year 1 month 18 day</v>
      </c>
      <c r="J8" s="6">
        <f t="shared" si="2"/>
        <v>45156</v>
      </c>
      <c r="K8" s="6">
        <f t="shared" si="3"/>
        <v>44121</v>
      </c>
      <c r="L8" s="6">
        <f t="shared" si="4"/>
        <v>44145</v>
      </c>
      <c r="M8">
        <f t="shared" ca="1" si="5"/>
        <v>194</v>
      </c>
      <c r="N8">
        <v>5</v>
      </c>
      <c r="O8" t="str">
        <f t="shared" si="6"/>
        <v>Tuesday</v>
      </c>
      <c r="P8" t="str">
        <f t="shared" si="7"/>
        <v>November</v>
      </c>
      <c r="Q8" t="str">
        <f t="shared" si="8"/>
        <v>Weekday</v>
      </c>
    </row>
    <row r="9" spans="1:17" x14ac:dyDescent="0.3">
      <c r="A9">
        <v>8</v>
      </c>
      <c r="B9" t="s">
        <v>95</v>
      </c>
      <c r="C9" t="s">
        <v>78</v>
      </c>
      <c r="D9" t="s">
        <v>81</v>
      </c>
      <c r="E9" s="6">
        <v>44275</v>
      </c>
      <c r="F9" s="10">
        <v>3052</v>
      </c>
      <c r="G9" t="s">
        <v>96</v>
      </c>
      <c r="H9">
        <f t="shared" ca="1" si="0"/>
        <v>4</v>
      </c>
      <c r="I9" s="12" t="str">
        <f t="shared" ca="1" si="1"/>
        <v>4 year 6 month 16 day</v>
      </c>
      <c r="J9" s="6">
        <f t="shared" si="2"/>
        <v>45371</v>
      </c>
      <c r="K9" s="6">
        <f t="shared" si="3"/>
        <v>44335</v>
      </c>
      <c r="L9" s="6">
        <f t="shared" si="4"/>
        <v>44358</v>
      </c>
      <c r="M9">
        <f t="shared" ca="1" si="5"/>
        <v>198</v>
      </c>
      <c r="N9">
        <v>1</v>
      </c>
      <c r="O9" t="str">
        <f t="shared" si="6"/>
        <v>Friday</v>
      </c>
      <c r="P9" t="str">
        <f t="shared" si="7"/>
        <v>June</v>
      </c>
      <c r="Q9" t="str">
        <f t="shared" si="8"/>
        <v>Weekend</v>
      </c>
    </row>
    <row r="10" spans="1:17" x14ac:dyDescent="0.3">
      <c r="A10">
        <v>9</v>
      </c>
      <c r="B10" t="s">
        <v>97</v>
      </c>
      <c r="C10" t="s">
        <v>87</v>
      </c>
      <c r="D10" t="s">
        <v>98</v>
      </c>
      <c r="E10" s="6">
        <v>42720</v>
      </c>
      <c r="F10" s="10">
        <v>7883</v>
      </c>
      <c r="G10" t="s">
        <v>99</v>
      </c>
      <c r="H10">
        <f t="shared" ca="1" si="0"/>
        <v>8</v>
      </c>
      <c r="I10" s="12" t="str">
        <f t="shared" ca="1" si="1"/>
        <v>8 year 9 month 20 day</v>
      </c>
      <c r="J10" s="6">
        <f t="shared" si="2"/>
        <v>43815</v>
      </c>
      <c r="K10" s="6">
        <f t="shared" si="3"/>
        <v>42780</v>
      </c>
      <c r="L10" s="6">
        <f t="shared" si="4"/>
        <v>42804</v>
      </c>
      <c r="M10">
        <f t="shared" ca="1" si="5"/>
        <v>194</v>
      </c>
      <c r="N10">
        <v>5</v>
      </c>
      <c r="O10" t="str">
        <f t="shared" si="6"/>
        <v>Friday</v>
      </c>
      <c r="P10" t="str">
        <f t="shared" si="7"/>
        <v>March</v>
      </c>
      <c r="Q10" t="str">
        <f t="shared" si="8"/>
        <v>Weekday</v>
      </c>
    </row>
    <row r="11" spans="1:17" x14ac:dyDescent="0.3">
      <c r="A11">
        <v>10</v>
      </c>
      <c r="B11" t="s">
        <v>100</v>
      </c>
      <c r="C11" t="s">
        <v>87</v>
      </c>
      <c r="D11" t="s">
        <v>98</v>
      </c>
      <c r="E11" s="6">
        <v>43718</v>
      </c>
      <c r="F11" s="10">
        <v>5889</v>
      </c>
      <c r="G11" t="s">
        <v>101</v>
      </c>
      <c r="H11">
        <f t="shared" ca="1" si="0"/>
        <v>6</v>
      </c>
      <c r="I11" s="12" t="str">
        <f t="shared" ca="1" si="1"/>
        <v>6 year 0 month 26 day</v>
      </c>
      <c r="J11" s="6">
        <f t="shared" si="2"/>
        <v>44814</v>
      </c>
      <c r="K11" s="6">
        <f t="shared" si="3"/>
        <v>43778</v>
      </c>
      <c r="L11" s="6">
        <f t="shared" si="4"/>
        <v>43802</v>
      </c>
      <c r="M11">
        <f t="shared" ca="1" si="5"/>
        <v>193</v>
      </c>
      <c r="N11">
        <v>6</v>
      </c>
      <c r="O11" t="str">
        <f t="shared" si="6"/>
        <v>Tuesday</v>
      </c>
      <c r="P11" t="str">
        <f t="shared" si="7"/>
        <v>December</v>
      </c>
      <c r="Q11" t="str">
        <f t="shared" si="8"/>
        <v>Weekday</v>
      </c>
    </row>
    <row r="12" spans="1:17" x14ac:dyDescent="0.3">
      <c r="A12">
        <v>11</v>
      </c>
      <c r="B12" t="s">
        <v>80</v>
      </c>
      <c r="C12" t="s">
        <v>102</v>
      </c>
      <c r="D12" t="s">
        <v>98</v>
      </c>
      <c r="E12" s="6">
        <v>43346</v>
      </c>
      <c r="F12" s="10">
        <v>10942</v>
      </c>
      <c r="G12" t="s">
        <v>103</v>
      </c>
      <c r="H12">
        <f t="shared" ca="1" si="0"/>
        <v>7</v>
      </c>
      <c r="I12" s="12" t="str">
        <f t="shared" ca="1" si="1"/>
        <v>7 year 1 month 3 day</v>
      </c>
      <c r="J12" s="6">
        <f t="shared" si="2"/>
        <v>44442</v>
      </c>
      <c r="K12" s="6">
        <f t="shared" si="3"/>
        <v>43406</v>
      </c>
      <c r="L12" s="6">
        <f t="shared" si="4"/>
        <v>43430</v>
      </c>
      <c r="M12">
        <f t="shared" ca="1" si="5"/>
        <v>193</v>
      </c>
      <c r="N12">
        <v>6</v>
      </c>
      <c r="O12" t="str">
        <f t="shared" si="6"/>
        <v>Monday</v>
      </c>
      <c r="P12" t="str">
        <f t="shared" si="7"/>
        <v>November</v>
      </c>
      <c r="Q12" t="str">
        <f t="shared" si="8"/>
        <v>Weekday</v>
      </c>
    </row>
    <row r="13" spans="1:17" x14ac:dyDescent="0.3">
      <c r="A13">
        <v>12</v>
      </c>
      <c r="B13" t="s">
        <v>97</v>
      </c>
      <c r="C13" t="s">
        <v>74</v>
      </c>
      <c r="D13" t="s">
        <v>81</v>
      </c>
      <c r="E13" s="6">
        <v>42463</v>
      </c>
      <c r="F13" s="10">
        <v>2707</v>
      </c>
      <c r="G13" t="s">
        <v>104</v>
      </c>
      <c r="H13">
        <f t="shared" ca="1" si="0"/>
        <v>9</v>
      </c>
      <c r="I13" s="12" t="str">
        <f t="shared" ca="1" si="1"/>
        <v>9 year 6 month 3 day</v>
      </c>
      <c r="J13" s="6">
        <f t="shared" si="2"/>
        <v>43558</v>
      </c>
      <c r="K13" s="6">
        <f t="shared" si="3"/>
        <v>42523</v>
      </c>
      <c r="L13" s="6">
        <f t="shared" si="4"/>
        <v>42545</v>
      </c>
      <c r="M13">
        <f t="shared" ca="1" si="5"/>
        <v>195</v>
      </c>
      <c r="N13">
        <v>4</v>
      </c>
      <c r="O13" t="str">
        <f t="shared" si="6"/>
        <v>Friday</v>
      </c>
      <c r="P13" t="str">
        <f t="shared" si="7"/>
        <v>June</v>
      </c>
      <c r="Q13" t="str">
        <f t="shared" si="8"/>
        <v>Weekend</v>
      </c>
    </row>
    <row r="14" spans="1:17" x14ac:dyDescent="0.3">
      <c r="A14">
        <v>13</v>
      </c>
      <c r="B14" t="s">
        <v>105</v>
      </c>
      <c r="C14" t="s">
        <v>90</v>
      </c>
      <c r="D14" t="s">
        <v>75</v>
      </c>
      <c r="E14" s="6">
        <v>42026</v>
      </c>
      <c r="F14" s="10">
        <v>11101</v>
      </c>
      <c r="G14" t="s">
        <v>106</v>
      </c>
      <c r="H14">
        <f t="shared" ca="1" si="0"/>
        <v>10</v>
      </c>
      <c r="I14" s="12" t="str">
        <f t="shared" ca="1" si="1"/>
        <v>10 year 8 month 14 day</v>
      </c>
      <c r="J14" s="6">
        <f t="shared" si="2"/>
        <v>43122</v>
      </c>
      <c r="K14" s="6">
        <f t="shared" si="3"/>
        <v>42086</v>
      </c>
      <c r="L14" s="6">
        <f t="shared" si="4"/>
        <v>42110</v>
      </c>
      <c r="M14">
        <f t="shared" ca="1" si="5"/>
        <v>196</v>
      </c>
      <c r="N14">
        <v>3</v>
      </c>
      <c r="O14" t="str">
        <f t="shared" si="6"/>
        <v>Thursday</v>
      </c>
      <c r="P14" t="str">
        <f t="shared" si="7"/>
        <v>April</v>
      </c>
      <c r="Q14" t="str">
        <f t="shared" si="8"/>
        <v>Weekday</v>
      </c>
    </row>
    <row r="15" spans="1:17" x14ac:dyDescent="0.3">
      <c r="A15">
        <v>14</v>
      </c>
      <c r="B15" t="s">
        <v>107</v>
      </c>
      <c r="C15" t="s">
        <v>87</v>
      </c>
      <c r="D15" t="s">
        <v>98</v>
      </c>
      <c r="E15" s="6">
        <v>42813</v>
      </c>
      <c r="F15" s="10">
        <v>10367</v>
      </c>
      <c r="G15" t="s">
        <v>108</v>
      </c>
      <c r="H15">
        <f t="shared" ca="1" si="0"/>
        <v>8</v>
      </c>
      <c r="I15" s="12" t="str">
        <f t="shared" ca="1" si="1"/>
        <v>8 year 6 month 17 day</v>
      </c>
      <c r="J15" s="6">
        <f t="shared" si="2"/>
        <v>43909</v>
      </c>
      <c r="K15" s="6">
        <f t="shared" si="3"/>
        <v>42873</v>
      </c>
      <c r="L15" s="6">
        <f t="shared" si="4"/>
        <v>42895</v>
      </c>
      <c r="M15">
        <f t="shared" ca="1" si="5"/>
        <v>195</v>
      </c>
      <c r="N15">
        <v>4</v>
      </c>
      <c r="O15" t="str">
        <f t="shared" si="6"/>
        <v>Friday</v>
      </c>
      <c r="P15" t="str">
        <f t="shared" si="7"/>
        <v>June</v>
      </c>
      <c r="Q15" t="str">
        <f t="shared" si="8"/>
        <v>Weekend</v>
      </c>
    </row>
    <row r="16" spans="1:17" x14ac:dyDescent="0.3">
      <c r="A16">
        <v>15</v>
      </c>
      <c r="B16" t="s">
        <v>109</v>
      </c>
      <c r="C16" t="s">
        <v>102</v>
      </c>
      <c r="D16" t="s">
        <v>75</v>
      </c>
      <c r="E16" s="6">
        <v>42975</v>
      </c>
      <c r="F16" s="10">
        <v>9679</v>
      </c>
      <c r="G16" t="s">
        <v>110</v>
      </c>
      <c r="H16">
        <f t="shared" ca="1" si="0"/>
        <v>8</v>
      </c>
      <c r="I16" s="12" t="str">
        <f t="shared" ca="1" si="1"/>
        <v>8 year 1 month 8 day</v>
      </c>
      <c r="J16" s="6">
        <f t="shared" si="2"/>
        <v>44071</v>
      </c>
      <c r="K16" s="6">
        <f t="shared" si="3"/>
        <v>43035</v>
      </c>
      <c r="L16" s="6">
        <f t="shared" si="4"/>
        <v>43059</v>
      </c>
      <c r="M16">
        <f t="shared" ca="1" si="5"/>
        <v>195</v>
      </c>
      <c r="N16">
        <v>4</v>
      </c>
      <c r="O16" t="str">
        <f t="shared" si="6"/>
        <v>Monday</v>
      </c>
      <c r="P16" t="str">
        <f t="shared" si="7"/>
        <v>November</v>
      </c>
      <c r="Q16" t="str">
        <f t="shared" si="8"/>
        <v>Weekday</v>
      </c>
    </row>
    <row r="17" spans="1:17" x14ac:dyDescent="0.3">
      <c r="A17">
        <v>16</v>
      </c>
      <c r="B17" t="s">
        <v>111</v>
      </c>
      <c r="C17" t="s">
        <v>74</v>
      </c>
      <c r="D17" t="s">
        <v>91</v>
      </c>
      <c r="E17" s="6">
        <v>43565</v>
      </c>
      <c r="F17" s="10">
        <v>3766</v>
      </c>
      <c r="G17" t="s">
        <v>112</v>
      </c>
      <c r="H17">
        <f t="shared" ca="1" si="0"/>
        <v>6</v>
      </c>
      <c r="I17" s="12" t="str">
        <f t="shared" ca="1" si="1"/>
        <v>6 year 5 month 26 day</v>
      </c>
      <c r="J17" s="6">
        <f t="shared" si="2"/>
        <v>44661</v>
      </c>
      <c r="K17" s="6">
        <f t="shared" si="3"/>
        <v>43625</v>
      </c>
      <c r="L17" s="6">
        <f t="shared" si="4"/>
        <v>43649</v>
      </c>
      <c r="M17">
        <f t="shared" ca="1" si="5"/>
        <v>194</v>
      </c>
      <c r="N17">
        <v>5</v>
      </c>
      <c r="O17" t="str">
        <f t="shared" si="6"/>
        <v>Wednesday</v>
      </c>
      <c r="P17" t="str">
        <f t="shared" si="7"/>
        <v>July</v>
      </c>
      <c r="Q17" t="str">
        <f t="shared" si="8"/>
        <v>Weekday</v>
      </c>
    </row>
    <row r="18" spans="1:17" x14ac:dyDescent="0.3">
      <c r="A18">
        <v>17</v>
      </c>
      <c r="B18" t="s">
        <v>113</v>
      </c>
      <c r="C18" t="s">
        <v>90</v>
      </c>
      <c r="D18" t="s">
        <v>81</v>
      </c>
      <c r="E18" s="6">
        <v>42754</v>
      </c>
      <c r="F18" s="10">
        <v>5927</v>
      </c>
      <c r="G18" t="s">
        <v>114</v>
      </c>
      <c r="H18">
        <f t="shared" ca="1" si="0"/>
        <v>8</v>
      </c>
      <c r="I18" s="12" t="str">
        <f t="shared" ca="1" si="1"/>
        <v>8 year 8 month 17 day</v>
      </c>
      <c r="J18" s="6">
        <f t="shared" si="2"/>
        <v>43849</v>
      </c>
      <c r="K18" s="6">
        <f t="shared" si="3"/>
        <v>42814</v>
      </c>
      <c r="L18" s="6">
        <f t="shared" si="4"/>
        <v>42838</v>
      </c>
      <c r="M18">
        <f t="shared" ca="1" si="5"/>
        <v>197</v>
      </c>
      <c r="N18">
        <v>2</v>
      </c>
      <c r="O18" t="str">
        <f t="shared" si="6"/>
        <v>Thursday</v>
      </c>
      <c r="P18" t="str">
        <f t="shared" si="7"/>
        <v>April</v>
      </c>
      <c r="Q18" t="str">
        <f t="shared" si="8"/>
        <v>Weekday</v>
      </c>
    </row>
    <row r="19" spans="1:17" x14ac:dyDescent="0.3">
      <c r="A19">
        <v>18</v>
      </c>
      <c r="B19" t="s">
        <v>77</v>
      </c>
      <c r="C19" t="s">
        <v>90</v>
      </c>
      <c r="D19" t="s">
        <v>98</v>
      </c>
      <c r="E19" s="6">
        <v>44361</v>
      </c>
      <c r="F19" s="10">
        <v>7290</v>
      </c>
      <c r="G19" t="s">
        <v>115</v>
      </c>
      <c r="H19">
        <f t="shared" ca="1" si="0"/>
        <v>4</v>
      </c>
      <c r="I19" s="12" t="str">
        <f t="shared" ca="1" si="1"/>
        <v>4 year 3 month 22 day</v>
      </c>
      <c r="J19" s="6">
        <f t="shared" si="2"/>
        <v>45457</v>
      </c>
      <c r="K19" s="6">
        <f t="shared" si="3"/>
        <v>44421</v>
      </c>
      <c r="L19" s="6">
        <f t="shared" si="4"/>
        <v>44445</v>
      </c>
      <c r="M19">
        <f t="shared" ca="1" si="5"/>
        <v>196</v>
      </c>
      <c r="N19">
        <v>3</v>
      </c>
      <c r="O19" t="str">
        <f t="shared" si="6"/>
        <v>Monday</v>
      </c>
      <c r="P19" t="str">
        <f t="shared" si="7"/>
        <v>September</v>
      </c>
      <c r="Q19" t="str">
        <f t="shared" si="8"/>
        <v>Weekday</v>
      </c>
    </row>
    <row r="20" spans="1:17" x14ac:dyDescent="0.3">
      <c r="A20">
        <v>19</v>
      </c>
      <c r="B20" t="s">
        <v>116</v>
      </c>
      <c r="C20" t="s">
        <v>90</v>
      </c>
      <c r="D20" t="s">
        <v>81</v>
      </c>
      <c r="E20" s="6">
        <v>42311</v>
      </c>
      <c r="F20" s="10">
        <v>10479</v>
      </c>
      <c r="G20" t="s">
        <v>117</v>
      </c>
      <c r="H20">
        <f t="shared" ca="1" si="0"/>
        <v>9</v>
      </c>
      <c r="I20" s="12" t="str">
        <f t="shared" ca="1" si="1"/>
        <v>9 year 11 month 3 day</v>
      </c>
      <c r="J20" s="6">
        <f t="shared" si="2"/>
        <v>43407</v>
      </c>
      <c r="K20" s="6">
        <f t="shared" si="3"/>
        <v>42371</v>
      </c>
      <c r="L20" s="6">
        <f t="shared" si="4"/>
        <v>42395</v>
      </c>
      <c r="M20">
        <f t="shared" ca="1" si="5"/>
        <v>198</v>
      </c>
      <c r="N20">
        <v>1</v>
      </c>
      <c r="O20" t="str">
        <f t="shared" si="6"/>
        <v>Tuesday</v>
      </c>
      <c r="P20" t="str">
        <f t="shared" si="7"/>
        <v>January</v>
      </c>
      <c r="Q20" t="str">
        <f t="shared" si="8"/>
        <v>Weekday</v>
      </c>
    </row>
    <row r="21" spans="1:17" x14ac:dyDescent="0.3">
      <c r="A21">
        <v>20</v>
      </c>
      <c r="B21" t="s">
        <v>118</v>
      </c>
      <c r="C21" t="s">
        <v>87</v>
      </c>
      <c r="D21" t="s">
        <v>75</v>
      </c>
      <c r="E21" s="6">
        <v>43994</v>
      </c>
      <c r="F21" s="10">
        <v>9557</v>
      </c>
      <c r="G21" t="s">
        <v>119</v>
      </c>
      <c r="H21">
        <f t="shared" ca="1" si="0"/>
        <v>5</v>
      </c>
      <c r="I21" s="12" t="str">
        <f t="shared" ca="1" si="1"/>
        <v>5 year 3 month 24 day</v>
      </c>
      <c r="J21" s="6">
        <f t="shared" si="2"/>
        <v>45089</v>
      </c>
      <c r="K21" s="6">
        <f t="shared" si="3"/>
        <v>44054</v>
      </c>
      <c r="L21" s="6">
        <f t="shared" si="4"/>
        <v>44078</v>
      </c>
      <c r="M21">
        <f t="shared" ca="1" si="5"/>
        <v>198</v>
      </c>
      <c r="N21">
        <v>1</v>
      </c>
      <c r="O21" t="str">
        <f t="shared" si="6"/>
        <v>Friday</v>
      </c>
      <c r="P21" t="str">
        <f t="shared" si="7"/>
        <v>September</v>
      </c>
      <c r="Q21" t="str">
        <f t="shared" si="8"/>
        <v>Weekday</v>
      </c>
    </row>
    <row r="22" spans="1:17" x14ac:dyDescent="0.3">
      <c r="A22">
        <v>21</v>
      </c>
      <c r="B22" t="s">
        <v>86</v>
      </c>
      <c r="C22" t="s">
        <v>78</v>
      </c>
      <c r="D22" t="s">
        <v>75</v>
      </c>
      <c r="E22" s="6">
        <v>42666</v>
      </c>
      <c r="F22" s="10">
        <v>7144</v>
      </c>
      <c r="G22" t="s">
        <v>120</v>
      </c>
      <c r="H22">
        <f t="shared" ca="1" si="0"/>
        <v>8</v>
      </c>
      <c r="I22" s="12" t="str">
        <f t="shared" ca="1" si="1"/>
        <v>8 year 11 month 13 day</v>
      </c>
      <c r="J22" s="6">
        <f t="shared" si="2"/>
        <v>43761</v>
      </c>
      <c r="K22" s="6">
        <f t="shared" si="3"/>
        <v>42726</v>
      </c>
      <c r="L22" s="6">
        <f t="shared" si="4"/>
        <v>42748</v>
      </c>
      <c r="M22">
        <f t="shared" ca="1" si="5"/>
        <v>195</v>
      </c>
      <c r="N22">
        <v>4</v>
      </c>
      <c r="O22" t="str">
        <f t="shared" si="6"/>
        <v>Friday</v>
      </c>
      <c r="P22" t="str">
        <f t="shared" si="7"/>
        <v>January</v>
      </c>
      <c r="Q22" t="str">
        <f t="shared" si="8"/>
        <v>Weekend</v>
      </c>
    </row>
    <row r="23" spans="1:17" x14ac:dyDescent="0.3">
      <c r="A23">
        <v>22</v>
      </c>
      <c r="B23" t="s">
        <v>121</v>
      </c>
      <c r="C23" t="s">
        <v>78</v>
      </c>
      <c r="D23" t="s">
        <v>75</v>
      </c>
      <c r="E23" s="6">
        <v>43087</v>
      </c>
      <c r="F23" s="10">
        <v>11446</v>
      </c>
      <c r="G23" t="s">
        <v>122</v>
      </c>
      <c r="H23">
        <f t="shared" ca="1" si="0"/>
        <v>7</v>
      </c>
      <c r="I23" s="12" t="str">
        <f t="shared" ca="1" si="1"/>
        <v>7 year 9 month 18 day</v>
      </c>
      <c r="J23" s="6">
        <f t="shared" si="2"/>
        <v>44183</v>
      </c>
      <c r="K23" s="6">
        <f t="shared" si="3"/>
        <v>43147</v>
      </c>
      <c r="L23" s="6">
        <f t="shared" si="4"/>
        <v>43171</v>
      </c>
      <c r="M23">
        <f t="shared" ca="1" si="5"/>
        <v>193</v>
      </c>
      <c r="N23">
        <v>6</v>
      </c>
      <c r="O23" t="str">
        <f t="shared" si="6"/>
        <v>Monday</v>
      </c>
      <c r="P23" t="str">
        <f t="shared" si="7"/>
        <v>March</v>
      </c>
      <c r="Q23" t="str">
        <f t="shared" si="8"/>
        <v>Weekday</v>
      </c>
    </row>
    <row r="24" spans="1:17" x14ac:dyDescent="0.3">
      <c r="A24">
        <v>23</v>
      </c>
      <c r="B24" t="s">
        <v>123</v>
      </c>
      <c r="C24" t="s">
        <v>78</v>
      </c>
      <c r="D24" t="s">
        <v>75</v>
      </c>
      <c r="E24" s="6">
        <v>42449</v>
      </c>
      <c r="F24" s="10">
        <v>8736</v>
      </c>
      <c r="G24" t="s">
        <v>124</v>
      </c>
      <c r="H24">
        <f t="shared" ca="1" si="0"/>
        <v>9</v>
      </c>
      <c r="I24" s="12" t="str">
        <f t="shared" ca="1" si="1"/>
        <v>9 year 6 month 16 day</v>
      </c>
      <c r="J24" s="6">
        <f t="shared" si="2"/>
        <v>43544</v>
      </c>
      <c r="K24" s="6">
        <f t="shared" si="3"/>
        <v>42509</v>
      </c>
      <c r="L24" s="6">
        <f t="shared" si="4"/>
        <v>42531</v>
      </c>
      <c r="M24">
        <f t="shared" ca="1" si="5"/>
        <v>195</v>
      </c>
      <c r="N24">
        <v>4</v>
      </c>
      <c r="O24" t="str">
        <f t="shared" si="6"/>
        <v>Friday</v>
      </c>
      <c r="P24" t="str">
        <f t="shared" si="7"/>
        <v>June</v>
      </c>
      <c r="Q24" t="str">
        <f t="shared" si="8"/>
        <v>Weekend</v>
      </c>
    </row>
    <row r="25" spans="1:17" x14ac:dyDescent="0.3">
      <c r="A25">
        <v>24</v>
      </c>
      <c r="B25" t="s">
        <v>125</v>
      </c>
      <c r="C25" t="s">
        <v>102</v>
      </c>
      <c r="D25" t="s">
        <v>81</v>
      </c>
      <c r="E25" s="6">
        <v>43987</v>
      </c>
      <c r="F25" s="10">
        <v>2852</v>
      </c>
      <c r="G25" t="s">
        <v>126</v>
      </c>
      <c r="H25">
        <f t="shared" ca="1" si="0"/>
        <v>5</v>
      </c>
      <c r="I25" s="12" t="str">
        <f t="shared" ca="1" si="1"/>
        <v>5 year 4 month 1 day</v>
      </c>
      <c r="J25" s="6">
        <f t="shared" si="2"/>
        <v>45082</v>
      </c>
      <c r="K25" s="6">
        <f t="shared" si="3"/>
        <v>44047</v>
      </c>
      <c r="L25" s="6">
        <f t="shared" si="4"/>
        <v>44071</v>
      </c>
      <c r="M25">
        <f t="shared" ca="1" si="5"/>
        <v>196</v>
      </c>
      <c r="N25">
        <v>3</v>
      </c>
      <c r="O25" t="str">
        <f t="shared" si="6"/>
        <v>Friday</v>
      </c>
      <c r="P25" t="str">
        <f t="shared" si="7"/>
        <v>August</v>
      </c>
      <c r="Q25" t="str">
        <f t="shared" si="8"/>
        <v>Weekday</v>
      </c>
    </row>
    <row r="26" spans="1:17" x14ac:dyDescent="0.3">
      <c r="A26">
        <v>25</v>
      </c>
      <c r="B26" t="s">
        <v>127</v>
      </c>
      <c r="C26" t="s">
        <v>90</v>
      </c>
      <c r="D26" t="s">
        <v>91</v>
      </c>
      <c r="E26" s="6">
        <v>43360</v>
      </c>
      <c r="F26" s="10">
        <v>9505</v>
      </c>
      <c r="G26" t="s">
        <v>128</v>
      </c>
      <c r="H26">
        <f t="shared" ca="1" si="0"/>
        <v>7</v>
      </c>
      <c r="I26" s="12" t="str">
        <f t="shared" ca="1" si="1"/>
        <v>7 year 0 month 19 day</v>
      </c>
      <c r="J26" s="6">
        <f t="shared" si="2"/>
        <v>44456</v>
      </c>
      <c r="K26" s="6">
        <f t="shared" si="3"/>
        <v>43420</v>
      </c>
      <c r="L26" s="6">
        <f t="shared" si="4"/>
        <v>43444</v>
      </c>
      <c r="M26">
        <f t="shared" ca="1" si="5"/>
        <v>195</v>
      </c>
      <c r="N26">
        <v>4</v>
      </c>
      <c r="O26" t="str">
        <f t="shared" si="6"/>
        <v>Monday</v>
      </c>
      <c r="P26" t="str">
        <f t="shared" si="7"/>
        <v>December</v>
      </c>
      <c r="Q26" t="str">
        <f t="shared" si="8"/>
        <v>Weekday</v>
      </c>
    </row>
    <row r="27" spans="1:17" x14ac:dyDescent="0.3">
      <c r="A27">
        <v>26</v>
      </c>
      <c r="B27" t="s">
        <v>109</v>
      </c>
      <c r="C27" t="s">
        <v>78</v>
      </c>
      <c r="D27" t="s">
        <v>81</v>
      </c>
      <c r="E27" s="6">
        <v>42961</v>
      </c>
      <c r="F27" s="10">
        <v>4571</v>
      </c>
      <c r="G27" t="s">
        <v>129</v>
      </c>
      <c r="H27">
        <f t="shared" ca="1" si="0"/>
        <v>8</v>
      </c>
      <c r="I27" s="12" t="str">
        <f t="shared" ca="1" si="1"/>
        <v>8 year 1 month 22 day</v>
      </c>
      <c r="J27" s="6">
        <f t="shared" si="2"/>
        <v>44057</v>
      </c>
      <c r="K27" s="6">
        <f t="shared" si="3"/>
        <v>43021</v>
      </c>
      <c r="L27" s="6">
        <f t="shared" si="4"/>
        <v>43045</v>
      </c>
      <c r="M27">
        <f t="shared" ca="1" si="5"/>
        <v>194</v>
      </c>
      <c r="N27">
        <v>5</v>
      </c>
      <c r="O27" t="str">
        <f t="shared" si="6"/>
        <v>Monday</v>
      </c>
      <c r="P27" t="str">
        <f t="shared" si="7"/>
        <v>November</v>
      </c>
      <c r="Q27" t="str">
        <f t="shared" si="8"/>
        <v>Weekday</v>
      </c>
    </row>
    <row r="28" spans="1:17" x14ac:dyDescent="0.3">
      <c r="A28">
        <v>27</v>
      </c>
      <c r="B28" t="s">
        <v>125</v>
      </c>
      <c r="C28" t="s">
        <v>90</v>
      </c>
      <c r="D28" t="s">
        <v>98</v>
      </c>
      <c r="E28" s="6">
        <v>44857</v>
      </c>
      <c r="F28" s="10">
        <v>5953</v>
      </c>
      <c r="G28" t="s">
        <v>130</v>
      </c>
      <c r="H28">
        <f t="shared" ca="1" si="0"/>
        <v>2</v>
      </c>
      <c r="I28" s="12" t="str">
        <f t="shared" ca="1" si="1"/>
        <v>2 year 11 month 13 day</v>
      </c>
      <c r="J28" s="6">
        <f t="shared" si="2"/>
        <v>45953</v>
      </c>
      <c r="K28" s="6">
        <f t="shared" si="3"/>
        <v>44917</v>
      </c>
      <c r="L28" s="6">
        <f t="shared" si="4"/>
        <v>44939</v>
      </c>
      <c r="M28">
        <f t="shared" ca="1" si="5"/>
        <v>195</v>
      </c>
      <c r="N28">
        <v>4</v>
      </c>
      <c r="O28" t="str">
        <f t="shared" si="6"/>
        <v>Friday</v>
      </c>
      <c r="P28" t="str">
        <f t="shared" si="7"/>
        <v>January</v>
      </c>
      <c r="Q28" t="str">
        <f t="shared" si="8"/>
        <v>Weekend</v>
      </c>
    </row>
    <row r="29" spans="1:17" x14ac:dyDescent="0.3">
      <c r="A29">
        <v>28</v>
      </c>
      <c r="B29" t="s">
        <v>131</v>
      </c>
      <c r="C29" t="s">
        <v>74</v>
      </c>
      <c r="D29" t="s">
        <v>98</v>
      </c>
      <c r="E29" s="6">
        <v>44204</v>
      </c>
      <c r="F29" s="10">
        <v>4212</v>
      </c>
      <c r="G29" t="s">
        <v>132</v>
      </c>
      <c r="H29">
        <f t="shared" ca="1" si="0"/>
        <v>4</v>
      </c>
      <c r="I29" s="12" t="str">
        <f t="shared" ca="1" si="1"/>
        <v>4 year 8 month 28 day</v>
      </c>
      <c r="J29" s="6">
        <f t="shared" si="2"/>
        <v>45299</v>
      </c>
      <c r="K29" s="6">
        <f t="shared" si="3"/>
        <v>44264</v>
      </c>
      <c r="L29" s="6">
        <f t="shared" si="4"/>
        <v>44288</v>
      </c>
      <c r="M29">
        <f t="shared" ca="1" si="5"/>
        <v>197</v>
      </c>
      <c r="N29">
        <v>2</v>
      </c>
      <c r="O29" t="str">
        <f t="shared" si="6"/>
        <v>Friday</v>
      </c>
      <c r="P29" t="str">
        <f t="shared" si="7"/>
        <v>April</v>
      </c>
      <c r="Q29" t="str">
        <f t="shared" si="8"/>
        <v>Weekday</v>
      </c>
    </row>
    <row r="30" spans="1:17" x14ac:dyDescent="0.3">
      <c r="A30">
        <v>29</v>
      </c>
      <c r="B30" t="s">
        <v>133</v>
      </c>
      <c r="C30" t="s">
        <v>90</v>
      </c>
      <c r="D30" t="s">
        <v>91</v>
      </c>
      <c r="E30" s="6">
        <v>42612</v>
      </c>
      <c r="F30" s="10">
        <v>9063</v>
      </c>
      <c r="G30" t="s">
        <v>134</v>
      </c>
      <c r="H30">
        <f t="shared" ca="1" si="0"/>
        <v>9</v>
      </c>
      <c r="I30" s="12" t="str">
        <f t="shared" ca="1" si="1"/>
        <v>9 year 1 month 6 day</v>
      </c>
      <c r="J30" s="6">
        <f t="shared" si="2"/>
        <v>43707</v>
      </c>
      <c r="K30" s="6">
        <f t="shared" si="3"/>
        <v>42672</v>
      </c>
      <c r="L30" s="6">
        <f t="shared" si="4"/>
        <v>42696</v>
      </c>
      <c r="M30">
        <f t="shared" ca="1" si="5"/>
        <v>196</v>
      </c>
      <c r="N30">
        <v>3</v>
      </c>
      <c r="O30" t="str">
        <f t="shared" si="6"/>
        <v>Tuesday</v>
      </c>
      <c r="P30" t="str">
        <f t="shared" si="7"/>
        <v>November</v>
      </c>
      <c r="Q30" t="str">
        <f t="shared" si="8"/>
        <v>Weekday</v>
      </c>
    </row>
    <row r="31" spans="1:17" x14ac:dyDescent="0.3">
      <c r="A31">
        <v>30</v>
      </c>
      <c r="B31" t="s">
        <v>135</v>
      </c>
      <c r="C31" t="s">
        <v>87</v>
      </c>
      <c r="D31" t="s">
        <v>91</v>
      </c>
      <c r="E31" s="6">
        <v>44918</v>
      </c>
      <c r="F31" s="10">
        <v>8131</v>
      </c>
      <c r="G31" t="s">
        <v>136</v>
      </c>
      <c r="H31">
        <f t="shared" ca="1" si="0"/>
        <v>2</v>
      </c>
      <c r="I31" s="12" t="str">
        <f t="shared" ca="1" si="1"/>
        <v>2 year 9 month 13 day</v>
      </c>
      <c r="J31" s="6">
        <f t="shared" si="2"/>
        <v>46014</v>
      </c>
      <c r="K31" s="6">
        <f t="shared" si="3"/>
        <v>44978</v>
      </c>
      <c r="L31" s="6">
        <f t="shared" si="4"/>
        <v>45002</v>
      </c>
      <c r="M31">
        <f t="shared" ca="1" si="5"/>
        <v>195</v>
      </c>
      <c r="N31">
        <v>4</v>
      </c>
      <c r="O31" t="str">
        <f t="shared" si="6"/>
        <v>Friday</v>
      </c>
      <c r="P31" t="str">
        <f t="shared" si="7"/>
        <v>March</v>
      </c>
      <c r="Q31" t="str">
        <f t="shared" si="8"/>
        <v>Weekday</v>
      </c>
    </row>
    <row r="32" spans="1:17" x14ac:dyDescent="0.3">
      <c r="A32">
        <v>31</v>
      </c>
      <c r="B32" t="s">
        <v>83</v>
      </c>
      <c r="C32" t="s">
        <v>87</v>
      </c>
      <c r="D32" t="s">
        <v>98</v>
      </c>
      <c r="E32" s="6">
        <v>44630</v>
      </c>
      <c r="F32" s="10">
        <v>3894</v>
      </c>
      <c r="G32" t="s">
        <v>137</v>
      </c>
      <c r="H32">
        <f t="shared" ca="1" si="0"/>
        <v>3</v>
      </c>
      <c r="I32" s="12" t="str">
        <f t="shared" ca="1" si="1"/>
        <v>3 year 6 month 26 day</v>
      </c>
      <c r="J32" s="6">
        <f t="shared" si="2"/>
        <v>45726</v>
      </c>
      <c r="K32" s="6">
        <f t="shared" si="3"/>
        <v>44690</v>
      </c>
      <c r="L32" s="6">
        <f t="shared" si="4"/>
        <v>44714</v>
      </c>
      <c r="M32">
        <f t="shared" ca="1" si="5"/>
        <v>195</v>
      </c>
      <c r="N32">
        <v>4</v>
      </c>
      <c r="O32" t="str">
        <f t="shared" si="6"/>
        <v>Thursday</v>
      </c>
      <c r="P32" t="str">
        <f t="shared" si="7"/>
        <v>June</v>
      </c>
      <c r="Q32" t="str">
        <f t="shared" si="8"/>
        <v>Weekday</v>
      </c>
    </row>
    <row r="33" spans="1:17" x14ac:dyDescent="0.3">
      <c r="A33">
        <v>32</v>
      </c>
      <c r="B33" t="s">
        <v>138</v>
      </c>
      <c r="C33" t="s">
        <v>90</v>
      </c>
      <c r="D33" t="s">
        <v>84</v>
      </c>
      <c r="E33" s="6">
        <v>43274</v>
      </c>
      <c r="F33" s="10">
        <v>7232</v>
      </c>
      <c r="G33" t="s">
        <v>139</v>
      </c>
      <c r="H33">
        <f t="shared" ca="1" si="0"/>
        <v>7</v>
      </c>
      <c r="I33" s="12" t="str">
        <f t="shared" ca="1" si="1"/>
        <v>7 year 3 month 13 day</v>
      </c>
      <c r="J33" s="6">
        <f t="shared" si="2"/>
        <v>44370</v>
      </c>
      <c r="K33" s="6">
        <f t="shared" si="3"/>
        <v>43334</v>
      </c>
      <c r="L33" s="6">
        <f t="shared" si="4"/>
        <v>43357</v>
      </c>
      <c r="M33">
        <f t="shared" ca="1" si="5"/>
        <v>196</v>
      </c>
      <c r="N33">
        <v>3</v>
      </c>
      <c r="O33" t="str">
        <f t="shared" si="6"/>
        <v>Friday</v>
      </c>
      <c r="P33" t="str">
        <f t="shared" si="7"/>
        <v>September</v>
      </c>
      <c r="Q33" t="str">
        <f t="shared" si="8"/>
        <v>Weekend</v>
      </c>
    </row>
    <row r="34" spans="1:17" x14ac:dyDescent="0.3">
      <c r="A34">
        <v>33</v>
      </c>
      <c r="B34" t="s">
        <v>39</v>
      </c>
      <c r="C34" t="s">
        <v>102</v>
      </c>
      <c r="D34" t="s">
        <v>75</v>
      </c>
      <c r="E34" s="6">
        <v>42534</v>
      </c>
      <c r="F34" s="10">
        <v>5458</v>
      </c>
      <c r="G34" t="s">
        <v>140</v>
      </c>
      <c r="H34">
        <f t="shared" ca="1" si="0"/>
        <v>9</v>
      </c>
      <c r="I34" s="12" t="str">
        <f t="shared" ca="1" si="1"/>
        <v>9 year 3 month 23 day</v>
      </c>
      <c r="J34" s="6">
        <f t="shared" si="2"/>
        <v>43629</v>
      </c>
      <c r="K34" s="6">
        <f t="shared" si="3"/>
        <v>42594</v>
      </c>
      <c r="L34" s="6">
        <f t="shared" si="4"/>
        <v>42618</v>
      </c>
      <c r="M34">
        <f t="shared" ca="1" si="5"/>
        <v>194</v>
      </c>
      <c r="N34">
        <v>5</v>
      </c>
      <c r="O34" t="str">
        <f t="shared" si="6"/>
        <v>Monday</v>
      </c>
      <c r="P34" t="str">
        <f t="shared" si="7"/>
        <v>September</v>
      </c>
      <c r="Q34" t="str">
        <f t="shared" si="8"/>
        <v>Weekday</v>
      </c>
    </row>
    <row r="35" spans="1:17" x14ac:dyDescent="0.3">
      <c r="A35">
        <v>34</v>
      </c>
      <c r="B35" t="s">
        <v>141</v>
      </c>
      <c r="C35" t="s">
        <v>102</v>
      </c>
      <c r="D35" t="s">
        <v>84</v>
      </c>
      <c r="E35" s="6">
        <v>42798</v>
      </c>
      <c r="F35" s="10">
        <v>6091</v>
      </c>
      <c r="G35" t="s">
        <v>142</v>
      </c>
      <c r="H35">
        <f t="shared" ca="1" si="0"/>
        <v>8</v>
      </c>
      <c r="I35" s="12" t="str">
        <f t="shared" ca="1" si="1"/>
        <v>8 year 7 month 2 day</v>
      </c>
      <c r="J35" s="6">
        <f t="shared" si="2"/>
        <v>43894</v>
      </c>
      <c r="K35" s="6">
        <f t="shared" si="3"/>
        <v>42858</v>
      </c>
      <c r="L35" s="6">
        <f t="shared" si="4"/>
        <v>42881</v>
      </c>
      <c r="M35">
        <f t="shared" ca="1" si="5"/>
        <v>196</v>
      </c>
      <c r="N35">
        <v>3</v>
      </c>
      <c r="O35" t="str">
        <f t="shared" si="6"/>
        <v>Friday</v>
      </c>
      <c r="P35" t="str">
        <f t="shared" si="7"/>
        <v>May</v>
      </c>
      <c r="Q35" t="str">
        <f t="shared" si="8"/>
        <v>Weekend</v>
      </c>
    </row>
    <row r="36" spans="1:17" x14ac:dyDescent="0.3">
      <c r="A36">
        <v>35</v>
      </c>
      <c r="B36" t="s">
        <v>107</v>
      </c>
      <c r="C36" t="s">
        <v>74</v>
      </c>
      <c r="D36" t="s">
        <v>84</v>
      </c>
      <c r="E36" s="6">
        <v>44804</v>
      </c>
      <c r="F36" s="10">
        <v>11631</v>
      </c>
      <c r="G36" t="s">
        <v>143</v>
      </c>
      <c r="H36">
        <f t="shared" ca="1" si="0"/>
        <v>3</v>
      </c>
      <c r="I36" s="12" t="str">
        <f t="shared" ca="1" si="1"/>
        <v>3 year 1 month 5 day</v>
      </c>
      <c r="J36" s="6">
        <f t="shared" si="2"/>
        <v>45900</v>
      </c>
      <c r="K36" s="6">
        <f t="shared" si="3"/>
        <v>44864</v>
      </c>
      <c r="L36" s="6">
        <f t="shared" si="4"/>
        <v>44888</v>
      </c>
      <c r="M36">
        <f t="shared" ca="1" si="5"/>
        <v>193</v>
      </c>
      <c r="N36">
        <v>6</v>
      </c>
      <c r="O36" t="str">
        <f t="shared" si="6"/>
        <v>Wednesday</v>
      </c>
      <c r="P36" t="str">
        <f t="shared" si="7"/>
        <v>November</v>
      </c>
      <c r="Q36" t="str">
        <f t="shared" si="8"/>
        <v>Weekday</v>
      </c>
    </row>
    <row r="37" spans="1:17" x14ac:dyDescent="0.3">
      <c r="A37">
        <v>36</v>
      </c>
      <c r="B37" t="s">
        <v>125</v>
      </c>
      <c r="C37" t="s">
        <v>87</v>
      </c>
      <c r="D37" t="s">
        <v>98</v>
      </c>
      <c r="E37" s="6">
        <v>44386</v>
      </c>
      <c r="F37" s="10">
        <v>2501</v>
      </c>
      <c r="G37" t="s">
        <v>144</v>
      </c>
      <c r="H37">
        <f t="shared" ca="1" si="0"/>
        <v>4</v>
      </c>
      <c r="I37" s="12" t="str">
        <f t="shared" ca="1" si="1"/>
        <v>4 year 2 month 27 day</v>
      </c>
      <c r="J37" s="6">
        <f t="shared" si="2"/>
        <v>45482</v>
      </c>
      <c r="K37" s="6">
        <f t="shared" si="3"/>
        <v>44446</v>
      </c>
      <c r="L37" s="6">
        <f t="shared" si="4"/>
        <v>44470</v>
      </c>
      <c r="M37">
        <f t="shared" ca="1" si="5"/>
        <v>193</v>
      </c>
      <c r="N37">
        <v>6</v>
      </c>
      <c r="O37" t="str">
        <f t="shared" si="6"/>
        <v>Friday</v>
      </c>
      <c r="P37" t="str">
        <f t="shared" si="7"/>
        <v>October</v>
      </c>
      <c r="Q37" t="str">
        <f t="shared" si="8"/>
        <v>Weekday</v>
      </c>
    </row>
    <row r="38" spans="1:17" x14ac:dyDescent="0.3">
      <c r="A38">
        <v>37</v>
      </c>
      <c r="B38" t="s">
        <v>80</v>
      </c>
      <c r="C38" t="s">
        <v>78</v>
      </c>
      <c r="D38" t="s">
        <v>81</v>
      </c>
      <c r="E38" s="6">
        <v>44345</v>
      </c>
      <c r="F38" s="10">
        <v>7148</v>
      </c>
      <c r="G38" t="s">
        <v>145</v>
      </c>
      <c r="H38">
        <f t="shared" ca="1" si="0"/>
        <v>4</v>
      </c>
      <c r="I38" s="12" t="str">
        <f t="shared" ca="1" si="1"/>
        <v>4 year 4 month 7 day</v>
      </c>
      <c r="J38" s="6">
        <f t="shared" si="2"/>
        <v>45441</v>
      </c>
      <c r="K38" s="6">
        <f t="shared" si="3"/>
        <v>44405</v>
      </c>
      <c r="L38" s="6">
        <f t="shared" si="4"/>
        <v>44428</v>
      </c>
      <c r="M38">
        <f t="shared" ca="1" si="5"/>
        <v>197</v>
      </c>
      <c r="N38">
        <v>2</v>
      </c>
      <c r="O38" t="str">
        <f t="shared" si="6"/>
        <v>Friday</v>
      </c>
      <c r="P38" t="str">
        <f t="shared" si="7"/>
        <v>August</v>
      </c>
      <c r="Q38" t="str">
        <f t="shared" si="8"/>
        <v>Weekend</v>
      </c>
    </row>
    <row r="39" spans="1:17" x14ac:dyDescent="0.3">
      <c r="A39">
        <v>38</v>
      </c>
      <c r="B39" t="s">
        <v>146</v>
      </c>
      <c r="C39" t="s">
        <v>87</v>
      </c>
      <c r="D39" t="s">
        <v>75</v>
      </c>
      <c r="E39" s="6">
        <v>43856</v>
      </c>
      <c r="F39" s="10">
        <v>4146</v>
      </c>
      <c r="G39" t="s">
        <v>147</v>
      </c>
      <c r="H39">
        <f t="shared" ca="1" si="0"/>
        <v>5</v>
      </c>
      <c r="I39" s="12" t="str">
        <f t="shared" ca="1" si="1"/>
        <v>5 year 8 month 10 day</v>
      </c>
      <c r="J39" s="6">
        <f t="shared" si="2"/>
        <v>44952</v>
      </c>
      <c r="K39" s="6">
        <f t="shared" si="3"/>
        <v>43916</v>
      </c>
      <c r="L39" s="6">
        <f t="shared" si="4"/>
        <v>43938</v>
      </c>
      <c r="M39">
        <f t="shared" ca="1" si="5"/>
        <v>193</v>
      </c>
      <c r="N39">
        <v>6</v>
      </c>
      <c r="O39" t="str">
        <f t="shared" si="6"/>
        <v>Friday</v>
      </c>
      <c r="P39" t="str">
        <f t="shared" si="7"/>
        <v>April</v>
      </c>
      <c r="Q39" t="str">
        <f t="shared" si="8"/>
        <v>Weekend</v>
      </c>
    </row>
    <row r="40" spans="1:17" x14ac:dyDescent="0.3">
      <c r="A40">
        <v>39</v>
      </c>
      <c r="B40" t="s">
        <v>131</v>
      </c>
      <c r="C40" t="s">
        <v>87</v>
      </c>
      <c r="D40" t="s">
        <v>75</v>
      </c>
      <c r="E40" s="6">
        <v>42508</v>
      </c>
      <c r="F40" s="10">
        <v>4778</v>
      </c>
      <c r="G40" t="s">
        <v>148</v>
      </c>
      <c r="H40">
        <f t="shared" ca="1" si="0"/>
        <v>9</v>
      </c>
      <c r="I40" s="12" t="str">
        <f t="shared" ca="1" si="1"/>
        <v>9 year 4 month 18 day</v>
      </c>
      <c r="J40" s="6">
        <f t="shared" si="2"/>
        <v>43603</v>
      </c>
      <c r="K40" s="6">
        <f t="shared" si="3"/>
        <v>42568</v>
      </c>
      <c r="L40" s="6">
        <f t="shared" si="4"/>
        <v>42592</v>
      </c>
      <c r="M40">
        <f t="shared" ca="1" si="5"/>
        <v>194</v>
      </c>
      <c r="N40">
        <v>5</v>
      </c>
      <c r="O40" t="str">
        <f t="shared" si="6"/>
        <v>Wednesday</v>
      </c>
      <c r="P40" t="str">
        <f t="shared" si="7"/>
        <v>August</v>
      </c>
      <c r="Q40" t="str">
        <f t="shared" si="8"/>
        <v>Weekday</v>
      </c>
    </row>
    <row r="41" spans="1:17" x14ac:dyDescent="0.3">
      <c r="A41">
        <v>40</v>
      </c>
      <c r="B41" t="s">
        <v>83</v>
      </c>
      <c r="C41" t="s">
        <v>78</v>
      </c>
      <c r="D41" t="s">
        <v>75</v>
      </c>
      <c r="E41" s="6">
        <v>42134</v>
      </c>
      <c r="F41" s="10">
        <v>6314</v>
      </c>
      <c r="G41" t="s">
        <v>149</v>
      </c>
      <c r="H41">
        <f t="shared" ca="1" si="0"/>
        <v>10</v>
      </c>
      <c r="I41" s="12" t="str">
        <f t="shared" ca="1" si="1"/>
        <v>10 year 4 month 26 day</v>
      </c>
      <c r="J41" s="6">
        <f t="shared" si="2"/>
        <v>43230</v>
      </c>
      <c r="K41" s="6">
        <f t="shared" si="3"/>
        <v>42194</v>
      </c>
      <c r="L41" s="6">
        <f t="shared" si="4"/>
        <v>42216</v>
      </c>
      <c r="M41">
        <f t="shared" ca="1" si="5"/>
        <v>197</v>
      </c>
      <c r="N41">
        <v>2</v>
      </c>
      <c r="O41" t="str">
        <f t="shared" si="6"/>
        <v>Friday</v>
      </c>
      <c r="P41" t="str">
        <f t="shared" si="7"/>
        <v>July</v>
      </c>
      <c r="Q41" t="str">
        <f t="shared" si="8"/>
        <v>Weekend</v>
      </c>
    </row>
    <row r="42" spans="1:17" x14ac:dyDescent="0.3">
      <c r="A42">
        <v>41</v>
      </c>
      <c r="B42" t="s">
        <v>107</v>
      </c>
      <c r="C42" t="s">
        <v>102</v>
      </c>
      <c r="D42" t="s">
        <v>84</v>
      </c>
      <c r="E42" s="6">
        <v>44045</v>
      </c>
      <c r="F42" s="10">
        <v>10719</v>
      </c>
      <c r="G42" t="s">
        <v>150</v>
      </c>
      <c r="H42">
        <f t="shared" ca="1" si="0"/>
        <v>5</v>
      </c>
      <c r="I42" s="12" t="str">
        <f t="shared" ca="1" si="1"/>
        <v>5 year 2 month 4 day</v>
      </c>
      <c r="J42" s="6">
        <f t="shared" si="2"/>
        <v>45140</v>
      </c>
      <c r="K42" s="6">
        <f t="shared" si="3"/>
        <v>44105</v>
      </c>
      <c r="L42" s="6">
        <f t="shared" si="4"/>
        <v>44127</v>
      </c>
      <c r="M42">
        <f t="shared" ca="1" si="5"/>
        <v>196</v>
      </c>
      <c r="N42">
        <v>3</v>
      </c>
      <c r="O42" t="str">
        <f t="shared" si="6"/>
        <v>Friday</v>
      </c>
      <c r="P42" t="str">
        <f t="shared" si="7"/>
        <v>October</v>
      </c>
      <c r="Q42" t="str">
        <f t="shared" si="8"/>
        <v>Weekend</v>
      </c>
    </row>
    <row r="43" spans="1:17" x14ac:dyDescent="0.3">
      <c r="A43">
        <v>42</v>
      </c>
      <c r="B43" t="s">
        <v>80</v>
      </c>
      <c r="C43" t="s">
        <v>87</v>
      </c>
      <c r="D43" t="s">
        <v>91</v>
      </c>
      <c r="E43" s="6">
        <v>43257</v>
      </c>
      <c r="F43" s="10">
        <v>6856</v>
      </c>
      <c r="G43" t="s">
        <v>151</v>
      </c>
      <c r="H43">
        <f t="shared" ca="1" si="0"/>
        <v>7</v>
      </c>
      <c r="I43" s="12" t="str">
        <f t="shared" ca="1" si="1"/>
        <v>7 year 4 month 0 day</v>
      </c>
      <c r="J43" s="6">
        <f t="shared" si="2"/>
        <v>44353</v>
      </c>
      <c r="K43" s="6">
        <f t="shared" si="3"/>
        <v>43317</v>
      </c>
      <c r="L43" s="6">
        <f t="shared" si="4"/>
        <v>43341</v>
      </c>
      <c r="M43">
        <f t="shared" ca="1" si="5"/>
        <v>194</v>
      </c>
      <c r="N43">
        <v>5</v>
      </c>
      <c r="O43" t="str">
        <f t="shared" si="6"/>
        <v>Wednesday</v>
      </c>
      <c r="P43" t="str">
        <f t="shared" si="7"/>
        <v>August</v>
      </c>
      <c r="Q43" t="str">
        <f t="shared" si="8"/>
        <v>Weekday</v>
      </c>
    </row>
    <row r="44" spans="1:17" x14ac:dyDescent="0.3">
      <c r="A44">
        <v>43</v>
      </c>
      <c r="B44" t="s">
        <v>89</v>
      </c>
      <c r="C44" t="s">
        <v>102</v>
      </c>
      <c r="D44" t="s">
        <v>84</v>
      </c>
      <c r="E44" s="6">
        <v>43477</v>
      </c>
      <c r="F44" s="10">
        <v>8043</v>
      </c>
      <c r="G44" t="s">
        <v>152</v>
      </c>
      <c r="H44">
        <f t="shared" ca="1" si="0"/>
        <v>6</v>
      </c>
      <c r="I44" s="12" t="str">
        <f t="shared" ca="1" si="1"/>
        <v>6 year 8 month 24 day</v>
      </c>
      <c r="J44" s="6">
        <f t="shared" si="2"/>
        <v>44573</v>
      </c>
      <c r="K44" s="6">
        <f t="shared" si="3"/>
        <v>43537</v>
      </c>
      <c r="L44" s="6">
        <f t="shared" si="4"/>
        <v>43560</v>
      </c>
      <c r="M44">
        <f t="shared" ca="1" si="5"/>
        <v>198</v>
      </c>
      <c r="N44">
        <v>1</v>
      </c>
      <c r="O44" t="str">
        <f t="shared" si="6"/>
        <v>Friday</v>
      </c>
      <c r="P44" t="str">
        <f t="shared" si="7"/>
        <v>April</v>
      </c>
      <c r="Q44" t="str">
        <f t="shared" si="8"/>
        <v>Weekend</v>
      </c>
    </row>
    <row r="45" spans="1:17" x14ac:dyDescent="0.3">
      <c r="A45">
        <v>44</v>
      </c>
      <c r="B45" t="s">
        <v>133</v>
      </c>
      <c r="C45" t="s">
        <v>87</v>
      </c>
      <c r="D45" t="s">
        <v>91</v>
      </c>
      <c r="E45" s="6">
        <v>42305</v>
      </c>
      <c r="F45" s="10">
        <v>9562</v>
      </c>
      <c r="G45" t="s">
        <v>153</v>
      </c>
      <c r="H45">
        <f t="shared" ca="1" si="0"/>
        <v>9</v>
      </c>
      <c r="I45" s="12" t="str">
        <f t="shared" ca="1" si="1"/>
        <v>9 year 11 month 8 day</v>
      </c>
      <c r="J45" s="6">
        <f t="shared" si="2"/>
        <v>43401</v>
      </c>
      <c r="K45" s="6">
        <f t="shared" si="3"/>
        <v>42365</v>
      </c>
      <c r="L45" s="6">
        <f t="shared" si="4"/>
        <v>42389</v>
      </c>
      <c r="M45">
        <f t="shared" ca="1" si="5"/>
        <v>196</v>
      </c>
      <c r="N45">
        <v>3</v>
      </c>
      <c r="O45" t="str">
        <f t="shared" si="6"/>
        <v>Wednesday</v>
      </c>
      <c r="P45" t="str">
        <f t="shared" si="7"/>
        <v>January</v>
      </c>
      <c r="Q45" t="str">
        <f t="shared" si="8"/>
        <v>Weekday</v>
      </c>
    </row>
    <row r="46" spans="1:17" x14ac:dyDescent="0.3">
      <c r="A46">
        <v>45</v>
      </c>
      <c r="B46" t="s">
        <v>154</v>
      </c>
      <c r="C46" t="s">
        <v>74</v>
      </c>
      <c r="D46" t="s">
        <v>84</v>
      </c>
      <c r="E46" s="6">
        <v>44339</v>
      </c>
      <c r="F46" s="10">
        <v>5966</v>
      </c>
      <c r="G46" t="s">
        <v>155</v>
      </c>
      <c r="H46">
        <f t="shared" ca="1" si="0"/>
        <v>4</v>
      </c>
      <c r="I46" s="12" t="str">
        <f t="shared" ca="1" si="1"/>
        <v>4 year 4 month 13 day</v>
      </c>
      <c r="J46" s="6">
        <f t="shared" si="2"/>
        <v>45435</v>
      </c>
      <c r="K46" s="6">
        <f t="shared" si="3"/>
        <v>44399</v>
      </c>
      <c r="L46" s="6">
        <f t="shared" si="4"/>
        <v>44421</v>
      </c>
      <c r="M46">
        <f t="shared" ca="1" si="5"/>
        <v>197</v>
      </c>
      <c r="N46">
        <v>2</v>
      </c>
      <c r="O46" t="str">
        <f t="shared" si="6"/>
        <v>Friday</v>
      </c>
      <c r="P46" t="str">
        <f t="shared" si="7"/>
        <v>August</v>
      </c>
      <c r="Q46" t="str">
        <f t="shared" si="8"/>
        <v>Weekend</v>
      </c>
    </row>
    <row r="47" spans="1:17" x14ac:dyDescent="0.3">
      <c r="A47">
        <v>46</v>
      </c>
      <c r="B47" t="s">
        <v>111</v>
      </c>
      <c r="C47" t="s">
        <v>78</v>
      </c>
      <c r="D47" t="s">
        <v>91</v>
      </c>
      <c r="E47" s="6">
        <v>42634</v>
      </c>
      <c r="F47" s="10">
        <v>2769</v>
      </c>
      <c r="G47" t="s">
        <v>156</v>
      </c>
      <c r="H47">
        <f t="shared" ca="1" si="0"/>
        <v>9</v>
      </c>
      <c r="I47" s="12" t="str">
        <f t="shared" ca="1" si="1"/>
        <v>9 year 0 month 15 day</v>
      </c>
      <c r="J47" s="6">
        <f t="shared" si="2"/>
        <v>43729</v>
      </c>
      <c r="K47" s="6">
        <f t="shared" si="3"/>
        <v>42694</v>
      </c>
      <c r="L47" s="6">
        <f t="shared" si="4"/>
        <v>42718</v>
      </c>
      <c r="M47">
        <f t="shared" ca="1" si="5"/>
        <v>196</v>
      </c>
      <c r="N47">
        <v>3</v>
      </c>
      <c r="O47" t="str">
        <f t="shared" si="6"/>
        <v>Wednesday</v>
      </c>
      <c r="P47" t="str">
        <f t="shared" si="7"/>
        <v>December</v>
      </c>
      <c r="Q47" t="str">
        <f t="shared" si="8"/>
        <v>Weekday</v>
      </c>
    </row>
    <row r="48" spans="1:17" x14ac:dyDescent="0.3">
      <c r="A48">
        <v>47</v>
      </c>
      <c r="B48" t="s">
        <v>154</v>
      </c>
      <c r="C48" t="s">
        <v>78</v>
      </c>
      <c r="D48" t="s">
        <v>98</v>
      </c>
      <c r="E48" s="6">
        <v>43998</v>
      </c>
      <c r="F48" s="10">
        <v>8224</v>
      </c>
      <c r="G48" t="s">
        <v>157</v>
      </c>
      <c r="H48">
        <f t="shared" ca="1" si="0"/>
        <v>5</v>
      </c>
      <c r="I48" s="12" t="str">
        <f t="shared" ca="1" si="1"/>
        <v>5 year 3 month 20 day</v>
      </c>
      <c r="J48" s="6">
        <f t="shared" si="2"/>
        <v>45093</v>
      </c>
      <c r="K48" s="6">
        <f t="shared" si="3"/>
        <v>44058</v>
      </c>
      <c r="L48" s="6">
        <f t="shared" si="4"/>
        <v>44082</v>
      </c>
      <c r="M48">
        <f t="shared" ca="1" si="5"/>
        <v>197</v>
      </c>
      <c r="N48">
        <v>2</v>
      </c>
      <c r="O48" t="str">
        <f t="shared" si="6"/>
        <v>Tuesday</v>
      </c>
      <c r="P48" t="str">
        <f t="shared" si="7"/>
        <v>September</v>
      </c>
      <c r="Q48" t="str">
        <f t="shared" si="8"/>
        <v>Weekday</v>
      </c>
    </row>
    <row r="49" spans="1:17" x14ac:dyDescent="0.3">
      <c r="A49">
        <v>48</v>
      </c>
      <c r="B49" t="s">
        <v>158</v>
      </c>
      <c r="C49" t="s">
        <v>74</v>
      </c>
      <c r="D49" t="s">
        <v>98</v>
      </c>
      <c r="E49" s="6">
        <v>44896</v>
      </c>
      <c r="F49" s="10">
        <v>5932</v>
      </c>
      <c r="G49" t="s">
        <v>159</v>
      </c>
      <c r="H49">
        <f t="shared" ca="1" si="0"/>
        <v>2</v>
      </c>
      <c r="I49" s="12" t="str">
        <f t="shared" ca="1" si="1"/>
        <v>2 year 10 month 5 day</v>
      </c>
      <c r="J49" s="6">
        <f t="shared" si="2"/>
        <v>45992</v>
      </c>
      <c r="K49" s="6">
        <f t="shared" si="3"/>
        <v>44956</v>
      </c>
      <c r="L49" s="6">
        <f t="shared" si="4"/>
        <v>44980</v>
      </c>
      <c r="M49">
        <f t="shared" ca="1" si="5"/>
        <v>193</v>
      </c>
      <c r="N49">
        <v>6</v>
      </c>
      <c r="O49" t="str">
        <f t="shared" si="6"/>
        <v>Thursday</v>
      </c>
      <c r="P49" t="str">
        <f t="shared" si="7"/>
        <v>February</v>
      </c>
      <c r="Q49" t="str">
        <f t="shared" si="8"/>
        <v>Weekday</v>
      </c>
    </row>
    <row r="50" spans="1:17" x14ac:dyDescent="0.3">
      <c r="A50">
        <v>49</v>
      </c>
      <c r="B50" t="s">
        <v>160</v>
      </c>
      <c r="C50" t="s">
        <v>90</v>
      </c>
      <c r="D50" t="s">
        <v>75</v>
      </c>
      <c r="E50" s="6">
        <v>44185</v>
      </c>
      <c r="F50" s="10">
        <v>8395</v>
      </c>
      <c r="G50" t="s">
        <v>161</v>
      </c>
      <c r="H50">
        <f t="shared" ca="1" si="0"/>
        <v>4</v>
      </c>
      <c r="I50" s="12" t="str">
        <f t="shared" ca="1" si="1"/>
        <v>4 year 9 month 16 day</v>
      </c>
      <c r="J50" s="6">
        <f t="shared" si="2"/>
        <v>45280</v>
      </c>
      <c r="K50" s="6">
        <f t="shared" si="3"/>
        <v>44245</v>
      </c>
      <c r="L50" s="6">
        <f t="shared" si="4"/>
        <v>44267</v>
      </c>
      <c r="M50">
        <f t="shared" ca="1" si="5"/>
        <v>195</v>
      </c>
      <c r="N50">
        <v>4</v>
      </c>
      <c r="O50" t="str">
        <f t="shared" si="6"/>
        <v>Friday</v>
      </c>
      <c r="P50" t="str">
        <f t="shared" si="7"/>
        <v>March</v>
      </c>
      <c r="Q50" t="str">
        <f t="shared" si="8"/>
        <v>Weekend</v>
      </c>
    </row>
    <row r="51" spans="1:17" x14ac:dyDescent="0.3">
      <c r="A51">
        <v>50</v>
      </c>
      <c r="B51" t="s">
        <v>93</v>
      </c>
      <c r="C51" t="s">
        <v>74</v>
      </c>
      <c r="D51" t="s">
        <v>84</v>
      </c>
      <c r="E51" s="6">
        <v>44565</v>
      </c>
      <c r="F51" s="10">
        <v>3075</v>
      </c>
      <c r="G51" t="s">
        <v>162</v>
      </c>
      <c r="H51">
        <f t="shared" ca="1" si="0"/>
        <v>3</v>
      </c>
      <c r="I51" s="12" t="str">
        <f t="shared" ca="1" si="1"/>
        <v>3 year 9 month 2 day</v>
      </c>
      <c r="J51" s="6">
        <f t="shared" si="2"/>
        <v>45661</v>
      </c>
      <c r="K51" s="6">
        <f t="shared" si="3"/>
        <v>44625</v>
      </c>
      <c r="L51" s="6">
        <f t="shared" si="4"/>
        <v>44649</v>
      </c>
      <c r="M51">
        <f t="shared" ca="1" si="5"/>
        <v>198</v>
      </c>
      <c r="N51">
        <v>1</v>
      </c>
      <c r="O51" t="str">
        <f t="shared" si="6"/>
        <v>Tuesday</v>
      </c>
      <c r="P51" t="str">
        <f t="shared" si="7"/>
        <v>March</v>
      </c>
      <c r="Q51" t="str">
        <f t="shared" si="8"/>
        <v>Weekday</v>
      </c>
    </row>
    <row r="52" spans="1:17" x14ac:dyDescent="0.3">
      <c r="A52">
        <v>51</v>
      </c>
      <c r="B52" t="s">
        <v>163</v>
      </c>
      <c r="C52" t="s">
        <v>90</v>
      </c>
      <c r="D52" t="s">
        <v>91</v>
      </c>
      <c r="E52" s="6">
        <v>44008</v>
      </c>
      <c r="F52" s="10">
        <v>11999</v>
      </c>
      <c r="G52" t="s">
        <v>164</v>
      </c>
      <c r="H52">
        <f t="shared" ca="1" si="0"/>
        <v>5</v>
      </c>
      <c r="I52" s="12" t="str">
        <f t="shared" ca="1" si="1"/>
        <v>5 year 3 month 10 day</v>
      </c>
      <c r="J52" s="6">
        <f t="shared" si="2"/>
        <v>45103</v>
      </c>
      <c r="K52" s="6">
        <f t="shared" si="3"/>
        <v>44068</v>
      </c>
      <c r="L52" s="6">
        <f t="shared" si="4"/>
        <v>44092</v>
      </c>
      <c r="M52">
        <f t="shared" ca="1" si="5"/>
        <v>195</v>
      </c>
      <c r="N52">
        <v>4</v>
      </c>
      <c r="O52" t="str">
        <f t="shared" si="6"/>
        <v>Friday</v>
      </c>
      <c r="P52" t="str">
        <f t="shared" si="7"/>
        <v>September</v>
      </c>
      <c r="Q52" t="str">
        <f t="shared" si="8"/>
        <v>Weekday</v>
      </c>
    </row>
    <row r="53" spans="1:17" x14ac:dyDescent="0.3">
      <c r="A53">
        <v>52</v>
      </c>
      <c r="B53" t="s">
        <v>165</v>
      </c>
      <c r="C53" t="s">
        <v>102</v>
      </c>
      <c r="D53" t="s">
        <v>91</v>
      </c>
      <c r="E53" s="6">
        <v>43961</v>
      </c>
      <c r="F53" s="10">
        <v>5234</v>
      </c>
      <c r="G53" t="s">
        <v>166</v>
      </c>
      <c r="H53">
        <f t="shared" ca="1" si="0"/>
        <v>5</v>
      </c>
      <c r="I53" s="12" t="str">
        <f t="shared" ca="1" si="1"/>
        <v>5 year 4 month 26 day</v>
      </c>
      <c r="J53" s="6">
        <f t="shared" si="2"/>
        <v>45056</v>
      </c>
      <c r="K53" s="6">
        <f t="shared" si="3"/>
        <v>44021</v>
      </c>
      <c r="L53" s="6">
        <f t="shared" si="4"/>
        <v>44043</v>
      </c>
      <c r="M53">
        <f t="shared" ca="1" si="5"/>
        <v>196</v>
      </c>
      <c r="N53">
        <v>3</v>
      </c>
      <c r="O53" t="str">
        <f t="shared" si="6"/>
        <v>Friday</v>
      </c>
      <c r="P53" t="str">
        <f t="shared" si="7"/>
        <v>July</v>
      </c>
      <c r="Q53" t="str">
        <f t="shared" si="8"/>
        <v>Weekend</v>
      </c>
    </row>
    <row r="54" spans="1:17" x14ac:dyDescent="0.3">
      <c r="A54">
        <v>53</v>
      </c>
      <c r="B54" t="s">
        <v>100</v>
      </c>
      <c r="C54" t="s">
        <v>90</v>
      </c>
      <c r="D54" t="s">
        <v>75</v>
      </c>
      <c r="E54" s="6">
        <v>44217</v>
      </c>
      <c r="F54" s="10">
        <v>6068</v>
      </c>
      <c r="G54" t="s">
        <v>167</v>
      </c>
      <c r="H54">
        <f t="shared" ca="1" si="0"/>
        <v>4</v>
      </c>
      <c r="I54" s="12" t="str">
        <f t="shared" ca="1" si="1"/>
        <v>4 year 8 month 15 day</v>
      </c>
      <c r="J54" s="6">
        <f t="shared" si="2"/>
        <v>45312</v>
      </c>
      <c r="K54" s="6">
        <f t="shared" si="3"/>
        <v>44277</v>
      </c>
      <c r="L54" s="6">
        <f t="shared" si="4"/>
        <v>44301</v>
      </c>
      <c r="M54">
        <f t="shared" ca="1" si="5"/>
        <v>196</v>
      </c>
      <c r="N54">
        <v>3</v>
      </c>
      <c r="O54" t="str">
        <f t="shared" si="6"/>
        <v>Thursday</v>
      </c>
      <c r="P54" t="str">
        <f t="shared" si="7"/>
        <v>April</v>
      </c>
      <c r="Q54" t="str">
        <f t="shared" si="8"/>
        <v>Weekday</v>
      </c>
    </row>
    <row r="55" spans="1:17" x14ac:dyDescent="0.3">
      <c r="A55">
        <v>54</v>
      </c>
      <c r="B55" t="s">
        <v>109</v>
      </c>
      <c r="C55" t="s">
        <v>87</v>
      </c>
      <c r="D55" t="s">
        <v>91</v>
      </c>
      <c r="E55" s="6">
        <v>43584</v>
      </c>
      <c r="F55" s="10">
        <v>4703</v>
      </c>
      <c r="G55" t="s">
        <v>168</v>
      </c>
      <c r="H55">
        <f t="shared" ca="1" si="0"/>
        <v>6</v>
      </c>
      <c r="I55" s="12" t="str">
        <f t="shared" ca="1" si="1"/>
        <v>6 year 5 month 7 day</v>
      </c>
      <c r="J55" s="6">
        <f t="shared" si="2"/>
        <v>44680</v>
      </c>
      <c r="K55" s="6">
        <f t="shared" si="3"/>
        <v>43644</v>
      </c>
      <c r="L55" s="6">
        <f t="shared" si="4"/>
        <v>43668</v>
      </c>
      <c r="M55">
        <f t="shared" ca="1" si="5"/>
        <v>194</v>
      </c>
      <c r="N55">
        <v>5</v>
      </c>
      <c r="O55" t="str">
        <f t="shared" si="6"/>
        <v>Monday</v>
      </c>
      <c r="P55" t="str">
        <f t="shared" si="7"/>
        <v>July</v>
      </c>
      <c r="Q55" t="str">
        <f t="shared" si="8"/>
        <v>Weekday</v>
      </c>
    </row>
    <row r="56" spans="1:17" x14ac:dyDescent="0.3">
      <c r="A56">
        <v>55</v>
      </c>
      <c r="B56" t="s">
        <v>107</v>
      </c>
      <c r="C56" t="s">
        <v>87</v>
      </c>
      <c r="D56" t="s">
        <v>81</v>
      </c>
      <c r="E56" s="6">
        <v>43747</v>
      </c>
      <c r="F56" s="10">
        <v>4425</v>
      </c>
      <c r="G56" t="s">
        <v>169</v>
      </c>
      <c r="H56">
        <f t="shared" ca="1" si="0"/>
        <v>5</v>
      </c>
      <c r="I56" s="12" t="str">
        <f t="shared" ca="1" si="1"/>
        <v>5 year 11 month 27 day</v>
      </c>
      <c r="J56" s="6">
        <f t="shared" si="2"/>
        <v>44843</v>
      </c>
      <c r="K56" s="6">
        <f t="shared" si="3"/>
        <v>43807</v>
      </c>
      <c r="L56" s="6">
        <f t="shared" si="4"/>
        <v>43831</v>
      </c>
      <c r="M56">
        <f t="shared" ca="1" si="5"/>
        <v>197</v>
      </c>
      <c r="N56">
        <v>2</v>
      </c>
      <c r="O56" t="str">
        <f t="shared" si="6"/>
        <v>Wednesday</v>
      </c>
      <c r="P56" t="str">
        <f t="shared" si="7"/>
        <v>January</v>
      </c>
      <c r="Q56" t="str">
        <f t="shared" si="8"/>
        <v>Weekday</v>
      </c>
    </row>
    <row r="57" spans="1:17" x14ac:dyDescent="0.3">
      <c r="A57">
        <v>56</v>
      </c>
      <c r="B57" t="s">
        <v>107</v>
      </c>
      <c r="C57" t="s">
        <v>74</v>
      </c>
      <c r="D57" t="s">
        <v>75</v>
      </c>
      <c r="E57" s="6">
        <v>43279</v>
      </c>
      <c r="F57" s="10">
        <v>3456</v>
      </c>
      <c r="G57" t="s">
        <v>170</v>
      </c>
      <c r="H57">
        <f t="shared" ca="1" si="0"/>
        <v>7</v>
      </c>
      <c r="I57" s="12" t="str">
        <f t="shared" ca="1" si="1"/>
        <v>7 year 3 month 8 day</v>
      </c>
      <c r="J57" s="6">
        <f t="shared" si="2"/>
        <v>44375</v>
      </c>
      <c r="K57" s="6">
        <f t="shared" si="3"/>
        <v>43339</v>
      </c>
      <c r="L57" s="6">
        <f t="shared" si="4"/>
        <v>43363</v>
      </c>
      <c r="M57">
        <f t="shared" ca="1" si="5"/>
        <v>195</v>
      </c>
      <c r="N57">
        <v>4</v>
      </c>
      <c r="O57" t="str">
        <f t="shared" si="6"/>
        <v>Thursday</v>
      </c>
      <c r="P57" t="str">
        <f t="shared" si="7"/>
        <v>September</v>
      </c>
      <c r="Q57" t="str">
        <f t="shared" si="8"/>
        <v>Weekday</v>
      </c>
    </row>
    <row r="58" spans="1:17" x14ac:dyDescent="0.3">
      <c r="A58">
        <v>57</v>
      </c>
      <c r="B58" t="s">
        <v>105</v>
      </c>
      <c r="C58" t="s">
        <v>87</v>
      </c>
      <c r="D58" t="s">
        <v>81</v>
      </c>
      <c r="E58" s="6">
        <v>44386</v>
      </c>
      <c r="F58" s="10">
        <v>3468</v>
      </c>
      <c r="G58" t="s">
        <v>171</v>
      </c>
      <c r="H58">
        <f t="shared" ca="1" si="0"/>
        <v>4</v>
      </c>
      <c r="I58" s="12" t="str">
        <f t="shared" ca="1" si="1"/>
        <v>4 year 2 month 27 day</v>
      </c>
      <c r="J58" s="6">
        <f t="shared" si="2"/>
        <v>45482</v>
      </c>
      <c r="K58" s="6">
        <f t="shared" si="3"/>
        <v>44446</v>
      </c>
      <c r="L58" s="6">
        <f t="shared" si="4"/>
        <v>44470</v>
      </c>
      <c r="M58">
        <f t="shared" ca="1" si="5"/>
        <v>196</v>
      </c>
      <c r="N58">
        <v>3</v>
      </c>
      <c r="O58" t="str">
        <f t="shared" si="6"/>
        <v>Friday</v>
      </c>
      <c r="P58" t="str">
        <f t="shared" si="7"/>
        <v>October</v>
      </c>
      <c r="Q58" t="str">
        <f t="shared" si="8"/>
        <v>Weekday</v>
      </c>
    </row>
    <row r="59" spans="1:17" x14ac:dyDescent="0.3">
      <c r="A59">
        <v>58</v>
      </c>
      <c r="B59" t="s">
        <v>172</v>
      </c>
      <c r="C59" t="s">
        <v>90</v>
      </c>
      <c r="D59" t="s">
        <v>91</v>
      </c>
      <c r="E59" s="6">
        <v>43321</v>
      </c>
      <c r="F59" s="10">
        <v>11735</v>
      </c>
      <c r="G59" t="s">
        <v>173</v>
      </c>
      <c r="H59">
        <f t="shared" ca="1" si="0"/>
        <v>7</v>
      </c>
      <c r="I59" s="12" t="str">
        <f t="shared" ca="1" si="1"/>
        <v>7 year 1 month 27 day</v>
      </c>
      <c r="J59" s="6">
        <f t="shared" si="2"/>
        <v>44417</v>
      </c>
      <c r="K59" s="6">
        <f t="shared" si="3"/>
        <v>43381</v>
      </c>
      <c r="L59" s="6">
        <f t="shared" si="4"/>
        <v>43405</v>
      </c>
      <c r="M59">
        <f t="shared" ca="1" si="5"/>
        <v>195</v>
      </c>
      <c r="N59">
        <v>4</v>
      </c>
      <c r="O59" t="str">
        <f t="shared" si="6"/>
        <v>Thursday</v>
      </c>
      <c r="P59" t="str">
        <f t="shared" si="7"/>
        <v>November</v>
      </c>
      <c r="Q59" t="str">
        <f t="shared" si="8"/>
        <v>Weekday</v>
      </c>
    </row>
    <row r="60" spans="1:17" x14ac:dyDescent="0.3">
      <c r="A60">
        <v>59</v>
      </c>
      <c r="B60" t="s">
        <v>154</v>
      </c>
      <c r="C60" t="s">
        <v>90</v>
      </c>
      <c r="D60" t="s">
        <v>98</v>
      </c>
      <c r="E60" s="6">
        <v>44849</v>
      </c>
      <c r="F60" s="10">
        <v>8762</v>
      </c>
      <c r="G60" t="s">
        <v>174</v>
      </c>
      <c r="H60">
        <f t="shared" ca="1" si="0"/>
        <v>2</v>
      </c>
      <c r="I60" s="12" t="str">
        <f t="shared" ca="1" si="1"/>
        <v>2 year 11 month 21 day</v>
      </c>
      <c r="J60" s="6">
        <f t="shared" si="2"/>
        <v>45945</v>
      </c>
      <c r="K60" s="6">
        <f t="shared" si="3"/>
        <v>44909</v>
      </c>
      <c r="L60" s="6">
        <f t="shared" si="4"/>
        <v>44932</v>
      </c>
      <c r="M60">
        <f t="shared" ca="1" si="5"/>
        <v>197</v>
      </c>
      <c r="N60">
        <v>2</v>
      </c>
      <c r="O60" t="str">
        <f t="shared" si="6"/>
        <v>Friday</v>
      </c>
      <c r="P60" t="str">
        <f t="shared" si="7"/>
        <v>January</v>
      </c>
      <c r="Q60" t="str">
        <f t="shared" si="8"/>
        <v>Weekend</v>
      </c>
    </row>
    <row r="61" spans="1:17" x14ac:dyDescent="0.3">
      <c r="A61">
        <v>60</v>
      </c>
      <c r="B61" t="s">
        <v>125</v>
      </c>
      <c r="C61" t="s">
        <v>90</v>
      </c>
      <c r="D61" t="s">
        <v>84</v>
      </c>
      <c r="E61" s="6">
        <v>44537</v>
      </c>
      <c r="F61" s="10">
        <v>7678</v>
      </c>
      <c r="G61" t="s">
        <v>175</v>
      </c>
      <c r="H61">
        <f t="shared" ca="1" si="0"/>
        <v>3</v>
      </c>
      <c r="I61" s="12" t="str">
        <f t="shared" ca="1" si="1"/>
        <v>3 year 9 month 29 day</v>
      </c>
      <c r="J61" s="6">
        <f t="shared" si="2"/>
        <v>45633</v>
      </c>
      <c r="K61" s="6">
        <f t="shared" si="3"/>
        <v>44597</v>
      </c>
      <c r="L61" s="6">
        <f t="shared" si="4"/>
        <v>44621</v>
      </c>
      <c r="M61">
        <f t="shared" ca="1" si="5"/>
        <v>198</v>
      </c>
      <c r="N61">
        <v>1</v>
      </c>
      <c r="O61" t="str">
        <f t="shared" si="6"/>
        <v>Tuesday</v>
      </c>
      <c r="P61" t="str">
        <f t="shared" si="7"/>
        <v>March</v>
      </c>
      <c r="Q61" t="str">
        <f t="shared" si="8"/>
        <v>Weekday</v>
      </c>
    </row>
    <row r="62" spans="1:17" x14ac:dyDescent="0.3">
      <c r="A62">
        <v>61</v>
      </c>
      <c r="B62" t="s">
        <v>176</v>
      </c>
      <c r="C62" t="s">
        <v>74</v>
      </c>
      <c r="D62" t="s">
        <v>75</v>
      </c>
      <c r="E62" s="6">
        <v>43189</v>
      </c>
      <c r="F62" s="10">
        <v>11700</v>
      </c>
      <c r="G62" t="s">
        <v>177</v>
      </c>
      <c r="H62">
        <f t="shared" ca="1" si="0"/>
        <v>7</v>
      </c>
      <c r="I62" s="12" t="str">
        <f t="shared" ca="1" si="1"/>
        <v>7 year 6 month 6 day</v>
      </c>
      <c r="J62" s="6">
        <f t="shared" si="2"/>
        <v>44285</v>
      </c>
      <c r="K62" s="6">
        <f t="shared" si="3"/>
        <v>43249</v>
      </c>
      <c r="L62" s="6">
        <f t="shared" si="4"/>
        <v>43273</v>
      </c>
      <c r="M62">
        <f t="shared" ca="1" si="5"/>
        <v>194</v>
      </c>
      <c r="N62">
        <v>5</v>
      </c>
      <c r="O62" t="str">
        <f t="shared" si="6"/>
        <v>Friday</v>
      </c>
      <c r="P62" t="str">
        <f t="shared" si="7"/>
        <v>June</v>
      </c>
      <c r="Q62" t="str">
        <f t="shared" si="8"/>
        <v>Weekday</v>
      </c>
    </row>
    <row r="63" spans="1:17" x14ac:dyDescent="0.3">
      <c r="A63">
        <v>62</v>
      </c>
      <c r="B63" t="s">
        <v>86</v>
      </c>
      <c r="C63" t="s">
        <v>90</v>
      </c>
      <c r="D63" t="s">
        <v>91</v>
      </c>
      <c r="E63" s="6">
        <v>43234</v>
      </c>
      <c r="F63" s="10">
        <v>11727</v>
      </c>
      <c r="G63" t="s">
        <v>178</v>
      </c>
      <c r="H63">
        <f t="shared" ca="1" si="0"/>
        <v>7</v>
      </c>
      <c r="I63" s="12" t="str">
        <f t="shared" ca="1" si="1"/>
        <v>7 year 4 month 22 day</v>
      </c>
      <c r="J63" s="6">
        <f t="shared" si="2"/>
        <v>44330</v>
      </c>
      <c r="K63" s="6">
        <f t="shared" si="3"/>
        <v>43294</v>
      </c>
      <c r="L63" s="6">
        <f t="shared" si="4"/>
        <v>43318</v>
      </c>
      <c r="M63">
        <f t="shared" ca="1" si="5"/>
        <v>195</v>
      </c>
      <c r="N63">
        <v>4</v>
      </c>
      <c r="O63" t="str">
        <f t="shared" si="6"/>
        <v>Monday</v>
      </c>
      <c r="P63" t="str">
        <f t="shared" si="7"/>
        <v>August</v>
      </c>
      <c r="Q63" t="str">
        <f t="shared" si="8"/>
        <v>Weekday</v>
      </c>
    </row>
    <row r="64" spans="1:17" x14ac:dyDescent="0.3">
      <c r="A64">
        <v>63</v>
      </c>
      <c r="B64" t="s">
        <v>125</v>
      </c>
      <c r="C64" t="s">
        <v>90</v>
      </c>
      <c r="D64" t="s">
        <v>81</v>
      </c>
      <c r="E64" s="6">
        <v>42280</v>
      </c>
      <c r="F64" s="10">
        <v>5240</v>
      </c>
      <c r="G64" t="s">
        <v>179</v>
      </c>
      <c r="H64">
        <f t="shared" ca="1" si="0"/>
        <v>10</v>
      </c>
      <c r="I64" s="12" t="str">
        <f t="shared" ca="1" si="1"/>
        <v>10 year 0 month 3 day</v>
      </c>
      <c r="J64" s="6">
        <f t="shared" si="2"/>
        <v>43376</v>
      </c>
      <c r="K64" s="6">
        <f t="shared" si="3"/>
        <v>42340</v>
      </c>
      <c r="L64" s="6">
        <f t="shared" si="4"/>
        <v>42363</v>
      </c>
      <c r="M64">
        <f t="shared" ca="1" si="5"/>
        <v>195</v>
      </c>
      <c r="N64">
        <v>4</v>
      </c>
      <c r="O64" t="str">
        <f t="shared" si="6"/>
        <v>Friday</v>
      </c>
      <c r="P64" t="str">
        <f t="shared" si="7"/>
        <v>December</v>
      </c>
      <c r="Q64" t="str">
        <f t="shared" si="8"/>
        <v>Weekend</v>
      </c>
    </row>
    <row r="65" spans="1:17" x14ac:dyDescent="0.3">
      <c r="A65">
        <v>64</v>
      </c>
      <c r="B65" t="s">
        <v>93</v>
      </c>
      <c r="C65" t="s">
        <v>102</v>
      </c>
      <c r="D65" t="s">
        <v>75</v>
      </c>
      <c r="E65" s="6">
        <v>42130</v>
      </c>
      <c r="F65" s="10">
        <v>9973</v>
      </c>
      <c r="G65" t="s">
        <v>180</v>
      </c>
      <c r="H65">
        <f t="shared" ca="1" si="0"/>
        <v>10</v>
      </c>
      <c r="I65" s="12" t="str">
        <f t="shared" ca="1" si="1"/>
        <v>10 year 5 month 0 day</v>
      </c>
      <c r="J65" s="6">
        <f t="shared" si="2"/>
        <v>43226</v>
      </c>
      <c r="K65" s="6">
        <f t="shared" si="3"/>
        <v>42190</v>
      </c>
      <c r="L65" s="6">
        <f t="shared" si="4"/>
        <v>42214</v>
      </c>
      <c r="M65">
        <f t="shared" ca="1" si="5"/>
        <v>197</v>
      </c>
      <c r="N65">
        <v>2</v>
      </c>
      <c r="O65" t="str">
        <f t="shared" si="6"/>
        <v>Wednesday</v>
      </c>
      <c r="P65" t="str">
        <f t="shared" si="7"/>
        <v>July</v>
      </c>
      <c r="Q65" t="str">
        <f t="shared" si="8"/>
        <v>Weekday</v>
      </c>
    </row>
    <row r="66" spans="1:17" x14ac:dyDescent="0.3">
      <c r="A66">
        <v>65</v>
      </c>
      <c r="B66" t="s">
        <v>181</v>
      </c>
      <c r="C66" t="s">
        <v>102</v>
      </c>
      <c r="D66" t="s">
        <v>75</v>
      </c>
      <c r="E66" s="6">
        <v>43251</v>
      </c>
      <c r="F66" s="10">
        <v>9851</v>
      </c>
      <c r="G66" t="s">
        <v>182</v>
      </c>
      <c r="H66">
        <f t="shared" ca="1" si="0"/>
        <v>7</v>
      </c>
      <c r="I66" s="12" t="str">
        <f t="shared" ca="1" si="1"/>
        <v>7 year 4 month 5 day</v>
      </c>
      <c r="J66" s="6">
        <f t="shared" si="2"/>
        <v>44347</v>
      </c>
      <c r="K66" s="6">
        <f t="shared" si="3"/>
        <v>43311</v>
      </c>
      <c r="L66" s="6">
        <f t="shared" si="4"/>
        <v>43335</v>
      </c>
      <c r="M66">
        <f t="shared" ca="1" si="5"/>
        <v>194</v>
      </c>
      <c r="N66">
        <v>5</v>
      </c>
      <c r="O66" t="str">
        <f t="shared" si="6"/>
        <v>Thursday</v>
      </c>
      <c r="P66" t="str">
        <f t="shared" si="7"/>
        <v>August</v>
      </c>
      <c r="Q66" t="str">
        <f t="shared" si="8"/>
        <v>Weekday</v>
      </c>
    </row>
    <row r="67" spans="1:17" x14ac:dyDescent="0.3">
      <c r="A67">
        <v>66</v>
      </c>
      <c r="B67" t="s">
        <v>183</v>
      </c>
      <c r="C67" t="s">
        <v>87</v>
      </c>
      <c r="D67" t="s">
        <v>75</v>
      </c>
      <c r="E67" s="6">
        <v>44479</v>
      </c>
      <c r="F67" s="10">
        <v>5749</v>
      </c>
      <c r="G67" t="s">
        <v>184</v>
      </c>
      <c r="H67">
        <f t="shared" ref="H67:H130" ca="1" si="9">DATEDIF(E67,TODAY(),"Y")</f>
        <v>3</v>
      </c>
      <c r="I67" s="12" t="str">
        <f t="shared" ref="I67:I130" ca="1" si="10">DATEDIF(E67,TODAY(),"Y")&amp;" year "&amp;DATEDIF(E67,TODAY(),"YM")&amp;" month "&amp;DATEDIF(E67,TODAY(),"MD")&amp;" day"</f>
        <v>3 year 11 month 26 day</v>
      </c>
      <c r="J67" s="6">
        <f t="shared" ref="J67:J130" si="11">EDATE(E67,36)</f>
        <v>45575</v>
      </c>
      <c r="K67" s="6">
        <f t="shared" ref="K67:K130" si="12">E67+60</f>
        <v>44539</v>
      </c>
      <c r="L67" s="6">
        <f t="shared" ref="L67:L130" si="13">WORKDAY(E67,60)</f>
        <v>44561</v>
      </c>
      <c r="M67">
        <f t="shared" ref="M67:M130" ca="1" si="14">NETWORKDAYS(DATE(2025,1,1),TODAY())-N67</f>
        <v>197</v>
      </c>
      <c r="N67">
        <v>2</v>
      </c>
      <c r="O67" t="str">
        <f t="shared" ref="O67:O130" si="15">TEXT(L67,"DDDD")</f>
        <v>Friday</v>
      </c>
      <c r="P67" t="str">
        <f t="shared" ref="P67:P130" si="16">TEXT(L67,"MMMM")</f>
        <v>December</v>
      </c>
      <c r="Q67" t="str">
        <f t="shared" ref="Q67:Q130" si="17">IF(WEEKDAY(E67,2)&gt;5,"Weekend","Weekday")</f>
        <v>Weekend</v>
      </c>
    </row>
    <row r="68" spans="1:17" x14ac:dyDescent="0.3">
      <c r="A68">
        <v>67</v>
      </c>
      <c r="B68" t="s">
        <v>185</v>
      </c>
      <c r="C68" t="s">
        <v>90</v>
      </c>
      <c r="D68" t="s">
        <v>75</v>
      </c>
      <c r="E68" s="6">
        <v>43322</v>
      </c>
      <c r="F68" s="10">
        <v>8794</v>
      </c>
      <c r="G68" t="s">
        <v>186</v>
      </c>
      <c r="H68">
        <f t="shared" ca="1" si="9"/>
        <v>7</v>
      </c>
      <c r="I68" s="12" t="str">
        <f t="shared" ca="1" si="10"/>
        <v>7 year 1 month 26 day</v>
      </c>
      <c r="J68" s="6">
        <f t="shared" si="11"/>
        <v>44418</v>
      </c>
      <c r="K68" s="6">
        <f t="shared" si="12"/>
        <v>43382</v>
      </c>
      <c r="L68" s="6">
        <f t="shared" si="13"/>
        <v>43406</v>
      </c>
      <c r="M68">
        <f t="shared" ca="1" si="14"/>
        <v>196</v>
      </c>
      <c r="N68">
        <v>3</v>
      </c>
      <c r="O68" t="str">
        <f t="shared" si="15"/>
        <v>Friday</v>
      </c>
      <c r="P68" t="str">
        <f t="shared" si="16"/>
        <v>November</v>
      </c>
      <c r="Q68" t="str">
        <f t="shared" si="17"/>
        <v>Weekday</v>
      </c>
    </row>
    <row r="69" spans="1:17" x14ac:dyDescent="0.3">
      <c r="A69">
        <v>68</v>
      </c>
      <c r="B69" t="s">
        <v>100</v>
      </c>
      <c r="C69" t="s">
        <v>87</v>
      </c>
      <c r="D69" t="s">
        <v>98</v>
      </c>
      <c r="E69" s="6">
        <v>43666</v>
      </c>
      <c r="F69" s="10">
        <v>4469</v>
      </c>
      <c r="G69" t="s">
        <v>187</v>
      </c>
      <c r="H69">
        <f t="shared" ca="1" si="9"/>
        <v>6</v>
      </c>
      <c r="I69" s="12" t="str">
        <f t="shared" ca="1" si="10"/>
        <v>6 year 2 month 16 day</v>
      </c>
      <c r="J69" s="6">
        <f t="shared" si="11"/>
        <v>44762</v>
      </c>
      <c r="K69" s="6">
        <f t="shared" si="12"/>
        <v>43726</v>
      </c>
      <c r="L69" s="6">
        <f t="shared" si="13"/>
        <v>43749</v>
      </c>
      <c r="M69">
        <f t="shared" ca="1" si="14"/>
        <v>193</v>
      </c>
      <c r="N69">
        <v>6</v>
      </c>
      <c r="O69" t="str">
        <f t="shared" si="15"/>
        <v>Friday</v>
      </c>
      <c r="P69" t="str">
        <f t="shared" si="16"/>
        <v>October</v>
      </c>
      <c r="Q69" t="str">
        <f t="shared" si="17"/>
        <v>Weekend</v>
      </c>
    </row>
    <row r="70" spans="1:17" x14ac:dyDescent="0.3">
      <c r="A70">
        <v>69</v>
      </c>
      <c r="B70" t="s">
        <v>73</v>
      </c>
      <c r="C70" t="s">
        <v>102</v>
      </c>
      <c r="D70" t="s">
        <v>84</v>
      </c>
      <c r="E70" s="6">
        <v>42896</v>
      </c>
      <c r="F70" s="10">
        <v>6970</v>
      </c>
      <c r="G70" t="s">
        <v>188</v>
      </c>
      <c r="H70">
        <f t="shared" ca="1" si="9"/>
        <v>8</v>
      </c>
      <c r="I70" s="12" t="str">
        <f t="shared" ca="1" si="10"/>
        <v>8 year 3 month 26 day</v>
      </c>
      <c r="J70" s="6">
        <f t="shared" si="11"/>
        <v>43992</v>
      </c>
      <c r="K70" s="6">
        <f t="shared" si="12"/>
        <v>42956</v>
      </c>
      <c r="L70" s="6">
        <f t="shared" si="13"/>
        <v>42979</v>
      </c>
      <c r="M70">
        <f t="shared" ca="1" si="14"/>
        <v>193</v>
      </c>
      <c r="N70">
        <v>6</v>
      </c>
      <c r="O70" t="str">
        <f t="shared" si="15"/>
        <v>Friday</v>
      </c>
      <c r="P70" t="str">
        <f t="shared" si="16"/>
        <v>September</v>
      </c>
      <c r="Q70" t="str">
        <f t="shared" si="17"/>
        <v>Weekend</v>
      </c>
    </row>
    <row r="71" spans="1:17" x14ac:dyDescent="0.3">
      <c r="A71">
        <v>70</v>
      </c>
      <c r="B71" t="s">
        <v>160</v>
      </c>
      <c r="C71" t="s">
        <v>90</v>
      </c>
      <c r="D71" t="s">
        <v>75</v>
      </c>
      <c r="E71" s="6">
        <v>44038</v>
      </c>
      <c r="F71" s="10">
        <v>10820</v>
      </c>
      <c r="G71" t="s">
        <v>189</v>
      </c>
      <c r="H71">
        <f t="shared" ca="1" si="9"/>
        <v>5</v>
      </c>
      <c r="I71" s="12" t="str">
        <f t="shared" ca="1" si="10"/>
        <v>5 year 2 month 10 day</v>
      </c>
      <c r="J71" s="6">
        <f t="shared" si="11"/>
        <v>45133</v>
      </c>
      <c r="K71" s="6">
        <f t="shared" si="12"/>
        <v>44098</v>
      </c>
      <c r="L71" s="6">
        <f t="shared" si="13"/>
        <v>44120</v>
      </c>
      <c r="M71">
        <f t="shared" ca="1" si="14"/>
        <v>193</v>
      </c>
      <c r="N71">
        <v>6</v>
      </c>
      <c r="O71" t="str">
        <f t="shared" si="15"/>
        <v>Friday</v>
      </c>
      <c r="P71" t="str">
        <f t="shared" si="16"/>
        <v>October</v>
      </c>
      <c r="Q71" t="str">
        <f t="shared" si="17"/>
        <v>Weekend</v>
      </c>
    </row>
    <row r="72" spans="1:17" x14ac:dyDescent="0.3">
      <c r="A72">
        <v>71</v>
      </c>
      <c r="B72" t="s">
        <v>190</v>
      </c>
      <c r="C72" t="s">
        <v>102</v>
      </c>
      <c r="D72" t="s">
        <v>91</v>
      </c>
      <c r="E72" s="6">
        <v>44721</v>
      </c>
      <c r="F72" s="10">
        <v>10019</v>
      </c>
      <c r="G72" t="s">
        <v>191</v>
      </c>
      <c r="H72">
        <f t="shared" ca="1" si="9"/>
        <v>3</v>
      </c>
      <c r="I72" s="12" t="str">
        <f t="shared" ca="1" si="10"/>
        <v>3 year 3 month 27 day</v>
      </c>
      <c r="J72" s="6">
        <f t="shared" si="11"/>
        <v>45817</v>
      </c>
      <c r="K72" s="6">
        <f t="shared" si="12"/>
        <v>44781</v>
      </c>
      <c r="L72" s="6">
        <f t="shared" si="13"/>
        <v>44805</v>
      </c>
      <c r="M72">
        <f t="shared" ca="1" si="14"/>
        <v>196</v>
      </c>
      <c r="N72">
        <v>3</v>
      </c>
      <c r="O72" t="str">
        <f t="shared" si="15"/>
        <v>Thursday</v>
      </c>
      <c r="P72" t="str">
        <f t="shared" si="16"/>
        <v>September</v>
      </c>
      <c r="Q72" t="str">
        <f t="shared" si="17"/>
        <v>Weekday</v>
      </c>
    </row>
    <row r="73" spans="1:17" x14ac:dyDescent="0.3">
      <c r="A73">
        <v>72</v>
      </c>
      <c r="B73" t="s">
        <v>154</v>
      </c>
      <c r="C73" t="s">
        <v>74</v>
      </c>
      <c r="D73" t="s">
        <v>98</v>
      </c>
      <c r="E73" s="6">
        <v>43523</v>
      </c>
      <c r="F73" s="10">
        <v>3698</v>
      </c>
      <c r="G73" t="s">
        <v>192</v>
      </c>
      <c r="H73">
        <f t="shared" ca="1" si="9"/>
        <v>6</v>
      </c>
      <c r="I73" s="12" t="str">
        <f t="shared" ca="1" si="10"/>
        <v>6 year 7 month 9 day</v>
      </c>
      <c r="J73" s="6">
        <f t="shared" si="11"/>
        <v>44619</v>
      </c>
      <c r="K73" s="6">
        <f t="shared" si="12"/>
        <v>43583</v>
      </c>
      <c r="L73" s="6">
        <f t="shared" si="13"/>
        <v>43607</v>
      </c>
      <c r="M73">
        <f t="shared" ca="1" si="14"/>
        <v>195</v>
      </c>
      <c r="N73">
        <v>4</v>
      </c>
      <c r="O73" t="str">
        <f t="shared" si="15"/>
        <v>Wednesday</v>
      </c>
      <c r="P73" t="str">
        <f t="shared" si="16"/>
        <v>May</v>
      </c>
      <c r="Q73" t="str">
        <f t="shared" si="17"/>
        <v>Weekday</v>
      </c>
    </row>
    <row r="74" spans="1:17" x14ac:dyDescent="0.3">
      <c r="A74">
        <v>73</v>
      </c>
      <c r="B74" t="s">
        <v>121</v>
      </c>
      <c r="C74" t="s">
        <v>90</v>
      </c>
      <c r="D74" t="s">
        <v>81</v>
      </c>
      <c r="E74" s="6">
        <v>44363</v>
      </c>
      <c r="F74" s="10">
        <v>7738</v>
      </c>
      <c r="G74" t="s">
        <v>193</v>
      </c>
      <c r="H74">
        <f t="shared" ca="1" si="9"/>
        <v>4</v>
      </c>
      <c r="I74" s="12" t="str">
        <f t="shared" ca="1" si="10"/>
        <v>4 year 3 month 20 day</v>
      </c>
      <c r="J74" s="6">
        <f t="shared" si="11"/>
        <v>45459</v>
      </c>
      <c r="K74" s="6">
        <f t="shared" si="12"/>
        <v>44423</v>
      </c>
      <c r="L74" s="6">
        <f t="shared" si="13"/>
        <v>44447</v>
      </c>
      <c r="M74">
        <f t="shared" ca="1" si="14"/>
        <v>194</v>
      </c>
      <c r="N74">
        <v>5</v>
      </c>
      <c r="O74" t="str">
        <f t="shared" si="15"/>
        <v>Wednesday</v>
      </c>
      <c r="P74" t="str">
        <f t="shared" si="16"/>
        <v>September</v>
      </c>
      <c r="Q74" t="str">
        <f t="shared" si="17"/>
        <v>Weekday</v>
      </c>
    </row>
    <row r="75" spans="1:17" x14ac:dyDescent="0.3">
      <c r="A75">
        <v>74</v>
      </c>
      <c r="B75" t="s">
        <v>100</v>
      </c>
      <c r="C75" t="s">
        <v>87</v>
      </c>
      <c r="D75" t="s">
        <v>75</v>
      </c>
      <c r="E75" s="6">
        <v>44479</v>
      </c>
      <c r="F75" s="10">
        <v>8589</v>
      </c>
      <c r="G75" t="s">
        <v>194</v>
      </c>
      <c r="H75">
        <f t="shared" ca="1" si="9"/>
        <v>3</v>
      </c>
      <c r="I75" s="12" t="str">
        <f t="shared" ca="1" si="10"/>
        <v>3 year 11 month 26 day</v>
      </c>
      <c r="J75" s="6">
        <f t="shared" si="11"/>
        <v>45575</v>
      </c>
      <c r="K75" s="6">
        <f t="shared" si="12"/>
        <v>44539</v>
      </c>
      <c r="L75" s="6">
        <f t="shared" si="13"/>
        <v>44561</v>
      </c>
      <c r="M75">
        <f t="shared" ca="1" si="14"/>
        <v>197</v>
      </c>
      <c r="N75">
        <v>2</v>
      </c>
      <c r="O75" t="str">
        <f t="shared" si="15"/>
        <v>Friday</v>
      </c>
      <c r="P75" t="str">
        <f t="shared" si="16"/>
        <v>December</v>
      </c>
      <c r="Q75" t="str">
        <f t="shared" si="17"/>
        <v>Weekend</v>
      </c>
    </row>
    <row r="76" spans="1:17" x14ac:dyDescent="0.3">
      <c r="A76">
        <v>75</v>
      </c>
      <c r="B76" t="s">
        <v>100</v>
      </c>
      <c r="C76" t="s">
        <v>78</v>
      </c>
      <c r="D76" t="s">
        <v>81</v>
      </c>
      <c r="E76" s="6">
        <v>44166</v>
      </c>
      <c r="F76" s="10">
        <v>10205</v>
      </c>
      <c r="G76" t="s">
        <v>195</v>
      </c>
      <c r="H76">
        <f t="shared" ca="1" si="9"/>
        <v>4</v>
      </c>
      <c r="I76" s="12" t="str">
        <f t="shared" ca="1" si="10"/>
        <v>4 year 10 month 5 day</v>
      </c>
      <c r="J76" s="6">
        <f t="shared" si="11"/>
        <v>45261</v>
      </c>
      <c r="K76" s="6">
        <f t="shared" si="12"/>
        <v>44226</v>
      </c>
      <c r="L76" s="6">
        <f t="shared" si="13"/>
        <v>44250</v>
      </c>
      <c r="M76">
        <f t="shared" ca="1" si="14"/>
        <v>196</v>
      </c>
      <c r="N76">
        <v>3</v>
      </c>
      <c r="O76" t="str">
        <f t="shared" si="15"/>
        <v>Tuesday</v>
      </c>
      <c r="P76" t="str">
        <f t="shared" si="16"/>
        <v>February</v>
      </c>
      <c r="Q76" t="str">
        <f t="shared" si="17"/>
        <v>Weekday</v>
      </c>
    </row>
    <row r="77" spans="1:17" x14ac:dyDescent="0.3">
      <c r="A77">
        <v>76</v>
      </c>
      <c r="B77" t="s">
        <v>146</v>
      </c>
      <c r="C77" t="s">
        <v>87</v>
      </c>
      <c r="D77" t="s">
        <v>75</v>
      </c>
      <c r="E77" s="6">
        <v>42307</v>
      </c>
      <c r="F77" s="10">
        <v>3486</v>
      </c>
      <c r="G77" t="s">
        <v>196</v>
      </c>
      <c r="H77">
        <f t="shared" ca="1" si="9"/>
        <v>9</v>
      </c>
      <c r="I77" s="12" t="str">
        <f t="shared" ca="1" si="10"/>
        <v>9 year 11 month 6 day</v>
      </c>
      <c r="J77" s="6">
        <f t="shared" si="11"/>
        <v>43403</v>
      </c>
      <c r="K77" s="6">
        <f t="shared" si="12"/>
        <v>42367</v>
      </c>
      <c r="L77" s="6">
        <f t="shared" si="13"/>
        <v>42391</v>
      </c>
      <c r="M77">
        <f t="shared" ca="1" si="14"/>
        <v>196</v>
      </c>
      <c r="N77">
        <v>3</v>
      </c>
      <c r="O77" t="str">
        <f t="shared" si="15"/>
        <v>Friday</v>
      </c>
      <c r="P77" t="str">
        <f t="shared" si="16"/>
        <v>January</v>
      </c>
      <c r="Q77" t="str">
        <f t="shared" si="17"/>
        <v>Weekday</v>
      </c>
    </row>
    <row r="78" spans="1:17" x14ac:dyDescent="0.3">
      <c r="A78">
        <v>77</v>
      </c>
      <c r="B78" t="s">
        <v>131</v>
      </c>
      <c r="C78" t="s">
        <v>90</v>
      </c>
      <c r="D78" t="s">
        <v>91</v>
      </c>
      <c r="E78" s="6">
        <v>42349</v>
      </c>
      <c r="F78" s="10">
        <v>7409</v>
      </c>
      <c r="G78" t="s">
        <v>197</v>
      </c>
      <c r="H78">
        <f t="shared" ca="1" si="9"/>
        <v>9</v>
      </c>
      <c r="I78" s="12" t="str">
        <f t="shared" ca="1" si="10"/>
        <v>9 year 9 month 25 day</v>
      </c>
      <c r="J78" s="6">
        <f t="shared" si="11"/>
        <v>43445</v>
      </c>
      <c r="K78" s="6">
        <f t="shared" si="12"/>
        <v>42409</v>
      </c>
      <c r="L78" s="6">
        <f t="shared" si="13"/>
        <v>42433</v>
      </c>
      <c r="M78">
        <f t="shared" ca="1" si="14"/>
        <v>196</v>
      </c>
      <c r="N78">
        <v>3</v>
      </c>
      <c r="O78" t="str">
        <f t="shared" si="15"/>
        <v>Friday</v>
      </c>
      <c r="P78" t="str">
        <f t="shared" si="16"/>
        <v>March</v>
      </c>
      <c r="Q78" t="str">
        <f t="shared" si="17"/>
        <v>Weekday</v>
      </c>
    </row>
    <row r="79" spans="1:17" x14ac:dyDescent="0.3">
      <c r="A79">
        <v>78</v>
      </c>
      <c r="B79" t="s">
        <v>135</v>
      </c>
      <c r="C79" t="s">
        <v>90</v>
      </c>
      <c r="D79" t="s">
        <v>84</v>
      </c>
      <c r="E79" s="6">
        <v>44853</v>
      </c>
      <c r="F79" s="10">
        <v>5572</v>
      </c>
      <c r="G79" t="s">
        <v>198</v>
      </c>
      <c r="H79">
        <f t="shared" ca="1" si="9"/>
        <v>2</v>
      </c>
      <c r="I79" s="12" t="str">
        <f t="shared" ca="1" si="10"/>
        <v>2 year 11 month 17 day</v>
      </c>
      <c r="J79" s="6">
        <f t="shared" si="11"/>
        <v>45949</v>
      </c>
      <c r="K79" s="6">
        <f t="shared" si="12"/>
        <v>44913</v>
      </c>
      <c r="L79" s="6">
        <f t="shared" si="13"/>
        <v>44937</v>
      </c>
      <c r="M79">
        <f t="shared" ca="1" si="14"/>
        <v>198</v>
      </c>
      <c r="N79">
        <v>1</v>
      </c>
      <c r="O79" t="str">
        <f t="shared" si="15"/>
        <v>Wednesday</v>
      </c>
      <c r="P79" t="str">
        <f t="shared" si="16"/>
        <v>January</v>
      </c>
      <c r="Q79" t="str">
        <f t="shared" si="17"/>
        <v>Weekday</v>
      </c>
    </row>
    <row r="80" spans="1:17" x14ac:dyDescent="0.3">
      <c r="A80">
        <v>79</v>
      </c>
      <c r="B80" t="s">
        <v>80</v>
      </c>
      <c r="C80" t="s">
        <v>78</v>
      </c>
      <c r="D80" t="s">
        <v>91</v>
      </c>
      <c r="E80" s="6">
        <v>44004</v>
      </c>
      <c r="F80" s="10">
        <v>5624</v>
      </c>
      <c r="G80" t="s">
        <v>199</v>
      </c>
      <c r="H80">
        <f t="shared" ca="1" si="9"/>
        <v>5</v>
      </c>
      <c r="I80" s="12" t="str">
        <f t="shared" ca="1" si="10"/>
        <v>5 year 3 month 14 day</v>
      </c>
      <c r="J80" s="6">
        <f t="shared" si="11"/>
        <v>45099</v>
      </c>
      <c r="K80" s="6">
        <f t="shared" si="12"/>
        <v>44064</v>
      </c>
      <c r="L80" s="6">
        <f t="shared" si="13"/>
        <v>44088</v>
      </c>
      <c r="M80">
        <f t="shared" ca="1" si="14"/>
        <v>196</v>
      </c>
      <c r="N80">
        <v>3</v>
      </c>
      <c r="O80" t="str">
        <f t="shared" si="15"/>
        <v>Monday</v>
      </c>
      <c r="P80" t="str">
        <f t="shared" si="16"/>
        <v>September</v>
      </c>
      <c r="Q80" t="str">
        <f t="shared" si="17"/>
        <v>Weekday</v>
      </c>
    </row>
    <row r="81" spans="1:17" x14ac:dyDescent="0.3">
      <c r="A81">
        <v>80</v>
      </c>
      <c r="B81" t="s">
        <v>125</v>
      </c>
      <c r="C81" t="s">
        <v>74</v>
      </c>
      <c r="D81" t="s">
        <v>75</v>
      </c>
      <c r="E81" s="6">
        <v>43097</v>
      </c>
      <c r="F81" s="10">
        <v>10625</v>
      </c>
      <c r="G81" t="s">
        <v>200</v>
      </c>
      <c r="H81">
        <f t="shared" ca="1" si="9"/>
        <v>7</v>
      </c>
      <c r="I81" s="12" t="str">
        <f t="shared" ca="1" si="10"/>
        <v>7 year 9 month 8 day</v>
      </c>
      <c r="J81" s="6">
        <f t="shared" si="11"/>
        <v>44193</v>
      </c>
      <c r="K81" s="6">
        <f t="shared" si="12"/>
        <v>43157</v>
      </c>
      <c r="L81" s="6">
        <f t="shared" si="13"/>
        <v>43181</v>
      </c>
      <c r="M81">
        <f t="shared" ca="1" si="14"/>
        <v>196</v>
      </c>
      <c r="N81">
        <v>3</v>
      </c>
      <c r="O81" t="str">
        <f t="shared" si="15"/>
        <v>Thursday</v>
      </c>
      <c r="P81" t="str">
        <f t="shared" si="16"/>
        <v>March</v>
      </c>
      <c r="Q81" t="str">
        <f t="shared" si="17"/>
        <v>Weekday</v>
      </c>
    </row>
    <row r="82" spans="1:17" x14ac:dyDescent="0.3">
      <c r="A82">
        <v>81</v>
      </c>
      <c r="B82" t="s">
        <v>89</v>
      </c>
      <c r="C82" t="s">
        <v>90</v>
      </c>
      <c r="D82" t="s">
        <v>91</v>
      </c>
      <c r="E82" s="6">
        <v>43014</v>
      </c>
      <c r="F82" s="10">
        <v>3203</v>
      </c>
      <c r="G82" t="s">
        <v>201</v>
      </c>
      <c r="H82">
        <f t="shared" ca="1" si="9"/>
        <v>8</v>
      </c>
      <c r="I82" s="12" t="str">
        <f t="shared" ca="1" si="10"/>
        <v>8 year 0 month 0 day</v>
      </c>
      <c r="J82" s="6">
        <f t="shared" si="11"/>
        <v>44110</v>
      </c>
      <c r="K82" s="6">
        <f t="shared" si="12"/>
        <v>43074</v>
      </c>
      <c r="L82" s="6">
        <f t="shared" si="13"/>
        <v>43098</v>
      </c>
      <c r="M82">
        <f t="shared" ca="1" si="14"/>
        <v>196</v>
      </c>
      <c r="N82">
        <v>3</v>
      </c>
      <c r="O82" t="str">
        <f t="shared" si="15"/>
        <v>Friday</v>
      </c>
      <c r="P82" t="str">
        <f t="shared" si="16"/>
        <v>December</v>
      </c>
      <c r="Q82" t="str">
        <f t="shared" si="17"/>
        <v>Weekday</v>
      </c>
    </row>
    <row r="83" spans="1:17" x14ac:dyDescent="0.3">
      <c r="A83">
        <v>82</v>
      </c>
      <c r="B83" t="s">
        <v>163</v>
      </c>
      <c r="C83" t="s">
        <v>90</v>
      </c>
      <c r="D83" t="s">
        <v>98</v>
      </c>
      <c r="E83" s="6">
        <v>42579</v>
      </c>
      <c r="F83" s="10">
        <v>8204</v>
      </c>
      <c r="G83" t="s">
        <v>202</v>
      </c>
      <c r="H83">
        <f t="shared" ca="1" si="9"/>
        <v>9</v>
      </c>
      <c r="I83" s="12" t="str">
        <f t="shared" ca="1" si="10"/>
        <v>9 year 2 month 8 day</v>
      </c>
      <c r="J83" s="6">
        <f t="shared" si="11"/>
        <v>43674</v>
      </c>
      <c r="K83" s="6">
        <f t="shared" si="12"/>
        <v>42639</v>
      </c>
      <c r="L83" s="6">
        <f t="shared" si="13"/>
        <v>42663</v>
      </c>
      <c r="M83">
        <f t="shared" ca="1" si="14"/>
        <v>194</v>
      </c>
      <c r="N83">
        <v>5</v>
      </c>
      <c r="O83" t="str">
        <f t="shared" si="15"/>
        <v>Thursday</v>
      </c>
      <c r="P83" t="str">
        <f t="shared" si="16"/>
        <v>October</v>
      </c>
      <c r="Q83" t="str">
        <f t="shared" si="17"/>
        <v>Weekday</v>
      </c>
    </row>
    <row r="84" spans="1:17" x14ac:dyDescent="0.3">
      <c r="A84">
        <v>83</v>
      </c>
      <c r="B84" t="s">
        <v>105</v>
      </c>
      <c r="C84" t="s">
        <v>102</v>
      </c>
      <c r="D84" t="s">
        <v>84</v>
      </c>
      <c r="E84" s="6">
        <v>43117</v>
      </c>
      <c r="F84" s="10">
        <v>9424</v>
      </c>
      <c r="G84" t="s">
        <v>203</v>
      </c>
      <c r="H84">
        <f t="shared" ca="1" si="9"/>
        <v>7</v>
      </c>
      <c r="I84" s="12" t="str">
        <f t="shared" ca="1" si="10"/>
        <v>7 year 8 month 19 day</v>
      </c>
      <c r="J84" s="6">
        <f t="shared" si="11"/>
        <v>44213</v>
      </c>
      <c r="K84" s="6">
        <f t="shared" si="12"/>
        <v>43177</v>
      </c>
      <c r="L84" s="6">
        <f t="shared" si="13"/>
        <v>43201</v>
      </c>
      <c r="M84">
        <f t="shared" ca="1" si="14"/>
        <v>195</v>
      </c>
      <c r="N84">
        <v>4</v>
      </c>
      <c r="O84" t="str">
        <f t="shared" si="15"/>
        <v>Wednesday</v>
      </c>
      <c r="P84" t="str">
        <f t="shared" si="16"/>
        <v>April</v>
      </c>
      <c r="Q84" t="str">
        <f t="shared" si="17"/>
        <v>Weekday</v>
      </c>
    </row>
    <row r="85" spans="1:17" x14ac:dyDescent="0.3">
      <c r="A85">
        <v>84</v>
      </c>
      <c r="B85" t="s">
        <v>116</v>
      </c>
      <c r="C85" t="s">
        <v>87</v>
      </c>
      <c r="D85" t="s">
        <v>84</v>
      </c>
      <c r="E85" s="6">
        <v>44641</v>
      </c>
      <c r="F85" s="10">
        <v>5730</v>
      </c>
      <c r="G85" t="s">
        <v>204</v>
      </c>
      <c r="H85">
        <f t="shared" ca="1" si="9"/>
        <v>3</v>
      </c>
      <c r="I85" s="12" t="str">
        <f t="shared" ca="1" si="10"/>
        <v>3 year 6 month 15 day</v>
      </c>
      <c r="J85" s="6">
        <f t="shared" si="11"/>
        <v>45737</v>
      </c>
      <c r="K85" s="6">
        <f t="shared" si="12"/>
        <v>44701</v>
      </c>
      <c r="L85" s="6">
        <f t="shared" si="13"/>
        <v>44725</v>
      </c>
      <c r="M85">
        <f t="shared" ca="1" si="14"/>
        <v>198</v>
      </c>
      <c r="N85">
        <v>1</v>
      </c>
      <c r="O85" t="str">
        <f t="shared" si="15"/>
        <v>Monday</v>
      </c>
      <c r="P85" t="str">
        <f t="shared" si="16"/>
        <v>June</v>
      </c>
      <c r="Q85" t="str">
        <f t="shared" si="17"/>
        <v>Weekday</v>
      </c>
    </row>
    <row r="86" spans="1:17" x14ac:dyDescent="0.3">
      <c r="A86">
        <v>85</v>
      </c>
      <c r="B86" t="s">
        <v>116</v>
      </c>
      <c r="C86" t="s">
        <v>74</v>
      </c>
      <c r="D86" t="s">
        <v>91</v>
      </c>
      <c r="E86" s="6">
        <v>43352</v>
      </c>
      <c r="F86" s="10">
        <v>5673</v>
      </c>
      <c r="G86" t="s">
        <v>205</v>
      </c>
      <c r="H86">
        <f t="shared" ca="1" si="9"/>
        <v>7</v>
      </c>
      <c r="I86" s="12" t="str">
        <f t="shared" ca="1" si="10"/>
        <v>7 year 0 month 27 day</v>
      </c>
      <c r="J86" s="6">
        <f t="shared" si="11"/>
        <v>44448</v>
      </c>
      <c r="K86" s="6">
        <f t="shared" si="12"/>
        <v>43412</v>
      </c>
      <c r="L86" s="6">
        <f t="shared" si="13"/>
        <v>43434</v>
      </c>
      <c r="M86">
        <f t="shared" ca="1" si="14"/>
        <v>195</v>
      </c>
      <c r="N86">
        <v>4</v>
      </c>
      <c r="O86" t="str">
        <f t="shared" si="15"/>
        <v>Friday</v>
      </c>
      <c r="P86" t="str">
        <f t="shared" si="16"/>
        <v>November</v>
      </c>
      <c r="Q86" t="str">
        <f t="shared" si="17"/>
        <v>Weekend</v>
      </c>
    </row>
    <row r="87" spans="1:17" x14ac:dyDescent="0.3">
      <c r="A87">
        <v>86</v>
      </c>
      <c r="B87" t="s">
        <v>206</v>
      </c>
      <c r="C87" t="s">
        <v>74</v>
      </c>
      <c r="D87" t="s">
        <v>75</v>
      </c>
      <c r="E87" s="6">
        <v>43672</v>
      </c>
      <c r="F87" s="10">
        <v>6614</v>
      </c>
      <c r="G87" t="s">
        <v>207</v>
      </c>
      <c r="H87">
        <f t="shared" ca="1" si="9"/>
        <v>6</v>
      </c>
      <c r="I87" s="12" t="str">
        <f t="shared" ca="1" si="10"/>
        <v>6 year 2 month 10 day</v>
      </c>
      <c r="J87" s="6">
        <f t="shared" si="11"/>
        <v>44768</v>
      </c>
      <c r="K87" s="6">
        <f t="shared" si="12"/>
        <v>43732</v>
      </c>
      <c r="L87" s="6">
        <f t="shared" si="13"/>
        <v>43756</v>
      </c>
      <c r="M87">
        <f t="shared" ca="1" si="14"/>
        <v>198</v>
      </c>
      <c r="N87">
        <v>1</v>
      </c>
      <c r="O87" t="str">
        <f t="shared" si="15"/>
        <v>Friday</v>
      </c>
      <c r="P87" t="str">
        <f t="shared" si="16"/>
        <v>October</v>
      </c>
      <c r="Q87" t="str">
        <f t="shared" si="17"/>
        <v>Weekday</v>
      </c>
    </row>
    <row r="88" spans="1:17" x14ac:dyDescent="0.3">
      <c r="A88">
        <v>87</v>
      </c>
      <c r="B88" t="s">
        <v>83</v>
      </c>
      <c r="C88" t="s">
        <v>102</v>
      </c>
      <c r="D88" t="s">
        <v>84</v>
      </c>
      <c r="E88" s="6">
        <v>44449</v>
      </c>
      <c r="F88" s="10">
        <v>3500</v>
      </c>
      <c r="G88" t="s">
        <v>208</v>
      </c>
      <c r="H88">
        <f t="shared" ca="1" si="9"/>
        <v>4</v>
      </c>
      <c r="I88" s="12" t="str">
        <f t="shared" ca="1" si="10"/>
        <v>4 year 0 month 26 day</v>
      </c>
      <c r="J88" s="6">
        <f t="shared" si="11"/>
        <v>45545</v>
      </c>
      <c r="K88" s="6">
        <f t="shared" si="12"/>
        <v>44509</v>
      </c>
      <c r="L88" s="6">
        <f t="shared" si="13"/>
        <v>44533</v>
      </c>
      <c r="M88">
        <f t="shared" ca="1" si="14"/>
        <v>196</v>
      </c>
      <c r="N88">
        <v>3</v>
      </c>
      <c r="O88" t="str">
        <f t="shared" si="15"/>
        <v>Friday</v>
      </c>
      <c r="P88" t="str">
        <f t="shared" si="16"/>
        <v>December</v>
      </c>
      <c r="Q88" t="str">
        <f t="shared" si="17"/>
        <v>Weekday</v>
      </c>
    </row>
    <row r="89" spans="1:17" x14ac:dyDescent="0.3">
      <c r="A89">
        <v>88</v>
      </c>
      <c r="B89" t="s">
        <v>86</v>
      </c>
      <c r="C89" t="s">
        <v>87</v>
      </c>
      <c r="D89" t="s">
        <v>98</v>
      </c>
      <c r="E89" s="6">
        <v>42855</v>
      </c>
      <c r="F89" s="10">
        <v>3888</v>
      </c>
      <c r="G89" t="s">
        <v>209</v>
      </c>
      <c r="H89">
        <f t="shared" ca="1" si="9"/>
        <v>8</v>
      </c>
      <c r="I89" s="12" t="str">
        <f t="shared" ca="1" si="10"/>
        <v>8 year 5 month 6 day</v>
      </c>
      <c r="J89" s="6">
        <f t="shared" si="11"/>
        <v>43951</v>
      </c>
      <c r="K89" s="6">
        <f t="shared" si="12"/>
        <v>42915</v>
      </c>
      <c r="L89" s="6">
        <f t="shared" si="13"/>
        <v>42937</v>
      </c>
      <c r="M89">
        <f t="shared" ca="1" si="14"/>
        <v>196</v>
      </c>
      <c r="N89">
        <v>3</v>
      </c>
      <c r="O89" t="str">
        <f t="shared" si="15"/>
        <v>Friday</v>
      </c>
      <c r="P89" t="str">
        <f t="shared" si="16"/>
        <v>July</v>
      </c>
      <c r="Q89" t="str">
        <f t="shared" si="17"/>
        <v>Weekend</v>
      </c>
    </row>
    <row r="90" spans="1:17" x14ac:dyDescent="0.3">
      <c r="A90">
        <v>89</v>
      </c>
      <c r="B90" t="s">
        <v>210</v>
      </c>
      <c r="C90" t="s">
        <v>74</v>
      </c>
      <c r="D90" t="s">
        <v>98</v>
      </c>
      <c r="E90" s="6">
        <v>43372</v>
      </c>
      <c r="F90" s="10">
        <v>10689</v>
      </c>
      <c r="G90" t="s">
        <v>211</v>
      </c>
      <c r="H90">
        <f t="shared" ca="1" si="9"/>
        <v>7</v>
      </c>
      <c r="I90" s="12" t="str">
        <f t="shared" ca="1" si="10"/>
        <v>7 year 0 month 7 day</v>
      </c>
      <c r="J90" s="6">
        <f t="shared" si="11"/>
        <v>44468</v>
      </c>
      <c r="K90" s="6">
        <f t="shared" si="12"/>
        <v>43432</v>
      </c>
      <c r="L90" s="6">
        <f t="shared" si="13"/>
        <v>43455</v>
      </c>
      <c r="M90">
        <f t="shared" ca="1" si="14"/>
        <v>198</v>
      </c>
      <c r="N90">
        <v>1</v>
      </c>
      <c r="O90" t="str">
        <f t="shared" si="15"/>
        <v>Friday</v>
      </c>
      <c r="P90" t="str">
        <f t="shared" si="16"/>
        <v>December</v>
      </c>
      <c r="Q90" t="str">
        <f t="shared" si="17"/>
        <v>Weekend</v>
      </c>
    </row>
    <row r="91" spans="1:17" x14ac:dyDescent="0.3">
      <c r="A91">
        <v>90</v>
      </c>
      <c r="B91" t="s">
        <v>185</v>
      </c>
      <c r="C91" t="s">
        <v>78</v>
      </c>
      <c r="D91" t="s">
        <v>98</v>
      </c>
      <c r="E91" s="6">
        <v>42459</v>
      </c>
      <c r="F91" s="10">
        <v>5272</v>
      </c>
      <c r="G91" t="s">
        <v>212</v>
      </c>
      <c r="H91">
        <f t="shared" ca="1" si="9"/>
        <v>9</v>
      </c>
      <c r="I91" s="12" t="str">
        <f t="shared" ca="1" si="10"/>
        <v>9 year 6 month 6 day</v>
      </c>
      <c r="J91" s="6">
        <f t="shared" si="11"/>
        <v>43554</v>
      </c>
      <c r="K91" s="6">
        <f t="shared" si="12"/>
        <v>42519</v>
      </c>
      <c r="L91" s="6">
        <f t="shared" si="13"/>
        <v>42543</v>
      </c>
      <c r="M91">
        <f t="shared" ca="1" si="14"/>
        <v>194</v>
      </c>
      <c r="N91">
        <v>5</v>
      </c>
      <c r="O91" t="str">
        <f t="shared" si="15"/>
        <v>Wednesday</v>
      </c>
      <c r="P91" t="str">
        <f t="shared" si="16"/>
        <v>June</v>
      </c>
      <c r="Q91" t="str">
        <f t="shared" si="17"/>
        <v>Weekday</v>
      </c>
    </row>
    <row r="92" spans="1:17" x14ac:dyDescent="0.3">
      <c r="A92">
        <v>91</v>
      </c>
      <c r="B92" t="s">
        <v>73</v>
      </c>
      <c r="C92" t="s">
        <v>78</v>
      </c>
      <c r="D92" t="s">
        <v>84</v>
      </c>
      <c r="E92" s="6">
        <v>42715</v>
      </c>
      <c r="F92" s="10">
        <v>4690</v>
      </c>
      <c r="G92" t="s">
        <v>213</v>
      </c>
      <c r="H92">
        <f t="shared" ca="1" si="9"/>
        <v>8</v>
      </c>
      <c r="I92" s="12" t="str">
        <f t="shared" ca="1" si="10"/>
        <v>8 year 9 month 25 day</v>
      </c>
      <c r="J92" s="6">
        <f t="shared" si="11"/>
        <v>43810</v>
      </c>
      <c r="K92" s="6">
        <f t="shared" si="12"/>
        <v>42775</v>
      </c>
      <c r="L92" s="6">
        <f t="shared" si="13"/>
        <v>42797</v>
      </c>
      <c r="M92">
        <f t="shared" ca="1" si="14"/>
        <v>196</v>
      </c>
      <c r="N92">
        <v>3</v>
      </c>
      <c r="O92" t="str">
        <f t="shared" si="15"/>
        <v>Friday</v>
      </c>
      <c r="P92" t="str">
        <f t="shared" si="16"/>
        <v>March</v>
      </c>
      <c r="Q92" t="str">
        <f t="shared" si="17"/>
        <v>Weekend</v>
      </c>
    </row>
    <row r="93" spans="1:17" x14ac:dyDescent="0.3">
      <c r="A93">
        <v>92</v>
      </c>
      <c r="B93" t="s">
        <v>146</v>
      </c>
      <c r="C93" t="s">
        <v>78</v>
      </c>
      <c r="D93" t="s">
        <v>91</v>
      </c>
      <c r="E93" s="6">
        <v>44880</v>
      </c>
      <c r="F93" s="10">
        <v>8092</v>
      </c>
      <c r="G93" t="s">
        <v>214</v>
      </c>
      <c r="H93">
        <f t="shared" ca="1" si="9"/>
        <v>2</v>
      </c>
      <c r="I93" s="12" t="str">
        <f t="shared" ca="1" si="10"/>
        <v>2 year 10 month 21 day</v>
      </c>
      <c r="J93" s="6">
        <f t="shared" si="11"/>
        <v>45976</v>
      </c>
      <c r="K93" s="6">
        <f t="shared" si="12"/>
        <v>44940</v>
      </c>
      <c r="L93" s="6">
        <f t="shared" si="13"/>
        <v>44964</v>
      </c>
      <c r="M93">
        <f t="shared" ca="1" si="14"/>
        <v>193</v>
      </c>
      <c r="N93">
        <v>6</v>
      </c>
      <c r="O93" t="str">
        <f t="shared" si="15"/>
        <v>Tuesday</v>
      </c>
      <c r="P93" t="str">
        <f t="shared" si="16"/>
        <v>February</v>
      </c>
      <c r="Q93" t="str">
        <f t="shared" si="17"/>
        <v>Weekday</v>
      </c>
    </row>
    <row r="94" spans="1:17" x14ac:dyDescent="0.3">
      <c r="A94">
        <v>93</v>
      </c>
      <c r="B94" t="s">
        <v>127</v>
      </c>
      <c r="C94" t="s">
        <v>78</v>
      </c>
      <c r="D94" t="s">
        <v>98</v>
      </c>
      <c r="E94" s="6">
        <v>42309</v>
      </c>
      <c r="F94" s="10">
        <v>11427</v>
      </c>
      <c r="G94" t="s">
        <v>215</v>
      </c>
      <c r="H94">
        <f t="shared" ca="1" si="9"/>
        <v>9</v>
      </c>
      <c r="I94" s="12" t="str">
        <f t="shared" ca="1" si="10"/>
        <v>9 year 11 month 5 day</v>
      </c>
      <c r="J94" s="6">
        <f t="shared" si="11"/>
        <v>43405</v>
      </c>
      <c r="K94" s="6">
        <f t="shared" si="12"/>
        <v>42369</v>
      </c>
      <c r="L94" s="6">
        <f t="shared" si="13"/>
        <v>42391</v>
      </c>
      <c r="M94">
        <f t="shared" ca="1" si="14"/>
        <v>194</v>
      </c>
      <c r="N94">
        <v>5</v>
      </c>
      <c r="O94" t="str">
        <f t="shared" si="15"/>
        <v>Friday</v>
      </c>
      <c r="P94" t="str">
        <f t="shared" si="16"/>
        <v>January</v>
      </c>
      <c r="Q94" t="str">
        <f t="shared" si="17"/>
        <v>Weekend</v>
      </c>
    </row>
    <row r="95" spans="1:17" x14ac:dyDescent="0.3">
      <c r="A95">
        <v>94</v>
      </c>
      <c r="B95" t="s">
        <v>95</v>
      </c>
      <c r="C95" t="s">
        <v>90</v>
      </c>
      <c r="D95" t="s">
        <v>75</v>
      </c>
      <c r="E95" s="6">
        <v>44343</v>
      </c>
      <c r="F95" s="10">
        <v>8559</v>
      </c>
      <c r="G95" t="s">
        <v>216</v>
      </c>
      <c r="H95">
        <f t="shared" ca="1" si="9"/>
        <v>4</v>
      </c>
      <c r="I95" s="12" t="str">
        <f t="shared" ca="1" si="10"/>
        <v>4 year 4 month 9 day</v>
      </c>
      <c r="J95" s="6">
        <f t="shared" si="11"/>
        <v>45439</v>
      </c>
      <c r="K95" s="6">
        <f t="shared" si="12"/>
        <v>44403</v>
      </c>
      <c r="L95" s="6">
        <f t="shared" si="13"/>
        <v>44427</v>
      </c>
      <c r="M95">
        <f t="shared" ca="1" si="14"/>
        <v>194</v>
      </c>
      <c r="N95">
        <v>5</v>
      </c>
      <c r="O95" t="str">
        <f t="shared" si="15"/>
        <v>Thursday</v>
      </c>
      <c r="P95" t="str">
        <f t="shared" si="16"/>
        <v>August</v>
      </c>
      <c r="Q95" t="str">
        <f t="shared" si="17"/>
        <v>Weekday</v>
      </c>
    </row>
    <row r="96" spans="1:17" x14ac:dyDescent="0.3">
      <c r="A96">
        <v>95</v>
      </c>
      <c r="B96" t="s">
        <v>86</v>
      </c>
      <c r="C96" t="s">
        <v>102</v>
      </c>
      <c r="D96" t="s">
        <v>98</v>
      </c>
      <c r="E96" s="6">
        <v>44014</v>
      </c>
      <c r="F96" s="10">
        <v>9510</v>
      </c>
      <c r="G96" t="s">
        <v>217</v>
      </c>
      <c r="H96">
        <f t="shared" ca="1" si="9"/>
        <v>5</v>
      </c>
      <c r="I96" s="12" t="str">
        <f t="shared" ca="1" si="10"/>
        <v>5 year 3 month 4 day</v>
      </c>
      <c r="J96" s="6">
        <f t="shared" si="11"/>
        <v>45109</v>
      </c>
      <c r="K96" s="6">
        <f t="shared" si="12"/>
        <v>44074</v>
      </c>
      <c r="L96" s="6">
        <f t="shared" si="13"/>
        <v>44098</v>
      </c>
      <c r="M96">
        <f t="shared" ca="1" si="14"/>
        <v>193</v>
      </c>
      <c r="N96">
        <v>6</v>
      </c>
      <c r="O96" t="str">
        <f t="shared" si="15"/>
        <v>Thursday</v>
      </c>
      <c r="P96" t="str">
        <f t="shared" si="16"/>
        <v>September</v>
      </c>
      <c r="Q96" t="str">
        <f t="shared" si="17"/>
        <v>Weekday</v>
      </c>
    </row>
    <row r="97" spans="1:17" x14ac:dyDescent="0.3">
      <c r="A97">
        <v>96</v>
      </c>
      <c r="B97" t="s">
        <v>39</v>
      </c>
      <c r="C97" t="s">
        <v>102</v>
      </c>
      <c r="D97" t="s">
        <v>91</v>
      </c>
      <c r="E97" s="6">
        <v>44894</v>
      </c>
      <c r="F97" s="10">
        <v>11653</v>
      </c>
      <c r="G97" t="s">
        <v>218</v>
      </c>
      <c r="H97">
        <f t="shared" ca="1" si="9"/>
        <v>2</v>
      </c>
      <c r="I97" s="12" t="str">
        <f t="shared" ca="1" si="10"/>
        <v>2 year 10 month 7 day</v>
      </c>
      <c r="J97" s="6">
        <f t="shared" si="11"/>
        <v>45990</v>
      </c>
      <c r="K97" s="6">
        <f t="shared" si="12"/>
        <v>44954</v>
      </c>
      <c r="L97" s="6">
        <f t="shared" si="13"/>
        <v>44978</v>
      </c>
      <c r="M97">
        <f t="shared" ca="1" si="14"/>
        <v>197</v>
      </c>
      <c r="N97">
        <v>2</v>
      </c>
      <c r="O97" t="str">
        <f t="shared" si="15"/>
        <v>Tuesday</v>
      </c>
      <c r="P97" t="str">
        <f t="shared" si="16"/>
        <v>February</v>
      </c>
      <c r="Q97" t="str">
        <f t="shared" si="17"/>
        <v>Weekday</v>
      </c>
    </row>
    <row r="98" spans="1:17" x14ac:dyDescent="0.3">
      <c r="A98">
        <v>97</v>
      </c>
      <c r="B98" t="s">
        <v>105</v>
      </c>
      <c r="C98" t="s">
        <v>78</v>
      </c>
      <c r="D98" t="s">
        <v>91</v>
      </c>
      <c r="E98" s="6">
        <v>43031</v>
      </c>
      <c r="F98" s="10">
        <v>8728</v>
      </c>
      <c r="G98" t="s">
        <v>219</v>
      </c>
      <c r="H98">
        <f t="shared" ca="1" si="9"/>
        <v>7</v>
      </c>
      <c r="I98" s="12" t="str">
        <f t="shared" ca="1" si="10"/>
        <v>7 year 11 month 13 day</v>
      </c>
      <c r="J98" s="6">
        <f t="shared" si="11"/>
        <v>44127</v>
      </c>
      <c r="K98" s="6">
        <f t="shared" si="12"/>
        <v>43091</v>
      </c>
      <c r="L98" s="6">
        <f t="shared" si="13"/>
        <v>43115</v>
      </c>
      <c r="M98">
        <f t="shared" ca="1" si="14"/>
        <v>198</v>
      </c>
      <c r="N98">
        <v>1</v>
      </c>
      <c r="O98" t="str">
        <f t="shared" si="15"/>
        <v>Monday</v>
      </c>
      <c r="P98" t="str">
        <f t="shared" si="16"/>
        <v>January</v>
      </c>
      <c r="Q98" t="str">
        <f t="shared" si="17"/>
        <v>Weekday</v>
      </c>
    </row>
    <row r="99" spans="1:17" x14ac:dyDescent="0.3">
      <c r="A99">
        <v>98</v>
      </c>
      <c r="B99" t="s">
        <v>109</v>
      </c>
      <c r="C99" t="s">
        <v>90</v>
      </c>
      <c r="D99" t="s">
        <v>91</v>
      </c>
      <c r="E99" s="6">
        <v>44380</v>
      </c>
      <c r="F99" s="10">
        <v>5363</v>
      </c>
      <c r="G99" t="s">
        <v>220</v>
      </c>
      <c r="H99">
        <f t="shared" ca="1" si="9"/>
        <v>4</v>
      </c>
      <c r="I99" s="12" t="str">
        <f t="shared" ca="1" si="10"/>
        <v>4 year 3 month 3 day</v>
      </c>
      <c r="J99" s="6">
        <f t="shared" si="11"/>
        <v>45476</v>
      </c>
      <c r="K99" s="6">
        <f t="shared" si="12"/>
        <v>44440</v>
      </c>
      <c r="L99" s="6">
        <f t="shared" si="13"/>
        <v>44463</v>
      </c>
      <c r="M99">
        <f t="shared" ca="1" si="14"/>
        <v>194</v>
      </c>
      <c r="N99">
        <v>5</v>
      </c>
      <c r="O99" t="str">
        <f t="shared" si="15"/>
        <v>Friday</v>
      </c>
      <c r="P99" t="str">
        <f t="shared" si="16"/>
        <v>September</v>
      </c>
      <c r="Q99" t="str">
        <f t="shared" si="17"/>
        <v>Weekend</v>
      </c>
    </row>
    <row r="100" spans="1:17" x14ac:dyDescent="0.3">
      <c r="A100">
        <v>99</v>
      </c>
      <c r="B100" t="s">
        <v>163</v>
      </c>
      <c r="C100" t="s">
        <v>90</v>
      </c>
      <c r="D100" t="s">
        <v>98</v>
      </c>
      <c r="E100" s="6">
        <v>44506</v>
      </c>
      <c r="F100" s="10">
        <v>3677</v>
      </c>
      <c r="G100" t="s">
        <v>221</v>
      </c>
      <c r="H100">
        <f t="shared" ca="1" si="9"/>
        <v>3</v>
      </c>
      <c r="I100" s="12" t="str">
        <f t="shared" ca="1" si="10"/>
        <v>3 year 11 month 0 day</v>
      </c>
      <c r="J100" s="6">
        <f t="shared" si="11"/>
        <v>45602</v>
      </c>
      <c r="K100" s="6">
        <f t="shared" si="12"/>
        <v>44566</v>
      </c>
      <c r="L100" s="6">
        <f t="shared" si="13"/>
        <v>44589</v>
      </c>
      <c r="M100">
        <f t="shared" ca="1" si="14"/>
        <v>197</v>
      </c>
      <c r="N100">
        <v>2</v>
      </c>
      <c r="O100" t="str">
        <f t="shared" si="15"/>
        <v>Friday</v>
      </c>
      <c r="P100" t="str">
        <f t="shared" si="16"/>
        <v>January</v>
      </c>
      <c r="Q100" t="str">
        <f t="shared" si="17"/>
        <v>Weekend</v>
      </c>
    </row>
    <row r="101" spans="1:17" x14ac:dyDescent="0.3">
      <c r="A101">
        <v>100</v>
      </c>
      <c r="B101" t="s">
        <v>113</v>
      </c>
      <c r="C101" t="s">
        <v>102</v>
      </c>
      <c r="D101" t="s">
        <v>81</v>
      </c>
      <c r="E101" s="6">
        <v>42016</v>
      </c>
      <c r="F101" s="10">
        <v>7752</v>
      </c>
      <c r="G101" t="s">
        <v>222</v>
      </c>
      <c r="H101">
        <f t="shared" ca="1" si="9"/>
        <v>10</v>
      </c>
      <c r="I101" s="12" t="str">
        <f t="shared" ca="1" si="10"/>
        <v>10 year 8 month 24 day</v>
      </c>
      <c r="J101" s="6">
        <f t="shared" si="11"/>
        <v>43112</v>
      </c>
      <c r="K101" s="6">
        <f t="shared" si="12"/>
        <v>42076</v>
      </c>
      <c r="L101" s="6">
        <f t="shared" si="13"/>
        <v>42100</v>
      </c>
      <c r="M101">
        <f t="shared" ca="1" si="14"/>
        <v>195</v>
      </c>
      <c r="N101">
        <v>4</v>
      </c>
      <c r="O101" t="str">
        <f t="shared" si="15"/>
        <v>Monday</v>
      </c>
      <c r="P101" t="str">
        <f t="shared" si="16"/>
        <v>April</v>
      </c>
      <c r="Q101" t="str">
        <f t="shared" si="17"/>
        <v>Weekday</v>
      </c>
    </row>
    <row r="102" spans="1:17" x14ac:dyDescent="0.3">
      <c r="A102">
        <v>101</v>
      </c>
      <c r="B102" t="s">
        <v>154</v>
      </c>
      <c r="C102" t="s">
        <v>74</v>
      </c>
      <c r="D102" t="s">
        <v>81</v>
      </c>
      <c r="E102" s="6">
        <v>42308</v>
      </c>
      <c r="F102" s="10">
        <v>10734</v>
      </c>
      <c r="G102" t="s">
        <v>223</v>
      </c>
      <c r="H102">
        <f t="shared" ca="1" si="9"/>
        <v>9</v>
      </c>
      <c r="I102" s="12" t="str">
        <f t="shared" ca="1" si="10"/>
        <v>9 year 11 month 5 day</v>
      </c>
      <c r="J102" s="6">
        <f t="shared" si="11"/>
        <v>43404</v>
      </c>
      <c r="K102" s="6">
        <f t="shared" si="12"/>
        <v>42368</v>
      </c>
      <c r="L102" s="6">
        <f t="shared" si="13"/>
        <v>42391</v>
      </c>
      <c r="M102">
        <f t="shared" ca="1" si="14"/>
        <v>197</v>
      </c>
      <c r="N102">
        <v>2</v>
      </c>
      <c r="O102" t="str">
        <f t="shared" si="15"/>
        <v>Friday</v>
      </c>
      <c r="P102" t="str">
        <f t="shared" si="16"/>
        <v>January</v>
      </c>
      <c r="Q102" t="str">
        <f t="shared" si="17"/>
        <v>Weekend</v>
      </c>
    </row>
    <row r="103" spans="1:17" x14ac:dyDescent="0.3">
      <c r="A103">
        <v>102</v>
      </c>
      <c r="B103" t="s">
        <v>224</v>
      </c>
      <c r="C103" t="s">
        <v>90</v>
      </c>
      <c r="D103" t="s">
        <v>84</v>
      </c>
      <c r="E103" s="6">
        <v>44395</v>
      </c>
      <c r="F103" s="10">
        <v>7945</v>
      </c>
      <c r="G103" t="s">
        <v>225</v>
      </c>
      <c r="H103">
        <f t="shared" ca="1" si="9"/>
        <v>4</v>
      </c>
      <c r="I103" s="12" t="str">
        <f t="shared" ca="1" si="10"/>
        <v>4 year 2 month 18 day</v>
      </c>
      <c r="J103" s="6">
        <f t="shared" si="11"/>
        <v>45491</v>
      </c>
      <c r="K103" s="6">
        <f t="shared" si="12"/>
        <v>44455</v>
      </c>
      <c r="L103" s="6">
        <f t="shared" si="13"/>
        <v>44477</v>
      </c>
      <c r="M103">
        <f t="shared" ca="1" si="14"/>
        <v>194</v>
      </c>
      <c r="N103">
        <v>5</v>
      </c>
      <c r="O103" t="str">
        <f t="shared" si="15"/>
        <v>Friday</v>
      </c>
      <c r="P103" t="str">
        <f t="shared" si="16"/>
        <v>October</v>
      </c>
      <c r="Q103" t="str">
        <f t="shared" si="17"/>
        <v>Weekend</v>
      </c>
    </row>
    <row r="104" spans="1:17" x14ac:dyDescent="0.3">
      <c r="A104">
        <v>103</v>
      </c>
      <c r="B104" t="s">
        <v>39</v>
      </c>
      <c r="C104" t="s">
        <v>90</v>
      </c>
      <c r="D104" t="s">
        <v>81</v>
      </c>
      <c r="E104" s="6">
        <v>44479</v>
      </c>
      <c r="F104" s="10">
        <v>11696</v>
      </c>
      <c r="G104" t="s">
        <v>226</v>
      </c>
      <c r="H104">
        <f t="shared" ca="1" si="9"/>
        <v>3</v>
      </c>
      <c r="I104" s="12" t="str">
        <f t="shared" ca="1" si="10"/>
        <v>3 year 11 month 26 day</v>
      </c>
      <c r="J104" s="6">
        <f t="shared" si="11"/>
        <v>45575</v>
      </c>
      <c r="K104" s="6">
        <f t="shared" si="12"/>
        <v>44539</v>
      </c>
      <c r="L104" s="6">
        <f t="shared" si="13"/>
        <v>44561</v>
      </c>
      <c r="M104">
        <f t="shared" ca="1" si="14"/>
        <v>198</v>
      </c>
      <c r="N104">
        <v>1</v>
      </c>
      <c r="O104" t="str">
        <f t="shared" si="15"/>
        <v>Friday</v>
      </c>
      <c r="P104" t="str">
        <f t="shared" si="16"/>
        <v>December</v>
      </c>
      <c r="Q104" t="str">
        <f t="shared" si="17"/>
        <v>Weekend</v>
      </c>
    </row>
    <row r="105" spans="1:17" x14ac:dyDescent="0.3">
      <c r="A105">
        <v>104</v>
      </c>
      <c r="B105" t="s">
        <v>227</v>
      </c>
      <c r="C105" t="s">
        <v>78</v>
      </c>
      <c r="D105" t="s">
        <v>98</v>
      </c>
      <c r="E105" s="6">
        <v>42411</v>
      </c>
      <c r="F105" s="10">
        <v>11706</v>
      </c>
      <c r="G105" t="s">
        <v>228</v>
      </c>
      <c r="H105">
        <f t="shared" ca="1" si="9"/>
        <v>9</v>
      </c>
      <c r="I105" s="12" t="str">
        <f t="shared" ca="1" si="10"/>
        <v>9 year 7 month 25 day</v>
      </c>
      <c r="J105" s="6">
        <f t="shared" si="11"/>
        <v>43507</v>
      </c>
      <c r="K105" s="6">
        <f t="shared" si="12"/>
        <v>42471</v>
      </c>
      <c r="L105" s="6">
        <f t="shared" si="13"/>
        <v>42495</v>
      </c>
      <c r="M105">
        <f t="shared" ca="1" si="14"/>
        <v>194</v>
      </c>
      <c r="N105">
        <v>5</v>
      </c>
      <c r="O105" t="str">
        <f t="shared" si="15"/>
        <v>Thursday</v>
      </c>
      <c r="P105" t="str">
        <f t="shared" si="16"/>
        <v>May</v>
      </c>
      <c r="Q105" t="str">
        <f t="shared" si="17"/>
        <v>Weekday</v>
      </c>
    </row>
    <row r="106" spans="1:17" x14ac:dyDescent="0.3">
      <c r="A106">
        <v>105</v>
      </c>
      <c r="B106" t="s">
        <v>138</v>
      </c>
      <c r="C106" t="s">
        <v>87</v>
      </c>
      <c r="D106" t="s">
        <v>81</v>
      </c>
      <c r="E106" s="6">
        <v>43843</v>
      </c>
      <c r="F106" s="10">
        <v>7743</v>
      </c>
      <c r="G106" t="s">
        <v>229</v>
      </c>
      <c r="H106">
        <f t="shared" ca="1" si="9"/>
        <v>5</v>
      </c>
      <c r="I106" s="12" t="str">
        <f t="shared" ca="1" si="10"/>
        <v>5 year 8 month 23 day</v>
      </c>
      <c r="J106" s="6">
        <f t="shared" si="11"/>
        <v>44939</v>
      </c>
      <c r="K106" s="6">
        <f t="shared" si="12"/>
        <v>43903</v>
      </c>
      <c r="L106" s="6">
        <f t="shared" si="13"/>
        <v>43927</v>
      </c>
      <c r="M106">
        <f t="shared" ca="1" si="14"/>
        <v>198</v>
      </c>
      <c r="N106">
        <v>1</v>
      </c>
      <c r="O106" t="str">
        <f t="shared" si="15"/>
        <v>Monday</v>
      </c>
      <c r="P106" t="str">
        <f t="shared" si="16"/>
        <v>April</v>
      </c>
      <c r="Q106" t="str">
        <f t="shared" si="17"/>
        <v>Weekday</v>
      </c>
    </row>
    <row r="107" spans="1:17" x14ac:dyDescent="0.3">
      <c r="A107">
        <v>106</v>
      </c>
      <c r="B107" t="s">
        <v>123</v>
      </c>
      <c r="C107" t="s">
        <v>87</v>
      </c>
      <c r="D107" t="s">
        <v>75</v>
      </c>
      <c r="E107" s="6">
        <v>44845</v>
      </c>
      <c r="F107" s="10">
        <v>11406</v>
      </c>
      <c r="G107" t="s">
        <v>230</v>
      </c>
      <c r="H107">
        <f t="shared" ca="1" si="9"/>
        <v>2</v>
      </c>
      <c r="I107" s="12" t="str">
        <f t="shared" ca="1" si="10"/>
        <v>2 year 11 month 25 day</v>
      </c>
      <c r="J107" s="6">
        <f t="shared" si="11"/>
        <v>45941</v>
      </c>
      <c r="K107" s="6">
        <f t="shared" si="12"/>
        <v>44905</v>
      </c>
      <c r="L107" s="6">
        <f t="shared" si="13"/>
        <v>44929</v>
      </c>
      <c r="M107">
        <f t="shared" ca="1" si="14"/>
        <v>195</v>
      </c>
      <c r="N107">
        <v>4</v>
      </c>
      <c r="O107" t="str">
        <f t="shared" si="15"/>
        <v>Tuesday</v>
      </c>
      <c r="P107" t="str">
        <f t="shared" si="16"/>
        <v>January</v>
      </c>
      <c r="Q107" t="str">
        <f t="shared" si="17"/>
        <v>Weekday</v>
      </c>
    </row>
    <row r="108" spans="1:17" x14ac:dyDescent="0.3">
      <c r="A108">
        <v>107</v>
      </c>
      <c r="B108" t="s">
        <v>127</v>
      </c>
      <c r="C108" t="s">
        <v>78</v>
      </c>
      <c r="D108" t="s">
        <v>91</v>
      </c>
      <c r="E108" s="6">
        <v>42328</v>
      </c>
      <c r="F108" s="10">
        <v>2640</v>
      </c>
      <c r="G108" t="s">
        <v>231</v>
      </c>
      <c r="H108">
        <f t="shared" ca="1" si="9"/>
        <v>9</v>
      </c>
      <c r="I108" s="12" t="str">
        <f t="shared" ca="1" si="10"/>
        <v>9 year 10 month 16 day</v>
      </c>
      <c r="J108" s="6">
        <f t="shared" si="11"/>
        <v>43424</v>
      </c>
      <c r="K108" s="6">
        <f t="shared" si="12"/>
        <v>42388</v>
      </c>
      <c r="L108" s="6">
        <f t="shared" si="13"/>
        <v>42412</v>
      </c>
      <c r="M108">
        <f t="shared" ca="1" si="14"/>
        <v>194</v>
      </c>
      <c r="N108">
        <v>5</v>
      </c>
      <c r="O108" t="str">
        <f t="shared" si="15"/>
        <v>Friday</v>
      </c>
      <c r="P108" t="str">
        <f t="shared" si="16"/>
        <v>February</v>
      </c>
      <c r="Q108" t="str">
        <f t="shared" si="17"/>
        <v>Weekday</v>
      </c>
    </row>
    <row r="109" spans="1:17" x14ac:dyDescent="0.3">
      <c r="A109">
        <v>108</v>
      </c>
      <c r="B109" t="s">
        <v>210</v>
      </c>
      <c r="C109" t="s">
        <v>90</v>
      </c>
      <c r="D109" t="s">
        <v>75</v>
      </c>
      <c r="E109" s="6">
        <v>42791</v>
      </c>
      <c r="F109" s="10">
        <v>8512</v>
      </c>
      <c r="G109" t="s">
        <v>232</v>
      </c>
      <c r="H109">
        <f t="shared" ca="1" si="9"/>
        <v>8</v>
      </c>
      <c r="I109" s="12" t="str">
        <f t="shared" ca="1" si="10"/>
        <v>8 year 7 month 11 day</v>
      </c>
      <c r="J109" s="6">
        <f t="shared" si="11"/>
        <v>43886</v>
      </c>
      <c r="K109" s="6">
        <f t="shared" si="12"/>
        <v>42851</v>
      </c>
      <c r="L109" s="6">
        <f t="shared" si="13"/>
        <v>42874</v>
      </c>
      <c r="M109">
        <f t="shared" ca="1" si="14"/>
        <v>196</v>
      </c>
      <c r="N109">
        <v>3</v>
      </c>
      <c r="O109" t="str">
        <f t="shared" si="15"/>
        <v>Friday</v>
      </c>
      <c r="P109" t="str">
        <f t="shared" si="16"/>
        <v>May</v>
      </c>
      <c r="Q109" t="str">
        <f t="shared" si="17"/>
        <v>Weekend</v>
      </c>
    </row>
    <row r="110" spans="1:17" x14ac:dyDescent="0.3">
      <c r="A110">
        <v>109</v>
      </c>
      <c r="B110" t="s">
        <v>97</v>
      </c>
      <c r="C110" t="s">
        <v>74</v>
      </c>
      <c r="D110" t="s">
        <v>75</v>
      </c>
      <c r="E110" s="6">
        <v>42377</v>
      </c>
      <c r="F110" s="10">
        <v>6110</v>
      </c>
      <c r="G110" t="s">
        <v>233</v>
      </c>
      <c r="H110">
        <f t="shared" ca="1" si="9"/>
        <v>9</v>
      </c>
      <c r="I110" s="12" t="str">
        <f t="shared" ca="1" si="10"/>
        <v>9 year 8 month 28 day</v>
      </c>
      <c r="J110" s="6">
        <f t="shared" si="11"/>
        <v>43473</v>
      </c>
      <c r="K110" s="6">
        <f t="shared" si="12"/>
        <v>42437</v>
      </c>
      <c r="L110" s="6">
        <f t="shared" si="13"/>
        <v>42461</v>
      </c>
      <c r="M110">
        <f t="shared" ca="1" si="14"/>
        <v>196</v>
      </c>
      <c r="N110">
        <v>3</v>
      </c>
      <c r="O110" t="str">
        <f t="shared" si="15"/>
        <v>Friday</v>
      </c>
      <c r="P110" t="str">
        <f t="shared" si="16"/>
        <v>April</v>
      </c>
      <c r="Q110" t="str">
        <f t="shared" si="17"/>
        <v>Weekday</v>
      </c>
    </row>
    <row r="111" spans="1:17" x14ac:dyDescent="0.3">
      <c r="A111">
        <v>110</v>
      </c>
      <c r="B111" t="s">
        <v>227</v>
      </c>
      <c r="C111" t="s">
        <v>102</v>
      </c>
      <c r="D111" t="s">
        <v>98</v>
      </c>
      <c r="E111" s="6">
        <v>44803</v>
      </c>
      <c r="F111" s="10">
        <v>9811</v>
      </c>
      <c r="G111" t="s">
        <v>234</v>
      </c>
      <c r="H111">
        <f t="shared" ca="1" si="9"/>
        <v>3</v>
      </c>
      <c r="I111" s="12" t="str">
        <f t="shared" ca="1" si="10"/>
        <v>3 year 1 month 6 day</v>
      </c>
      <c r="J111" s="6">
        <f t="shared" si="11"/>
        <v>45899</v>
      </c>
      <c r="K111" s="6">
        <f t="shared" si="12"/>
        <v>44863</v>
      </c>
      <c r="L111" s="6">
        <f t="shared" si="13"/>
        <v>44887</v>
      </c>
      <c r="M111">
        <f t="shared" ca="1" si="14"/>
        <v>198</v>
      </c>
      <c r="N111">
        <v>1</v>
      </c>
      <c r="O111" t="str">
        <f t="shared" si="15"/>
        <v>Tuesday</v>
      </c>
      <c r="P111" t="str">
        <f t="shared" si="16"/>
        <v>November</v>
      </c>
      <c r="Q111" t="str">
        <f t="shared" si="17"/>
        <v>Weekday</v>
      </c>
    </row>
    <row r="112" spans="1:17" x14ac:dyDescent="0.3">
      <c r="A112">
        <v>111</v>
      </c>
      <c r="B112" t="s">
        <v>97</v>
      </c>
      <c r="C112" t="s">
        <v>90</v>
      </c>
      <c r="D112" t="s">
        <v>84</v>
      </c>
      <c r="E112" s="6">
        <v>43448</v>
      </c>
      <c r="F112" s="10">
        <v>9287</v>
      </c>
      <c r="G112" t="s">
        <v>235</v>
      </c>
      <c r="H112">
        <f t="shared" ca="1" si="9"/>
        <v>6</v>
      </c>
      <c r="I112" s="12" t="str">
        <f t="shared" ca="1" si="10"/>
        <v>6 year 9 month 22 day</v>
      </c>
      <c r="J112" s="6">
        <f t="shared" si="11"/>
        <v>44544</v>
      </c>
      <c r="K112" s="6">
        <f t="shared" si="12"/>
        <v>43508</v>
      </c>
      <c r="L112" s="6">
        <f t="shared" si="13"/>
        <v>43532</v>
      </c>
      <c r="M112">
        <f t="shared" ca="1" si="14"/>
        <v>196</v>
      </c>
      <c r="N112">
        <v>3</v>
      </c>
      <c r="O112" t="str">
        <f t="shared" si="15"/>
        <v>Friday</v>
      </c>
      <c r="P112" t="str">
        <f t="shared" si="16"/>
        <v>March</v>
      </c>
      <c r="Q112" t="str">
        <f t="shared" si="17"/>
        <v>Weekday</v>
      </c>
    </row>
    <row r="113" spans="1:17" x14ac:dyDescent="0.3">
      <c r="A113">
        <v>112</v>
      </c>
      <c r="B113" t="s">
        <v>227</v>
      </c>
      <c r="C113" t="s">
        <v>78</v>
      </c>
      <c r="D113" t="s">
        <v>84</v>
      </c>
      <c r="E113" s="6">
        <v>42354</v>
      </c>
      <c r="F113" s="10">
        <v>6030</v>
      </c>
      <c r="G113" t="s">
        <v>236</v>
      </c>
      <c r="H113">
        <f t="shared" ca="1" si="9"/>
        <v>9</v>
      </c>
      <c r="I113" s="12" t="str">
        <f t="shared" ca="1" si="10"/>
        <v>9 year 9 month 20 day</v>
      </c>
      <c r="J113" s="6">
        <f t="shared" si="11"/>
        <v>43450</v>
      </c>
      <c r="K113" s="6">
        <f t="shared" si="12"/>
        <v>42414</v>
      </c>
      <c r="L113" s="6">
        <f t="shared" si="13"/>
        <v>42438</v>
      </c>
      <c r="M113">
        <f t="shared" ca="1" si="14"/>
        <v>193</v>
      </c>
      <c r="N113">
        <v>6</v>
      </c>
      <c r="O113" t="str">
        <f t="shared" si="15"/>
        <v>Wednesday</v>
      </c>
      <c r="P113" t="str">
        <f t="shared" si="16"/>
        <v>March</v>
      </c>
      <c r="Q113" t="str">
        <f t="shared" si="17"/>
        <v>Weekday</v>
      </c>
    </row>
    <row r="114" spans="1:17" x14ac:dyDescent="0.3">
      <c r="A114">
        <v>113</v>
      </c>
      <c r="B114" t="s">
        <v>123</v>
      </c>
      <c r="C114" t="s">
        <v>102</v>
      </c>
      <c r="D114" t="s">
        <v>84</v>
      </c>
      <c r="E114" s="6">
        <v>43067</v>
      </c>
      <c r="F114" s="10">
        <v>9552</v>
      </c>
      <c r="G114" t="s">
        <v>237</v>
      </c>
      <c r="H114">
        <f t="shared" ca="1" si="9"/>
        <v>7</v>
      </c>
      <c r="I114" s="12" t="str">
        <f t="shared" ca="1" si="10"/>
        <v>7 year 10 month 8 day</v>
      </c>
      <c r="J114" s="6">
        <f t="shared" si="11"/>
        <v>44163</v>
      </c>
      <c r="K114" s="6">
        <f t="shared" si="12"/>
        <v>43127</v>
      </c>
      <c r="L114" s="6">
        <f t="shared" si="13"/>
        <v>43151</v>
      </c>
      <c r="M114">
        <f t="shared" ca="1" si="14"/>
        <v>193</v>
      </c>
      <c r="N114">
        <v>6</v>
      </c>
      <c r="O114" t="str">
        <f t="shared" si="15"/>
        <v>Tuesday</v>
      </c>
      <c r="P114" t="str">
        <f t="shared" si="16"/>
        <v>February</v>
      </c>
      <c r="Q114" t="str">
        <f t="shared" si="17"/>
        <v>Weekday</v>
      </c>
    </row>
    <row r="115" spans="1:17" x14ac:dyDescent="0.3">
      <c r="A115">
        <v>114</v>
      </c>
      <c r="B115" t="s">
        <v>146</v>
      </c>
      <c r="C115" t="s">
        <v>78</v>
      </c>
      <c r="D115" t="s">
        <v>75</v>
      </c>
      <c r="E115" s="6">
        <v>44364</v>
      </c>
      <c r="F115" s="10">
        <v>10605</v>
      </c>
      <c r="G115" t="s">
        <v>238</v>
      </c>
      <c r="H115">
        <f t="shared" ca="1" si="9"/>
        <v>4</v>
      </c>
      <c r="I115" s="12" t="str">
        <f t="shared" ca="1" si="10"/>
        <v>4 year 3 month 19 day</v>
      </c>
      <c r="J115" s="6">
        <f t="shared" si="11"/>
        <v>45460</v>
      </c>
      <c r="K115" s="6">
        <f t="shared" si="12"/>
        <v>44424</v>
      </c>
      <c r="L115" s="6">
        <f t="shared" si="13"/>
        <v>44448</v>
      </c>
      <c r="M115">
        <f t="shared" ca="1" si="14"/>
        <v>194</v>
      </c>
      <c r="N115">
        <v>5</v>
      </c>
      <c r="O115" t="str">
        <f t="shared" si="15"/>
        <v>Thursday</v>
      </c>
      <c r="P115" t="str">
        <f t="shared" si="16"/>
        <v>September</v>
      </c>
      <c r="Q115" t="str">
        <f t="shared" si="17"/>
        <v>Weekday</v>
      </c>
    </row>
    <row r="116" spans="1:17" x14ac:dyDescent="0.3">
      <c r="A116">
        <v>115</v>
      </c>
      <c r="B116" t="s">
        <v>190</v>
      </c>
      <c r="C116" t="s">
        <v>87</v>
      </c>
      <c r="D116" t="s">
        <v>81</v>
      </c>
      <c r="E116" s="6">
        <v>44350</v>
      </c>
      <c r="F116" s="10">
        <v>7547</v>
      </c>
      <c r="G116" t="s">
        <v>239</v>
      </c>
      <c r="H116">
        <f t="shared" ca="1" si="9"/>
        <v>4</v>
      </c>
      <c r="I116" s="12" t="str">
        <f t="shared" ca="1" si="10"/>
        <v>4 year 4 month 3 day</v>
      </c>
      <c r="J116" s="6">
        <f t="shared" si="11"/>
        <v>45446</v>
      </c>
      <c r="K116" s="6">
        <f t="shared" si="12"/>
        <v>44410</v>
      </c>
      <c r="L116" s="6">
        <f t="shared" si="13"/>
        <v>44434</v>
      </c>
      <c r="M116">
        <f t="shared" ca="1" si="14"/>
        <v>196</v>
      </c>
      <c r="N116">
        <v>3</v>
      </c>
      <c r="O116" t="str">
        <f t="shared" si="15"/>
        <v>Thursday</v>
      </c>
      <c r="P116" t="str">
        <f t="shared" si="16"/>
        <v>August</v>
      </c>
      <c r="Q116" t="str">
        <f t="shared" si="17"/>
        <v>Weekday</v>
      </c>
    </row>
    <row r="117" spans="1:17" x14ac:dyDescent="0.3">
      <c r="A117">
        <v>116</v>
      </c>
      <c r="B117" t="s">
        <v>181</v>
      </c>
      <c r="C117" t="s">
        <v>74</v>
      </c>
      <c r="D117" t="s">
        <v>84</v>
      </c>
      <c r="E117" s="6">
        <v>43480</v>
      </c>
      <c r="F117" s="10">
        <v>4298</v>
      </c>
      <c r="G117" t="s">
        <v>240</v>
      </c>
      <c r="H117">
        <f t="shared" ca="1" si="9"/>
        <v>6</v>
      </c>
      <c r="I117" s="12" t="str">
        <f t="shared" ca="1" si="10"/>
        <v>6 year 8 month 21 day</v>
      </c>
      <c r="J117" s="6">
        <f t="shared" si="11"/>
        <v>44576</v>
      </c>
      <c r="K117" s="6">
        <f t="shared" si="12"/>
        <v>43540</v>
      </c>
      <c r="L117" s="6">
        <f t="shared" si="13"/>
        <v>43564</v>
      </c>
      <c r="M117">
        <f t="shared" ca="1" si="14"/>
        <v>194</v>
      </c>
      <c r="N117">
        <v>5</v>
      </c>
      <c r="O117" t="str">
        <f t="shared" si="15"/>
        <v>Tuesday</v>
      </c>
      <c r="P117" t="str">
        <f t="shared" si="16"/>
        <v>April</v>
      </c>
      <c r="Q117" t="str">
        <f t="shared" si="17"/>
        <v>Weekday</v>
      </c>
    </row>
    <row r="118" spans="1:17" x14ac:dyDescent="0.3">
      <c r="A118">
        <v>117</v>
      </c>
      <c r="B118" t="s">
        <v>183</v>
      </c>
      <c r="C118" t="s">
        <v>87</v>
      </c>
      <c r="D118" t="s">
        <v>81</v>
      </c>
      <c r="E118" s="6">
        <v>43413</v>
      </c>
      <c r="F118" s="10">
        <v>7791</v>
      </c>
      <c r="G118" t="s">
        <v>241</v>
      </c>
      <c r="H118">
        <f t="shared" ca="1" si="9"/>
        <v>6</v>
      </c>
      <c r="I118" s="12" t="str">
        <f t="shared" ca="1" si="10"/>
        <v>6 year 10 month 27 day</v>
      </c>
      <c r="J118" s="6">
        <f t="shared" si="11"/>
        <v>44509</v>
      </c>
      <c r="K118" s="6">
        <f t="shared" si="12"/>
        <v>43473</v>
      </c>
      <c r="L118" s="6">
        <f t="shared" si="13"/>
        <v>43497</v>
      </c>
      <c r="M118">
        <f t="shared" ca="1" si="14"/>
        <v>197</v>
      </c>
      <c r="N118">
        <v>2</v>
      </c>
      <c r="O118" t="str">
        <f t="shared" si="15"/>
        <v>Friday</v>
      </c>
      <c r="P118" t="str">
        <f t="shared" si="16"/>
        <v>February</v>
      </c>
      <c r="Q118" t="str">
        <f t="shared" si="17"/>
        <v>Weekday</v>
      </c>
    </row>
    <row r="119" spans="1:17" x14ac:dyDescent="0.3">
      <c r="A119">
        <v>118</v>
      </c>
      <c r="B119" t="s">
        <v>39</v>
      </c>
      <c r="C119" t="s">
        <v>78</v>
      </c>
      <c r="D119" t="s">
        <v>84</v>
      </c>
      <c r="E119" s="6">
        <v>43713</v>
      </c>
      <c r="F119" s="10">
        <v>8784</v>
      </c>
      <c r="G119" t="s">
        <v>242</v>
      </c>
      <c r="H119">
        <f t="shared" ca="1" si="9"/>
        <v>6</v>
      </c>
      <c r="I119" s="12" t="str">
        <f t="shared" ca="1" si="10"/>
        <v>6 year 1 month 1 day</v>
      </c>
      <c r="J119" s="6">
        <f t="shared" si="11"/>
        <v>44809</v>
      </c>
      <c r="K119" s="6">
        <f t="shared" si="12"/>
        <v>43773</v>
      </c>
      <c r="L119" s="6">
        <f t="shared" si="13"/>
        <v>43797</v>
      </c>
      <c r="M119">
        <f t="shared" ca="1" si="14"/>
        <v>197</v>
      </c>
      <c r="N119">
        <v>2</v>
      </c>
      <c r="O119" t="str">
        <f t="shared" si="15"/>
        <v>Thursday</v>
      </c>
      <c r="P119" t="str">
        <f t="shared" si="16"/>
        <v>November</v>
      </c>
      <c r="Q119" t="str">
        <f t="shared" si="17"/>
        <v>Weekday</v>
      </c>
    </row>
    <row r="120" spans="1:17" x14ac:dyDescent="0.3">
      <c r="A120">
        <v>119</v>
      </c>
      <c r="B120" t="s">
        <v>185</v>
      </c>
      <c r="C120" t="s">
        <v>102</v>
      </c>
      <c r="D120" t="s">
        <v>75</v>
      </c>
      <c r="E120" s="6">
        <v>43305</v>
      </c>
      <c r="F120" s="10">
        <v>9369</v>
      </c>
      <c r="G120" t="s">
        <v>243</v>
      </c>
      <c r="H120">
        <f t="shared" ca="1" si="9"/>
        <v>7</v>
      </c>
      <c r="I120" s="12" t="str">
        <f t="shared" ca="1" si="10"/>
        <v>7 year 2 month 12 day</v>
      </c>
      <c r="J120" s="6">
        <f t="shared" si="11"/>
        <v>44401</v>
      </c>
      <c r="K120" s="6">
        <f t="shared" si="12"/>
        <v>43365</v>
      </c>
      <c r="L120" s="6">
        <f t="shared" si="13"/>
        <v>43389</v>
      </c>
      <c r="M120">
        <f t="shared" ca="1" si="14"/>
        <v>198</v>
      </c>
      <c r="N120">
        <v>1</v>
      </c>
      <c r="O120" t="str">
        <f t="shared" si="15"/>
        <v>Tuesday</v>
      </c>
      <c r="P120" t="str">
        <f t="shared" si="16"/>
        <v>October</v>
      </c>
      <c r="Q120" t="str">
        <f t="shared" si="17"/>
        <v>Weekday</v>
      </c>
    </row>
    <row r="121" spans="1:17" x14ac:dyDescent="0.3">
      <c r="A121">
        <v>120</v>
      </c>
      <c r="B121" t="s">
        <v>176</v>
      </c>
      <c r="C121" t="s">
        <v>90</v>
      </c>
      <c r="D121" t="s">
        <v>98</v>
      </c>
      <c r="E121" s="6">
        <v>42525</v>
      </c>
      <c r="F121" s="10">
        <v>2509</v>
      </c>
      <c r="G121" t="s">
        <v>244</v>
      </c>
      <c r="H121">
        <f t="shared" ca="1" si="9"/>
        <v>9</v>
      </c>
      <c r="I121" s="12" t="str">
        <f t="shared" ca="1" si="10"/>
        <v>9 year 4 month 2 day</v>
      </c>
      <c r="J121" s="6">
        <f t="shared" si="11"/>
        <v>43620</v>
      </c>
      <c r="K121" s="6">
        <f t="shared" si="12"/>
        <v>42585</v>
      </c>
      <c r="L121" s="6">
        <f t="shared" si="13"/>
        <v>42608</v>
      </c>
      <c r="M121">
        <f t="shared" ca="1" si="14"/>
        <v>194</v>
      </c>
      <c r="N121">
        <v>5</v>
      </c>
      <c r="O121" t="str">
        <f t="shared" si="15"/>
        <v>Friday</v>
      </c>
      <c r="P121" t="str">
        <f t="shared" si="16"/>
        <v>August</v>
      </c>
      <c r="Q121" t="str">
        <f t="shared" si="17"/>
        <v>Weekend</v>
      </c>
    </row>
    <row r="122" spans="1:17" x14ac:dyDescent="0.3">
      <c r="A122">
        <v>121</v>
      </c>
      <c r="B122" t="s">
        <v>141</v>
      </c>
      <c r="C122" t="s">
        <v>78</v>
      </c>
      <c r="D122" t="s">
        <v>98</v>
      </c>
      <c r="E122" s="6">
        <v>44430</v>
      </c>
      <c r="F122" s="10">
        <v>8252</v>
      </c>
      <c r="G122" t="s">
        <v>245</v>
      </c>
      <c r="H122">
        <f t="shared" ca="1" si="9"/>
        <v>4</v>
      </c>
      <c r="I122" s="12" t="str">
        <f t="shared" ca="1" si="10"/>
        <v>4 year 1 month 14 day</v>
      </c>
      <c r="J122" s="6">
        <f t="shared" si="11"/>
        <v>45526</v>
      </c>
      <c r="K122" s="6">
        <f t="shared" si="12"/>
        <v>44490</v>
      </c>
      <c r="L122" s="6">
        <f t="shared" si="13"/>
        <v>44512</v>
      </c>
      <c r="M122">
        <f t="shared" ca="1" si="14"/>
        <v>195</v>
      </c>
      <c r="N122">
        <v>4</v>
      </c>
      <c r="O122" t="str">
        <f t="shared" si="15"/>
        <v>Friday</v>
      </c>
      <c r="P122" t="str">
        <f t="shared" si="16"/>
        <v>November</v>
      </c>
      <c r="Q122" t="str">
        <f t="shared" si="17"/>
        <v>Weekend</v>
      </c>
    </row>
    <row r="123" spans="1:17" x14ac:dyDescent="0.3">
      <c r="A123">
        <v>122</v>
      </c>
      <c r="B123" t="s">
        <v>113</v>
      </c>
      <c r="C123" t="s">
        <v>90</v>
      </c>
      <c r="D123" t="s">
        <v>81</v>
      </c>
      <c r="E123" s="6">
        <v>44734</v>
      </c>
      <c r="F123" s="10">
        <v>8795</v>
      </c>
      <c r="G123" t="s">
        <v>246</v>
      </c>
      <c r="H123">
        <f t="shared" ca="1" si="9"/>
        <v>3</v>
      </c>
      <c r="I123" s="12" t="str">
        <f t="shared" ca="1" si="10"/>
        <v>3 year 3 month 14 day</v>
      </c>
      <c r="J123" s="6">
        <f t="shared" si="11"/>
        <v>45830</v>
      </c>
      <c r="K123" s="6">
        <f t="shared" si="12"/>
        <v>44794</v>
      </c>
      <c r="L123" s="6">
        <f t="shared" si="13"/>
        <v>44818</v>
      </c>
      <c r="M123">
        <f t="shared" ca="1" si="14"/>
        <v>198</v>
      </c>
      <c r="N123">
        <v>1</v>
      </c>
      <c r="O123" t="str">
        <f t="shared" si="15"/>
        <v>Wednesday</v>
      </c>
      <c r="P123" t="str">
        <f t="shared" si="16"/>
        <v>September</v>
      </c>
      <c r="Q123" t="str">
        <f t="shared" si="17"/>
        <v>Weekday</v>
      </c>
    </row>
    <row r="124" spans="1:17" x14ac:dyDescent="0.3">
      <c r="A124">
        <v>123</v>
      </c>
      <c r="B124" t="s">
        <v>146</v>
      </c>
      <c r="C124" t="s">
        <v>87</v>
      </c>
      <c r="D124" t="s">
        <v>91</v>
      </c>
      <c r="E124" s="6">
        <v>43077</v>
      </c>
      <c r="F124" s="10">
        <v>5725</v>
      </c>
      <c r="G124" t="s">
        <v>247</v>
      </c>
      <c r="H124">
        <f t="shared" ca="1" si="9"/>
        <v>7</v>
      </c>
      <c r="I124" s="12" t="str">
        <f t="shared" ca="1" si="10"/>
        <v>7 year 9 month 28 day</v>
      </c>
      <c r="J124" s="6">
        <f t="shared" si="11"/>
        <v>44173</v>
      </c>
      <c r="K124" s="6">
        <f t="shared" si="12"/>
        <v>43137</v>
      </c>
      <c r="L124" s="6">
        <f t="shared" si="13"/>
        <v>43161</v>
      </c>
      <c r="M124">
        <f t="shared" ca="1" si="14"/>
        <v>195</v>
      </c>
      <c r="N124">
        <v>4</v>
      </c>
      <c r="O124" t="str">
        <f t="shared" si="15"/>
        <v>Friday</v>
      </c>
      <c r="P124" t="str">
        <f t="shared" si="16"/>
        <v>March</v>
      </c>
      <c r="Q124" t="str">
        <f t="shared" si="17"/>
        <v>Weekday</v>
      </c>
    </row>
    <row r="125" spans="1:17" x14ac:dyDescent="0.3">
      <c r="A125">
        <v>124</v>
      </c>
      <c r="B125" t="s">
        <v>248</v>
      </c>
      <c r="C125" t="s">
        <v>74</v>
      </c>
      <c r="D125" t="s">
        <v>75</v>
      </c>
      <c r="E125" s="6">
        <v>43321</v>
      </c>
      <c r="F125" s="10">
        <v>8199</v>
      </c>
      <c r="G125" t="s">
        <v>249</v>
      </c>
      <c r="H125">
        <f t="shared" ca="1" si="9"/>
        <v>7</v>
      </c>
      <c r="I125" s="12" t="str">
        <f t="shared" ca="1" si="10"/>
        <v>7 year 1 month 27 day</v>
      </c>
      <c r="J125" s="6">
        <f t="shared" si="11"/>
        <v>44417</v>
      </c>
      <c r="K125" s="6">
        <f t="shared" si="12"/>
        <v>43381</v>
      </c>
      <c r="L125" s="6">
        <f t="shared" si="13"/>
        <v>43405</v>
      </c>
      <c r="M125">
        <f t="shared" ca="1" si="14"/>
        <v>198</v>
      </c>
      <c r="N125">
        <v>1</v>
      </c>
      <c r="O125" t="str">
        <f t="shared" si="15"/>
        <v>Thursday</v>
      </c>
      <c r="P125" t="str">
        <f t="shared" si="16"/>
        <v>November</v>
      </c>
      <c r="Q125" t="str">
        <f t="shared" si="17"/>
        <v>Weekday</v>
      </c>
    </row>
    <row r="126" spans="1:17" x14ac:dyDescent="0.3">
      <c r="A126">
        <v>125</v>
      </c>
      <c r="B126" t="s">
        <v>250</v>
      </c>
      <c r="C126" t="s">
        <v>102</v>
      </c>
      <c r="D126" t="s">
        <v>75</v>
      </c>
      <c r="E126" s="6">
        <v>44716</v>
      </c>
      <c r="F126" s="10">
        <v>9174</v>
      </c>
      <c r="G126" t="s">
        <v>251</v>
      </c>
      <c r="H126">
        <f t="shared" ca="1" si="9"/>
        <v>3</v>
      </c>
      <c r="I126" s="12" t="str">
        <f t="shared" ca="1" si="10"/>
        <v>3 year 4 month 2 day</v>
      </c>
      <c r="J126" s="6">
        <f t="shared" si="11"/>
        <v>45812</v>
      </c>
      <c r="K126" s="6">
        <f t="shared" si="12"/>
        <v>44776</v>
      </c>
      <c r="L126" s="6">
        <f t="shared" si="13"/>
        <v>44799</v>
      </c>
      <c r="M126">
        <f t="shared" ca="1" si="14"/>
        <v>193</v>
      </c>
      <c r="N126">
        <v>6</v>
      </c>
      <c r="O126" t="str">
        <f t="shared" si="15"/>
        <v>Friday</v>
      </c>
      <c r="P126" t="str">
        <f t="shared" si="16"/>
        <v>August</v>
      </c>
      <c r="Q126" t="str">
        <f t="shared" si="17"/>
        <v>Weekend</v>
      </c>
    </row>
    <row r="127" spans="1:17" x14ac:dyDescent="0.3">
      <c r="A127">
        <v>126</v>
      </c>
      <c r="B127" t="s">
        <v>109</v>
      </c>
      <c r="C127" t="s">
        <v>102</v>
      </c>
      <c r="D127" t="s">
        <v>75</v>
      </c>
      <c r="E127" s="6">
        <v>44909</v>
      </c>
      <c r="F127" s="10">
        <v>2645</v>
      </c>
      <c r="G127" t="s">
        <v>252</v>
      </c>
      <c r="H127">
        <f t="shared" ca="1" si="9"/>
        <v>2</v>
      </c>
      <c r="I127" s="12" t="str">
        <f t="shared" ca="1" si="10"/>
        <v>2 year 9 month 22 day</v>
      </c>
      <c r="J127" s="6">
        <f t="shared" si="11"/>
        <v>46005</v>
      </c>
      <c r="K127" s="6">
        <f t="shared" si="12"/>
        <v>44969</v>
      </c>
      <c r="L127" s="6">
        <f t="shared" si="13"/>
        <v>44993</v>
      </c>
      <c r="M127">
        <f t="shared" ca="1" si="14"/>
        <v>196</v>
      </c>
      <c r="N127">
        <v>3</v>
      </c>
      <c r="O127" t="str">
        <f t="shared" si="15"/>
        <v>Wednesday</v>
      </c>
      <c r="P127" t="str">
        <f t="shared" si="16"/>
        <v>March</v>
      </c>
      <c r="Q127" t="str">
        <f t="shared" si="17"/>
        <v>Weekday</v>
      </c>
    </row>
    <row r="128" spans="1:17" x14ac:dyDescent="0.3">
      <c r="A128">
        <v>127</v>
      </c>
      <c r="B128" t="s">
        <v>141</v>
      </c>
      <c r="C128" t="s">
        <v>78</v>
      </c>
      <c r="D128" t="s">
        <v>75</v>
      </c>
      <c r="E128" s="6">
        <v>43467</v>
      </c>
      <c r="F128" s="10">
        <v>2982</v>
      </c>
      <c r="G128" t="s">
        <v>253</v>
      </c>
      <c r="H128">
        <f t="shared" ca="1" si="9"/>
        <v>6</v>
      </c>
      <c r="I128" s="12" t="str">
        <f t="shared" ca="1" si="10"/>
        <v>6 year 9 month 4 day</v>
      </c>
      <c r="J128" s="6">
        <f t="shared" si="11"/>
        <v>44563</v>
      </c>
      <c r="K128" s="6">
        <f t="shared" si="12"/>
        <v>43527</v>
      </c>
      <c r="L128" s="6">
        <f t="shared" si="13"/>
        <v>43551</v>
      </c>
      <c r="M128">
        <f t="shared" ca="1" si="14"/>
        <v>194</v>
      </c>
      <c r="N128">
        <v>5</v>
      </c>
      <c r="O128" t="str">
        <f t="shared" si="15"/>
        <v>Wednesday</v>
      </c>
      <c r="P128" t="str">
        <f t="shared" si="16"/>
        <v>March</v>
      </c>
      <c r="Q128" t="str">
        <f t="shared" si="17"/>
        <v>Weekday</v>
      </c>
    </row>
    <row r="129" spans="1:17" x14ac:dyDescent="0.3">
      <c r="A129">
        <v>128</v>
      </c>
      <c r="B129" t="s">
        <v>160</v>
      </c>
      <c r="C129" t="s">
        <v>102</v>
      </c>
      <c r="D129" t="s">
        <v>81</v>
      </c>
      <c r="E129" s="6">
        <v>43254</v>
      </c>
      <c r="F129" s="10">
        <v>3130</v>
      </c>
      <c r="G129" t="s">
        <v>254</v>
      </c>
      <c r="H129">
        <f t="shared" ca="1" si="9"/>
        <v>7</v>
      </c>
      <c r="I129" s="12" t="str">
        <f t="shared" ca="1" si="10"/>
        <v>7 year 4 month 3 day</v>
      </c>
      <c r="J129" s="6">
        <f t="shared" si="11"/>
        <v>44350</v>
      </c>
      <c r="K129" s="6">
        <f t="shared" si="12"/>
        <v>43314</v>
      </c>
      <c r="L129" s="6">
        <f t="shared" si="13"/>
        <v>43336</v>
      </c>
      <c r="M129">
        <f t="shared" ca="1" si="14"/>
        <v>194</v>
      </c>
      <c r="N129">
        <v>5</v>
      </c>
      <c r="O129" t="str">
        <f t="shared" si="15"/>
        <v>Friday</v>
      </c>
      <c r="P129" t="str">
        <f t="shared" si="16"/>
        <v>August</v>
      </c>
      <c r="Q129" t="str">
        <f t="shared" si="17"/>
        <v>Weekend</v>
      </c>
    </row>
    <row r="130" spans="1:17" x14ac:dyDescent="0.3">
      <c r="A130">
        <v>129</v>
      </c>
      <c r="B130" t="s">
        <v>121</v>
      </c>
      <c r="C130" t="s">
        <v>78</v>
      </c>
      <c r="D130" t="s">
        <v>91</v>
      </c>
      <c r="E130" s="6">
        <v>42666</v>
      </c>
      <c r="F130" s="10">
        <v>5352</v>
      </c>
      <c r="G130" t="s">
        <v>255</v>
      </c>
      <c r="H130">
        <f t="shared" ca="1" si="9"/>
        <v>8</v>
      </c>
      <c r="I130" s="12" t="str">
        <f t="shared" ca="1" si="10"/>
        <v>8 year 11 month 13 day</v>
      </c>
      <c r="J130" s="6">
        <f t="shared" si="11"/>
        <v>43761</v>
      </c>
      <c r="K130" s="6">
        <f t="shared" si="12"/>
        <v>42726</v>
      </c>
      <c r="L130" s="6">
        <f t="shared" si="13"/>
        <v>42748</v>
      </c>
      <c r="M130">
        <f t="shared" ca="1" si="14"/>
        <v>193</v>
      </c>
      <c r="N130">
        <v>6</v>
      </c>
      <c r="O130" t="str">
        <f t="shared" si="15"/>
        <v>Friday</v>
      </c>
      <c r="P130" t="str">
        <f t="shared" si="16"/>
        <v>January</v>
      </c>
      <c r="Q130" t="str">
        <f t="shared" si="17"/>
        <v>Weekend</v>
      </c>
    </row>
    <row r="131" spans="1:17" x14ac:dyDescent="0.3">
      <c r="A131">
        <v>130</v>
      </c>
      <c r="B131" t="s">
        <v>107</v>
      </c>
      <c r="C131" t="s">
        <v>102</v>
      </c>
      <c r="D131" t="s">
        <v>98</v>
      </c>
      <c r="E131" s="6">
        <v>44471</v>
      </c>
      <c r="F131" s="10">
        <v>3487</v>
      </c>
      <c r="G131" t="s">
        <v>256</v>
      </c>
      <c r="H131">
        <f t="shared" ref="H131:H194" ca="1" si="18">DATEDIF(E131,TODAY(),"Y")</f>
        <v>4</v>
      </c>
      <c r="I131" s="12" t="str">
        <f t="shared" ref="I131:I194" ca="1" si="19">DATEDIF(E131,TODAY(),"Y")&amp;" year "&amp;DATEDIF(E131,TODAY(),"YM")&amp;" month "&amp;DATEDIF(E131,TODAY(),"MD")&amp;" day"</f>
        <v>4 year 0 month 4 day</v>
      </c>
      <c r="J131" s="6">
        <f t="shared" ref="J131:J194" si="20">EDATE(E131,36)</f>
        <v>45567</v>
      </c>
      <c r="K131" s="6">
        <f t="shared" ref="K131:K194" si="21">E131+60</f>
        <v>44531</v>
      </c>
      <c r="L131" s="6">
        <f t="shared" ref="L131:L194" si="22">WORKDAY(E131,60)</f>
        <v>44554</v>
      </c>
      <c r="M131">
        <f t="shared" ref="M131:M194" ca="1" si="23">NETWORKDAYS(DATE(2025,1,1),TODAY())-N131</f>
        <v>197</v>
      </c>
      <c r="N131">
        <v>2</v>
      </c>
      <c r="O131" t="str">
        <f t="shared" ref="O131:O194" si="24">TEXT(L131,"DDDD")</f>
        <v>Friday</v>
      </c>
      <c r="P131" t="str">
        <f t="shared" ref="P131:P194" si="25">TEXT(L131,"MMMM")</f>
        <v>December</v>
      </c>
      <c r="Q131" t="str">
        <f t="shared" ref="Q131:Q194" si="26">IF(WEEKDAY(E131,2)&gt;5,"Weekend","Weekday")</f>
        <v>Weekend</v>
      </c>
    </row>
    <row r="132" spans="1:17" x14ac:dyDescent="0.3">
      <c r="A132">
        <v>131</v>
      </c>
      <c r="B132" t="s">
        <v>224</v>
      </c>
      <c r="C132" t="s">
        <v>102</v>
      </c>
      <c r="D132" t="s">
        <v>84</v>
      </c>
      <c r="E132" s="6">
        <v>43551</v>
      </c>
      <c r="F132" s="10">
        <v>11341</v>
      </c>
      <c r="G132" t="s">
        <v>257</v>
      </c>
      <c r="H132">
        <f t="shared" ca="1" si="18"/>
        <v>6</v>
      </c>
      <c r="I132" s="12" t="str">
        <f t="shared" ca="1" si="19"/>
        <v>6 year 6 month 9 day</v>
      </c>
      <c r="J132" s="6">
        <f t="shared" si="20"/>
        <v>44647</v>
      </c>
      <c r="K132" s="6">
        <f t="shared" si="21"/>
        <v>43611</v>
      </c>
      <c r="L132" s="6">
        <f t="shared" si="22"/>
        <v>43635</v>
      </c>
      <c r="M132">
        <f t="shared" ca="1" si="23"/>
        <v>193</v>
      </c>
      <c r="N132">
        <v>6</v>
      </c>
      <c r="O132" t="str">
        <f t="shared" si="24"/>
        <v>Wednesday</v>
      </c>
      <c r="P132" t="str">
        <f t="shared" si="25"/>
        <v>June</v>
      </c>
      <c r="Q132" t="str">
        <f t="shared" si="26"/>
        <v>Weekday</v>
      </c>
    </row>
    <row r="133" spans="1:17" x14ac:dyDescent="0.3">
      <c r="A133">
        <v>132</v>
      </c>
      <c r="B133" t="s">
        <v>258</v>
      </c>
      <c r="C133" t="s">
        <v>90</v>
      </c>
      <c r="D133" t="s">
        <v>91</v>
      </c>
      <c r="E133" s="6">
        <v>44642</v>
      </c>
      <c r="F133" s="10">
        <v>3600</v>
      </c>
      <c r="G133" t="s">
        <v>259</v>
      </c>
      <c r="H133">
        <f t="shared" ca="1" si="18"/>
        <v>3</v>
      </c>
      <c r="I133" s="12" t="str">
        <f t="shared" ca="1" si="19"/>
        <v>3 year 6 month 14 day</v>
      </c>
      <c r="J133" s="6">
        <f t="shared" si="20"/>
        <v>45738</v>
      </c>
      <c r="K133" s="6">
        <f t="shared" si="21"/>
        <v>44702</v>
      </c>
      <c r="L133" s="6">
        <f t="shared" si="22"/>
        <v>44726</v>
      </c>
      <c r="M133">
        <f t="shared" ca="1" si="23"/>
        <v>197</v>
      </c>
      <c r="N133">
        <v>2</v>
      </c>
      <c r="O133" t="str">
        <f t="shared" si="24"/>
        <v>Tuesday</v>
      </c>
      <c r="P133" t="str">
        <f t="shared" si="25"/>
        <v>June</v>
      </c>
      <c r="Q133" t="str">
        <f t="shared" si="26"/>
        <v>Weekday</v>
      </c>
    </row>
    <row r="134" spans="1:17" x14ac:dyDescent="0.3">
      <c r="A134">
        <v>133</v>
      </c>
      <c r="B134" t="s">
        <v>135</v>
      </c>
      <c r="C134" t="s">
        <v>102</v>
      </c>
      <c r="D134" t="s">
        <v>98</v>
      </c>
      <c r="E134" s="6">
        <v>42445</v>
      </c>
      <c r="F134" s="10">
        <v>9921</v>
      </c>
      <c r="G134" t="s">
        <v>260</v>
      </c>
      <c r="H134">
        <f t="shared" ca="1" si="18"/>
        <v>9</v>
      </c>
      <c r="I134" s="12" t="str">
        <f t="shared" ca="1" si="19"/>
        <v>9 year 6 month 20 day</v>
      </c>
      <c r="J134" s="6">
        <f t="shared" si="20"/>
        <v>43540</v>
      </c>
      <c r="K134" s="6">
        <f t="shared" si="21"/>
        <v>42505</v>
      </c>
      <c r="L134" s="6">
        <f t="shared" si="22"/>
        <v>42529</v>
      </c>
      <c r="M134">
        <f t="shared" ca="1" si="23"/>
        <v>193</v>
      </c>
      <c r="N134">
        <v>6</v>
      </c>
      <c r="O134" t="str">
        <f t="shared" si="24"/>
        <v>Wednesday</v>
      </c>
      <c r="P134" t="str">
        <f t="shared" si="25"/>
        <v>June</v>
      </c>
      <c r="Q134" t="str">
        <f t="shared" si="26"/>
        <v>Weekday</v>
      </c>
    </row>
    <row r="135" spans="1:17" x14ac:dyDescent="0.3">
      <c r="A135">
        <v>134</v>
      </c>
      <c r="B135" t="s">
        <v>83</v>
      </c>
      <c r="C135" t="s">
        <v>74</v>
      </c>
      <c r="D135" t="s">
        <v>81</v>
      </c>
      <c r="E135" s="6">
        <v>42774</v>
      </c>
      <c r="F135" s="10">
        <v>3843</v>
      </c>
      <c r="G135" t="s">
        <v>261</v>
      </c>
      <c r="H135">
        <f t="shared" ca="1" si="18"/>
        <v>8</v>
      </c>
      <c r="I135" s="12" t="str">
        <f t="shared" ca="1" si="19"/>
        <v>8 year 7 month 28 day</v>
      </c>
      <c r="J135" s="6">
        <f t="shared" si="20"/>
        <v>43869</v>
      </c>
      <c r="K135" s="6">
        <f t="shared" si="21"/>
        <v>42834</v>
      </c>
      <c r="L135" s="6">
        <f t="shared" si="22"/>
        <v>42858</v>
      </c>
      <c r="M135">
        <f t="shared" ca="1" si="23"/>
        <v>198</v>
      </c>
      <c r="N135">
        <v>1</v>
      </c>
      <c r="O135" t="str">
        <f t="shared" si="24"/>
        <v>Wednesday</v>
      </c>
      <c r="P135" t="str">
        <f t="shared" si="25"/>
        <v>May</v>
      </c>
      <c r="Q135" t="str">
        <f t="shared" si="26"/>
        <v>Weekday</v>
      </c>
    </row>
    <row r="136" spans="1:17" x14ac:dyDescent="0.3">
      <c r="A136">
        <v>135</v>
      </c>
      <c r="B136" t="s">
        <v>125</v>
      </c>
      <c r="C136" t="s">
        <v>78</v>
      </c>
      <c r="D136" t="s">
        <v>91</v>
      </c>
      <c r="E136" s="6">
        <v>42267</v>
      </c>
      <c r="F136" s="10">
        <v>9280</v>
      </c>
      <c r="G136" t="s">
        <v>262</v>
      </c>
      <c r="H136">
        <f t="shared" ca="1" si="18"/>
        <v>10</v>
      </c>
      <c r="I136" s="12" t="str">
        <f t="shared" ca="1" si="19"/>
        <v>10 year 0 month 16 day</v>
      </c>
      <c r="J136" s="6">
        <f t="shared" si="20"/>
        <v>43363</v>
      </c>
      <c r="K136" s="6">
        <f t="shared" si="21"/>
        <v>42327</v>
      </c>
      <c r="L136" s="6">
        <f t="shared" si="22"/>
        <v>42349</v>
      </c>
      <c r="M136">
        <f t="shared" ca="1" si="23"/>
        <v>196</v>
      </c>
      <c r="N136">
        <v>3</v>
      </c>
      <c r="O136" t="str">
        <f t="shared" si="24"/>
        <v>Friday</v>
      </c>
      <c r="P136" t="str">
        <f t="shared" si="25"/>
        <v>December</v>
      </c>
      <c r="Q136" t="str">
        <f t="shared" si="26"/>
        <v>Weekend</v>
      </c>
    </row>
    <row r="137" spans="1:17" x14ac:dyDescent="0.3">
      <c r="A137">
        <v>136</v>
      </c>
      <c r="B137" t="s">
        <v>181</v>
      </c>
      <c r="C137" t="s">
        <v>90</v>
      </c>
      <c r="D137" t="s">
        <v>81</v>
      </c>
      <c r="E137" s="6">
        <v>44511</v>
      </c>
      <c r="F137" s="10">
        <v>4849</v>
      </c>
      <c r="G137" t="s">
        <v>263</v>
      </c>
      <c r="H137">
        <f t="shared" ca="1" si="18"/>
        <v>3</v>
      </c>
      <c r="I137" s="12" t="str">
        <f t="shared" ca="1" si="19"/>
        <v>3 year 10 month 25 day</v>
      </c>
      <c r="J137" s="6">
        <f t="shared" si="20"/>
        <v>45607</v>
      </c>
      <c r="K137" s="6">
        <f t="shared" si="21"/>
        <v>44571</v>
      </c>
      <c r="L137" s="6">
        <f t="shared" si="22"/>
        <v>44595</v>
      </c>
      <c r="M137">
        <f t="shared" ca="1" si="23"/>
        <v>193</v>
      </c>
      <c r="N137">
        <v>6</v>
      </c>
      <c r="O137" t="str">
        <f t="shared" si="24"/>
        <v>Thursday</v>
      </c>
      <c r="P137" t="str">
        <f t="shared" si="25"/>
        <v>February</v>
      </c>
      <c r="Q137" t="str">
        <f t="shared" si="26"/>
        <v>Weekday</v>
      </c>
    </row>
    <row r="138" spans="1:17" x14ac:dyDescent="0.3">
      <c r="A138">
        <v>137</v>
      </c>
      <c r="B138" t="s">
        <v>77</v>
      </c>
      <c r="C138" t="s">
        <v>102</v>
      </c>
      <c r="D138" t="s">
        <v>98</v>
      </c>
      <c r="E138" s="6">
        <v>43608</v>
      </c>
      <c r="F138" s="10">
        <v>3741</v>
      </c>
      <c r="G138" t="s">
        <v>264</v>
      </c>
      <c r="H138">
        <f t="shared" ca="1" si="18"/>
        <v>6</v>
      </c>
      <c r="I138" s="12" t="str">
        <f t="shared" ca="1" si="19"/>
        <v>6 year 4 month 13 day</v>
      </c>
      <c r="J138" s="6">
        <f t="shared" si="20"/>
        <v>44704</v>
      </c>
      <c r="K138" s="6">
        <f t="shared" si="21"/>
        <v>43668</v>
      </c>
      <c r="L138" s="6">
        <f t="shared" si="22"/>
        <v>43692</v>
      </c>
      <c r="M138">
        <f t="shared" ca="1" si="23"/>
        <v>197</v>
      </c>
      <c r="N138">
        <v>2</v>
      </c>
      <c r="O138" t="str">
        <f t="shared" si="24"/>
        <v>Thursday</v>
      </c>
      <c r="P138" t="str">
        <f t="shared" si="25"/>
        <v>August</v>
      </c>
      <c r="Q138" t="str">
        <f t="shared" si="26"/>
        <v>Weekday</v>
      </c>
    </row>
    <row r="139" spans="1:17" x14ac:dyDescent="0.3">
      <c r="A139">
        <v>138</v>
      </c>
      <c r="B139" t="s">
        <v>265</v>
      </c>
      <c r="C139" t="s">
        <v>74</v>
      </c>
      <c r="D139" t="s">
        <v>81</v>
      </c>
      <c r="E139" s="6">
        <v>44606</v>
      </c>
      <c r="F139" s="10">
        <v>11882</v>
      </c>
      <c r="G139" t="s">
        <v>266</v>
      </c>
      <c r="H139">
        <f t="shared" ca="1" si="18"/>
        <v>3</v>
      </c>
      <c r="I139" s="12" t="str">
        <f t="shared" ca="1" si="19"/>
        <v>3 year 7 month 22 day</v>
      </c>
      <c r="J139" s="6">
        <f t="shared" si="20"/>
        <v>45702</v>
      </c>
      <c r="K139" s="6">
        <f t="shared" si="21"/>
        <v>44666</v>
      </c>
      <c r="L139" s="6">
        <f t="shared" si="22"/>
        <v>44690</v>
      </c>
      <c r="M139">
        <f t="shared" ca="1" si="23"/>
        <v>194</v>
      </c>
      <c r="N139">
        <v>5</v>
      </c>
      <c r="O139" t="str">
        <f t="shared" si="24"/>
        <v>Monday</v>
      </c>
      <c r="P139" t="str">
        <f t="shared" si="25"/>
        <v>May</v>
      </c>
      <c r="Q139" t="str">
        <f t="shared" si="26"/>
        <v>Weekday</v>
      </c>
    </row>
    <row r="140" spans="1:17" x14ac:dyDescent="0.3">
      <c r="A140">
        <v>139</v>
      </c>
      <c r="B140" t="s">
        <v>141</v>
      </c>
      <c r="C140" t="s">
        <v>102</v>
      </c>
      <c r="D140" t="s">
        <v>81</v>
      </c>
      <c r="E140" s="6">
        <v>43010</v>
      </c>
      <c r="F140" s="10">
        <v>10343</v>
      </c>
      <c r="G140" t="s">
        <v>267</v>
      </c>
      <c r="H140">
        <f t="shared" ca="1" si="18"/>
        <v>8</v>
      </c>
      <c r="I140" s="12" t="str">
        <f t="shared" ca="1" si="19"/>
        <v>8 year 0 month 4 day</v>
      </c>
      <c r="J140" s="6">
        <f t="shared" si="20"/>
        <v>44106</v>
      </c>
      <c r="K140" s="6">
        <f t="shared" si="21"/>
        <v>43070</v>
      </c>
      <c r="L140" s="6">
        <f t="shared" si="22"/>
        <v>43094</v>
      </c>
      <c r="M140">
        <f t="shared" ca="1" si="23"/>
        <v>193</v>
      </c>
      <c r="N140">
        <v>6</v>
      </c>
      <c r="O140" t="str">
        <f t="shared" si="24"/>
        <v>Monday</v>
      </c>
      <c r="P140" t="str">
        <f t="shared" si="25"/>
        <v>December</v>
      </c>
      <c r="Q140" t="str">
        <f t="shared" si="26"/>
        <v>Weekday</v>
      </c>
    </row>
    <row r="141" spans="1:17" x14ac:dyDescent="0.3">
      <c r="A141">
        <v>140</v>
      </c>
      <c r="B141" t="s">
        <v>265</v>
      </c>
      <c r="C141" t="s">
        <v>102</v>
      </c>
      <c r="D141" t="s">
        <v>98</v>
      </c>
      <c r="E141" s="6">
        <v>42077</v>
      </c>
      <c r="F141" s="10">
        <v>7972</v>
      </c>
      <c r="G141" t="s">
        <v>268</v>
      </c>
      <c r="H141">
        <f t="shared" ca="1" si="18"/>
        <v>10</v>
      </c>
      <c r="I141" s="12" t="str">
        <f t="shared" ca="1" si="19"/>
        <v>10 year 6 month 22 day</v>
      </c>
      <c r="J141" s="6">
        <f t="shared" si="20"/>
        <v>43173</v>
      </c>
      <c r="K141" s="6">
        <f t="shared" si="21"/>
        <v>42137</v>
      </c>
      <c r="L141" s="6">
        <f t="shared" si="22"/>
        <v>42160</v>
      </c>
      <c r="M141">
        <f t="shared" ca="1" si="23"/>
        <v>198</v>
      </c>
      <c r="N141">
        <v>1</v>
      </c>
      <c r="O141" t="str">
        <f t="shared" si="24"/>
        <v>Friday</v>
      </c>
      <c r="P141" t="str">
        <f t="shared" si="25"/>
        <v>June</v>
      </c>
      <c r="Q141" t="str">
        <f t="shared" si="26"/>
        <v>Weekend</v>
      </c>
    </row>
    <row r="142" spans="1:17" x14ac:dyDescent="0.3">
      <c r="A142">
        <v>141</v>
      </c>
      <c r="B142" t="s">
        <v>111</v>
      </c>
      <c r="C142" t="s">
        <v>87</v>
      </c>
      <c r="D142" t="s">
        <v>91</v>
      </c>
      <c r="E142" s="6">
        <v>44477</v>
      </c>
      <c r="F142" s="10">
        <v>3207</v>
      </c>
      <c r="G142" t="s">
        <v>269</v>
      </c>
      <c r="H142">
        <f t="shared" ca="1" si="18"/>
        <v>3</v>
      </c>
      <c r="I142" s="12" t="str">
        <f t="shared" ca="1" si="19"/>
        <v>3 year 11 month 28 day</v>
      </c>
      <c r="J142" s="6">
        <f t="shared" si="20"/>
        <v>45573</v>
      </c>
      <c r="K142" s="6">
        <f t="shared" si="21"/>
        <v>44537</v>
      </c>
      <c r="L142" s="6">
        <f t="shared" si="22"/>
        <v>44561</v>
      </c>
      <c r="M142">
        <f t="shared" ca="1" si="23"/>
        <v>198</v>
      </c>
      <c r="N142">
        <v>1</v>
      </c>
      <c r="O142" t="str">
        <f t="shared" si="24"/>
        <v>Friday</v>
      </c>
      <c r="P142" t="str">
        <f t="shared" si="25"/>
        <v>December</v>
      </c>
      <c r="Q142" t="str">
        <f t="shared" si="26"/>
        <v>Weekday</v>
      </c>
    </row>
    <row r="143" spans="1:17" x14ac:dyDescent="0.3">
      <c r="A143">
        <v>142</v>
      </c>
      <c r="B143" t="s">
        <v>77</v>
      </c>
      <c r="C143" t="s">
        <v>87</v>
      </c>
      <c r="D143" t="s">
        <v>81</v>
      </c>
      <c r="E143" s="6">
        <v>44613</v>
      </c>
      <c r="F143" s="10">
        <v>6213</v>
      </c>
      <c r="G143" t="s">
        <v>270</v>
      </c>
      <c r="H143">
        <f t="shared" ca="1" si="18"/>
        <v>3</v>
      </c>
      <c r="I143" s="12" t="str">
        <f t="shared" ca="1" si="19"/>
        <v>3 year 7 month 15 day</v>
      </c>
      <c r="J143" s="6">
        <f t="shared" si="20"/>
        <v>45709</v>
      </c>
      <c r="K143" s="6">
        <f t="shared" si="21"/>
        <v>44673</v>
      </c>
      <c r="L143" s="6">
        <f t="shared" si="22"/>
        <v>44697</v>
      </c>
      <c r="M143">
        <f t="shared" ca="1" si="23"/>
        <v>198</v>
      </c>
      <c r="N143">
        <v>1</v>
      </c>
      <c r="O143" t="str">
        <f t="shared" si="24"/>
        <v>Monday</v>
      </c>
      <c r="P143" t="str">
        <f t="shared" si="25"/>
        <v>May</v>
      </c>
      <c r="Q143" t="str">
        <f t="shared" si="26"/>
        <v>Weekday</v>
      </c>
    </row>
    <row r="144" spans="1:17" x14ac:dyDescent="0.3">
      <c r="A144">
        <v>143</v>
      </c>
      <c r="B144" t="s">
        <v>107</v>
      </c>
      <c r="C144" t="s">
        <v>74</v>
      </c>
      <c r="D144" t="s">
        <v>91</v>
      </c>
      <c r="E144" s="6">
        <v>44569</v>
      </c>
      <c r="F144" s="10">
        <v>4975</v>
      </c>
      <c r="G144" t="s">
        <v>271</v>
      </c>
      <c r="H144">
        <f t="shared" ca="1" si="18"/>
        <v>3</v>
      </c>
      <c r="I144" s="12" t="str">
        <f t="shared" ca="1" si="19"/>
        <v>3 year 8 month 28 day</v>
      </c>
      <c r="J144" s="6">
        <f t="shared" si="20"/>
        <v>45665</v>
      </c>
      <c r="K144" s="6">
        <f t="shared" si="21"/>
        <v>44629</v>
      </c>
      <c r="L144" s="6">
        <f t="shared" si="22"/>
        <v>44652</v>
      </c>
      <c r="M144">
        <f t="shared" ca="1" si="23"/>
        <v>194</v>
      </c>
      <c r="N144">
        <v>5</v>
      </c>
      <c r="O144" t="str">
        <f t="shared" si="24"/>
        <v>Friday</v>
      </c>
      <c r="P144" t="str">
        <f t="shared" si="25"/>
        <v>April</v>
      </c>
      <c r="Q144" t="str">
        <f t="shared" si="26"/>
        <v>Weekend</v>
      </c>
    </row>
    <row r="145" spans="1:17" x14ac:dyDescent="0.3">
      <c r="A145">
        <v>144</v>
      </c>
      <c r="B145" t="s">
        <v>135</v>
      </c>
      <c r="C145" t="s">
        <v>78</v>
      </c>
      <c r="D145" t="s">
        <v>91</v>
      </c>
      <c r="E145" s="6">
        <v>44201</v>
      </c>
      <c r="F145" s="10">
        <v>9897</v>
      </c>
      <c r="G145" t="s">
        <v>272</v>
      </c>
      <c r="H145">
        <f t="shared" ca="1" si="18"/>
        <v>4</v>
      </c>
      <c r="I145" s="12" t="str">
        <f t="shared" ca="1" si="19"/>
        <v>4 year 9 month 1 day</v>
      </c>
      <c r="J145" s="6">
        <f t="shared" si="20"/>
        <v>45296</v>
      </c>
      <c r="K145" s="6">
        <f t="shared" si="21"/>
        <v>44261</v>
      </c>
      <c r="L145" s="6">
        <f t="shared" si="22"/>
        <v>44285</v>
      </c>
      <c r="M145">
        <f t="shared" ca="1" si="23"/>
        <v>196</v>
      </c>
      <c r="N145">
        <v>3</v>
      </c>
      <c r="O145" t="str">
        <f t="shared" si="24"/>
        <v>Tuesday</v>
      </c>
      <c r="P145" t="str">
        <f t="shared" si="25"/>
        <v>March</v>
      </c>
      <c r="Q145" t="str">
        <f t="shared" si="26"/>
        <v>Weekday</v>
      </c>
    </row>
    <row r="146" spans="1:17" x14ac:dyDescent="0.3">
      <c r="A146">
        <v>145</v>
      </c>
      <c r="B146" t="s">
        <v>83</v>
      </c>
      <c r="C146" t="s">
        <v>87</v>
      </c>
      <c r="D146" t="s">
        <v>75</v>
      </c>
      <c r="E146" s="6">
        <v>43590</v>
      </c>
      <c r="F146" s="10">
        <v>10758</v>
      </c>
      <c r="G146" t="s">
        <v>273</v>
      </c>
      <c r="H146">
        <f t="shared" ca="1" si="18"/>
        <v>6</v>
      </c>
      <c r="I146" s="12" t="str">
        <f t="shared" ca="1" si="19"/>
        <v>6 year 5 month 1 day</v>
      </c>
      <c r="J146" s="6">
        <f t="shared" si="20"/>
        <v>44686</v>
      </c>
      <c r="K146" s="6">
        <f t="shared" si="21"/>
        <v>43650</v>
      </c>
      <c r="L146" s="6">
        <f t="shared" si="22"/>
        <v>43672</v>
      </c>
      <c r="M146">
        <f t="shared" ca="1" si="23"/>
        <v>197</v>
      </c>
      <c r="N146">
        <v>2</v>
      </c>
      <c r="O146" t="str">
        <f t="shared" si="24"/>
        <v>Friday</v>
      </c>
      <c r="P146" t="str">
        <f t="shared" si="25"/>
        <v>July</v>
      </c>
      <c r="Q146" t="str">
        <f t="shared" si="26"/>
        <v>Weekend</v>
      </c>
    </row>
    <row r="147" spans="1:17" x14ac:dyDescent="0.3">
      <c r="A147">
        <v>146</v>
      </c>
      <c r="B147" t="s">
        <v>227</v>
      </c>
      <c r="C147" t="s">
        <v>78</v>
      </c>
      <c r="D147" t="s">
        <v>75</v>
      </c>
      <c r="E147" s="6">
        <v>44433</v>
      </c>
      <c r="F147" s="10">
        <v>9926</v>
      </c>
      <c r="G147" t="s">
        <v>274</v>
      </c>
      <c r="H147">
        <f t="shared" ca="1" si="18"/>
        <v>4</v>
      </c>
      <c r="I147" s="12" t="str">
        <f t="shared" ca="1" si="19"/>
        <v>4 year 1 month 11 day</v>
      </c>
      <c r="J147" s="6">
        <f t="shared" si="20"/>
        <v>45529</v>
      </c>
      <c r="K147" s="6">
        <f t="shared" si="21"/>
        <v>44493</v>
      </c>
      <c r="L147" s="6">
        <f t="shared" si="22"/>
        <v>44517</v>
      </c>
      <c r="M147">
        <f t="shared" ca="1" si="23"/>
        <v>198</v>
      </c>
      <c r="N147">
        <v>1</v>
      </c>
      <c r="O147" t="str">
        <f t="shared" si="24"/>
        <v>Wednesday</v>
      </c>
      <c r="P147" t="str">
        <f t="shared" si="25"/>
        <v>November</v>
      </c>
      <c r="Q147" t="str">
        <f t="shared" si="26"/>
        <v>Weekday</v>
      </c>
    </row>
    <row r="148" spans="1:17" x14ac:dyDescent="0.3">
      <c r="A148">
        <v>147</v>
      </c>
      <c r="B148" t="s">
        <v>224</v>
      </c>
      <c r="C148" t="s">
        <v>102</v>
      </c>
      <c r="D148" t="s">
        <v>81</v>
      </c>
      <c r="E148" s="6">
        <v>43158</v>
      </c>
      <c r="F148" s="10">
        <v>7791</v>
      </c>
      <c r="G148" t="s">
        <v>275</v>
      </c>
      <c r="H148">
        <f t="shared" ca="1" si="18"/>
        <v>7</v>
      </c>
      <c r="I148" s="12" t="str">
        <f t="shared" ca="1" si="19"/>
        <v>7 year 7 month 9 day</v>
      </c>
      <c r="J148" s="6">
        <f t="shared" si="20"/>
        <v>44254</v>
      </c>
      <c r="K148" s="6">
        <f t="shared" si="21"/>
        <v>43218</v>
      </c>
      <c r="L148" s="6">
        <f t="shared" si="22"/>
        <v>43242</v>
      </c>
      <c r="M148">
        <f t="shared" ca="1" si="23"/>
        <v>193</v>
      </c>
      <c r="N148">
        <v>6</v>
      </c>
      <c r="O148" t="str">
        <f t="shared" si="24"/>
        <v>Tuesday</v>
      </c>
      <c r="P148" t="str">
        <f t="shared" si="25"/>
        <v>May</v>
      </c>
      <c r="Q148" t="str">
        <f t="shared" si="26"/>
        <v>Weekday</v>
      </c>
    </row>
    <row r="149" spans="1:17" x14ac:dyDescent="0.3">
      <c r="A149">
        <v>148</v>
      </c>
      <c r="B149" t="s">
        <v>97</v>
      </c>
      <c r="C149" t="s">
        <v>90</v>
      </c>
      <c r="D149" t="s">
        <v>91</v>
      </c>
      <c r="E149" s="6">
        <v>44666</v>
      </c>
      <c r="F149" s="10">
        <v>11924</v>
      </c>
      <c r="G149" t="s">
        <v>276</v>
      </c>
      <c r="H149">
        <f t="shared" ca="1" si="18"/>
        <v>3</v>
      </c>
      <c r="I149" s="12" t="str">
        <f t="shared" ca="1" si="19"/>
        <v>3 year 5 month 21 day</v>
      </c>
      <c r="J149" s="6">
        <f t="shared" si="20"/>
        <v>45762</v>
      </c>
      <c r="K149" s="6">
        <f t="shared" si="21"/>
        <v>44726</v>
      </c>
      <c r="L149" s="6">
        <f t="shared" si="22"/>
        <v>44750</v>
      </c>
      <c r="M149">
        <f t="shared" ca="1" si="23"/>
        <v>193</v>
      </c>
      <c r="N149">
        <v>6</v>
      </c>
      <c r="O149" t="str">
        <f t="shared" si="24"/>
        <v>Friday</v>
      </c>
      <c r="P149" t="str">
        <f t="shared" si="25"/>
        <v>July</v>
      </c>
      <c r="Q149" t="str">
        <f t="shared" si="26"/>
        <v>Weekday</v>
      </c>
    </row>
    <row r="150" spans="1:17" x14ac:dyDescent="0.3">
      <c r="A150">
        <v>149</v>
      </c>
      <c r="B150" t="s">
        <v>206</v>
      </c>
      <c r="C150" t="s">
        <v>90</v>
      </c>
      <c r="D150" t="s">
        <v>81</v>
      </c>
      <c r="E150" s="6">
        <v>43826</v>
      </c>
      <c r="F150" s="10">
        <v>6711</v>
      </c>
      <c r="G150" t="s">
        <v>277</v>
      </c>
      <c r="H150">
        <f t="shared" ca="1" si="18"/>
        <v>5</v>
      </c>
      <c r="I150" s="12" t="str">
        <f t="shared" ca="1" si="19"/>
        <v>5 year 9 month 9 day</v>
      </c>
      <c r="J150" s="6">
        <f t="shared" si="20"/>
        <v>44922</v>
      </c>
      <c r="K150" s="6">
        <f t="shared" si="21"/>
        <v>43886</v>
      </c>
      <c r="L150" s="6">
        <f t="shared" si="22"/>
        <v>43910</v>
      </c>
      <c r="M150">
        <f t="shared" ca="1" si="23"/>
        <v>193</v>
      </c>
      <c r="N150">
        <v>6</v>
      </c>
      <c r="O150" t="str">
        <f t="shared" si="24"/>
        <v>Friday</v>
      </c>
      <c r="P150" t="str">
        <f t="shared" si="25"/>
        <v>March</v>
      </c>
      <c r="Q150" t="str">
        <f t="shared" si="26"/>
        <v>Weekday</v>
      </c>
    </row>
    <row r="151" spans="1:17" x14ac:dyDescent="0.3">
      <c r="A151">
        <v>150</v>
      </c>
      <c r="B151" t="s">
        <v>83</v>
      </c>
      <c r="C151" t="s">
        <v>78</v>
      </c>
      <c r="D151" t="s">
        <v>91</v>
      </c>
      <c r="E151" s="6">
        <v>42666</v>
      </c>
      <c r="F151" s="10">
        <v>5874</v>
      </c>
      <c r="G151" t="s">
        <v>278</v>
      </c>
      <c r="H151">
        <f t="shared" ca="1" si="18"/>
        <v>8</v>
      </c>
      <c r="I151" s="12" t="str">
        <f t="shared" ca="1" si="19"/>
        <v>8 year 11 month 13 day</v>
      </c>
      <c r="J151" s="6">
        <f t="shared" si="20"/>
        <v>43761</v>
      </c>
      <c r="K151" s="6">
        <f t="shared" si="21"/>
        <v>42726</v>
      </c>
      <c r="L151" s="6">
        <f t="shared" si="22"/>
        <v>42748</v>
      </c>
      <c r="M151">
        <f t="shared" ca="1" si="23"/>
        <v>195</v>
      </c>
      <c r="N151">
        <v>4</v>
      </c>
      <c r="O151" t="str">
        <f t="shared" si="24"/>
        <v>Friday</v>
      </c>
      <c r="P151" t="str">
        <f t="shared" si="25"/>
        <v>January</v>
      </c>
      <c r="Q151" t="str">
        <f t="shared" si="26"/>
        <v>Weekend</v>
      </c>
    </row>
    <row r="152" spans="1:17" x14ac:dyDescent="0.3">
      <c r="A152">
        <v>151</v>
      </c>
      <c r="B152" t="s">
        <v>206</v>
      </c>
      <c r="C152" t="s">
        <v>90</v>
      </c>
      <c r="D152" t="s">
        <v>81</v>
      </c>
      <c r="E152" s="6">
        <v>42315</v>
      </c>
      <c r="F152" s="10">
        <v>2707</v>
      </c>
      <c r="G152" t="s">
        <v>279</v>
      </c>
      <c r="H152">
        <f t="shared" ca="1" si="18"/>
        <v>9</v>
      </c>
      <c r="I152" s="12" t="str">
        <f t="shared" ca="1" si="19"/>
        <v>9 year 10 month 29 day</v>
      </c>
      <c r="J152" s="6">
        <f t="shared" si="20"/>
        <v>43411</v>
      </c>
      <c r="K152" s="6">
        <f t="shared" si="21"/>
        <v>42375</v>
      </c>
      <c r="L152" s="6">
        <f t="shared" si="22"/>
        <v>42398</v>
      </c>
      <c r="M152">
        <f t="shared" ca="1" si="23"/>
        <v>193</v>
      </c>
      <c r="N152">
        <v>6</v>
      </c>
      <c r="O152" t="str">
        <f t="shared" si="24"/>
        <v>Friday</v>
      </c>
      <c r="P152" t="str">
        <f t="shared" si="25"/>
        <v>January</v>
      </c>
      <c r="Q152" t="str">
        <f t="shared" si="26"/>
        <v>Weekend</v>
      </c>
    </row>
    <row r="153" spans="1:17" x14ac:dyDescent="0.3">
      <c r="A153">
        <v>152</v>
      </c>
      <c r="B153" t="s">
        <v>131</v>
      </c>
      <c r="C153" t="s">
        <v>74</v>
      </c>
      <c r="D153" t="s">
        <v>91</v>
      </c>
      <c r="E153" s="6">
        <v>44498</v>
      </c>
      <c r="F153" s="10">
        <v>9313</v>
      </c>
      <c r="G153" t="s">
        <v>280</v>
      </c>
      <c r="H153">
        <f t="shared" ca="1" si="18"/>
        <v>3</v>
      </c>
      <c r="I153" s="12" t="str">
        <f t="shared" ca="1" si="19"/>
        <v>3 year 11 month 7 day</v>
      </c>
      <c r="J153" s="6">
        <f t="shared" si="20"/>
        <v>45594</v>
      </c>
      <c r="K153" s="6">
        <f t="shared" si="21"/>
        <v>44558</v>
      </c>
      <c r="L153" s="6">
        <f t="shared" si="22"/>
        <v>44582</v>
      </c>
      <c r="M153">
        <f t="shared" ca="1" si="23"/>
        <v>194</v>
      </c>
      <c r="N153">
        <v>5</v>
      </c>
      <c r="O153" t="str">
        <f t="shared" si="24"/>
        <v>Friday</v>
      </c>
      <c r="P153" t="str">
        <f t="shared" si="25"/>
        <v>January</v>
      </c>
      <c r="Q153" t="str">
        <f t="shared" si="26"/>
        <v>Weekday</v>
      </c>
    </row>
    <row r="154" spans="1:17" x14ac:dyDescent="0.3">
      <c r="A154">
        <v>153</v>
      </c>
      <c r="B154" t="s">
        <v>183</v>
      </c>
      <c r="C154" t="s">
        <v>74</v>
      </c>
      <c r="D154" t="s">
        <v>81</v>
      </c>
      <c r="E154" s="6">
        <v>44107</v>
      </c>
      <c r="F154" s="10">
        <v>5583</v>
      </c>
      <c r="G154" t="s">
        <v>281</v>
      </c>
      <c r="H154">
        <f t="shared" ca="1" si="18"/>
        <v>5</v>
      </c>
      <c r="I154" s="12" t="str">
        <f t="shared" ca="1" si="19"/>
        <v>5 year 0 month 3 day</v>
      </c>
      <c r="J154" s="6">
        <f t="shared" si="20"/>
        <v>45202</v>
      </c>
      <c r="K154" s="6">
        <f t="shared" si="21"/>
        <v>44167</v>
      </c>
      <c r="L154" s="6">
        <f t="shared" si="22"/>
        <v>44190</v>
      </c>
      <c r="M154">
        <f t="shared" ca="1" si="23"/>
        <v>197</v>
      </c>
      <c r="N154">
        <v>2</v>
      </c>
      <c r="O154" t="str">
        <f t="shared" si="24"/>
        <v>Friday</v>
      </c>
      <c r="P154" t="str">
        <f t="shared" si="25"/>
        <v>December</v>
      </c>
      <c r="Q154" t="str">
        <f t="shared" si="26"/>
        <v>Weekend</v>
      </c>
    </row>
    <row r="155" spans="1:17" x14ac:dyDescent="0.3">
      <c r="A155">
        <v>154</v>
      </c>
      <c r="B155" t="s">
        <v>80</v>
      </c>
      <c r="C155" t="s">
        <v>74</v>
      </c>
      <c r="D155" t="s">
        <v>81</v>
      </c>
      <c r="E155" s="6">
        <v>43428</v>
      </c>
      <c r="F155" s="10">
        <v>6219</v>
      </c>
      <c r="G155" t="s">
        <v>282</v>
      </c>
      <c r="H155">
        <f t="shared" ca="1" si="18"/>
        <v>6</v>
      </c>
      <c r="I155" s="12" t="str">
        <f t="shared" ca="1" si="19"/>
        <v>6 year 10 month 12 day</v>
      </c>
      <c r="J155" s="6">
        <f t="shared" si="20"/>
        <v>44524</v>
      </c>
      <c r="K155" s="6">
        <f t="shared" si="21"/>
        <v>43488</v>
      </c>
      <c r="L155" s="6">
        <f t="shared" si="22"/>
        <v>43511</v>
      </c>
      <c r="M155">
        <f t="shared" ca="1" si="23"/>
        <v>194</v>
      </c>
      <c r="N155">
        <v>5</v>
      </c>
      <c r="O155" t="str">
        <f t="shared" si="24"/>
        <v>Friday</v>
      </c>
      <c r="P155" t="str">
        <f t="shared" si="25"/>
        <v>February</v>
      </c>
      <c r="Q155" t="str">
        <f t="shared" si="26"/>
        <v>Weekend</v>
      </c>
    </row>
    <row r="156" spans="1:17" x14ac:dyDescent="0.3">
      <c r="A156">
        <v>155</v>
      </c>
      <c r="B156" t="s">
        <v>176</v>
      </c>
      <c r="C156" t="s">
        <v>78</v>
      </c>
      <c r="D156" t="s">
        <v>91</v>
      </c>
      <c r="E156" s="6">
        <v>44567</v>
      </c>
      <c r="F156" s="10">
        <v>4179</v>
      </c>
      <c r="G156" t="s">
        <v>283</v>
      </c>
      <c r="H156">
        <f t="shared" ca="1" si="18"/>
        <v>3</v>
      </c>
      <c r="I156" s="12" t="str">
        <f t="shared" ca="1" si="19"/>
        <v>3 year 9 month 0 day</v>
      </c>
      <c r="J156" s="6">
        <f t="shared" si="20"/>
        <v>45663</v>
      </c>
      <c r="K156" s="6">
        <f t="shared" si="21"/>
        <v>44627</v>
      </c>
      <c r="L156" s="6">
        <f t="shared" si="22"/>
        <v>44651</v>
      </c>
      <c r="M156">
        <f t="shared" ca="1" si="23"/>
        <v>197</v>
      </c>
      <c r="N156">
        <v>2</v>
      </c>
      <c r="O156" t="str">
        <f t="shared" si="24"/>
        <v>Thursday</v>
      </c>
      <c r="P156" t="str">
        <f t="shared" si="25"/>
        <v>March</v>
      </c>
      <c r="Q156" t="str">
        <f t="shared" si="26"/>
        <v>Weekday</v>
      </c>
    </row>
    <row r="157" spans="1:17" x14ac:dyDescent="0.3">
      <c r="A157">
        <v>156</v>
      </c>
      <c r="B157" t="s">
        <v>127</v>
      </c>
      <c r="C157" t="s">
        <v>74</v>
      </c>
      <c r="D157" t="s">
        <v>84</v>
      </c>
      <c r="E157" s="6">
        <v>42241</v>
      </c>
      <c r="F157" s="10">
        <v>9946</v>
      </c>
      <c r="G157" t="s">
        <v>284</v>
      </c>
      <c r="H157">
        <f t="shared" ca="1" si="18"/>
        <v>10</v>
      </c>
      <c r="I157" s="12" t="str">
        <f t="shared" ca="1" si="19"/>
        <v>10 year 1 month 11 day</v>
      </c>
      <c r="J157" s="6">
        <f t="shared" si="20"/>
        <v>43337</v>
      </c>
      <c r="K157" s="6">
        <f t="shared" si="21"/>
        <v>42301</v>
      </c>
      <c r="L157" s="6">
        <f t="shared" si="22"/>
        <v>42325</v>
      </c>
      <c r="M157">
        <f t="shared" ca="1" si="23"/>
        <v>198</v>
      </c>
      <c r="N157">
        <v>1</v>
      </c>
      <c r="O157" t="str">
        <f t="shared" si="24"/>
        <v>Tuesday</v>
      </c>
      <c r="P157" t="str">
        <f t="shared" si="25"/>
        <v>November</v>
      </c>
      <c r="Q157" t="str">
        <f t="shared" si="26"/>
        <v>Weekday</v>
      </c>
    </row>
    <row r="158" spans="1:17" x14ac:dyDescent="0.3">
      <c r="A158">
        <v>157</v>
      </c>
      <c r="B158" t="s">
        <v>111</v>
      </c>
      <c r="C158" t="s">
        <v>78</v>
      </c>
      <c r="D158" t="s">
        <v>98</v>
      </c>
      <c r="E158" s="6">
        <v>44679</v>
      </c>
      <c r="F158" s="10">
        <v>8599</v>
      </c>
      <c r="G158" t="s">
        <v>285</v>
      </c>
      <c r="H158">
        <f t="shared" ca="1" si="18"/>
        <v>3</v>
      </c>
      <c r="I158" s="12" t="str">
        <f t="shared" ca="1" si="19"/>
        <v>3 year 5 month 8 day</v>
      </c>
      <c r="J158" s="6">
        <f t="shared" si="20"/>
        <v>45775</v>
      </c>
      <c r="K158" s="6">
        <f t="shared" si="21"/>
        <v>44739</v>
      </c>
      <c r="L158" s="6">
        <f t="shared" si="22"/>
        <v>44763</v>
      </c>
      <c r="M158">
        <f t="shared" ca="1" si="23"/>
        <v>196</v>
      </c>
      <c r="N158">
        <v>3</v>
      </c>
      <c r="O158" t="str">
        <f t="shared" si="24"/>
        <v>Thursday</v>
      </c>
      <c r="P158" t="str">
        <f t="shared" si="25"/>
        <v>July</v>
      </c>
      <c r="Q158" t="str">
        <f t="shared" si="26"/>
        <v>Weekday</v>
      </c>
    </row>
    <row r="159" spans="1:17" x14ac:dyDescent="0.3">
      <c r="A159">
        <v>158</v>
      </c>
      <c r="B159" t="s">
        <v>286</v>
      </c>
      <c r="C159" t="s">
        <v>102</v>
      </c>
      <c r="D159" t="s">
        <v>84</v>
      </c>
      <c r="E159" s="6">
        <v>43276</v>
      </c>
      <c r="F159" s="10">
        <v>11055</v>
      </c>
      <c r="G159" t="s">
        <v>287</v>
      </c>
      <c r="H159">
        <f t="shared" ca="1" si="18"/>
        <v>7</v>
      </c>
      <c r="I159" s="12" t="str">
        <f t="shared" ca="1" si="19"/>
        <v>7 year 3 month 11 day</v>
      </c>
      <c r="J159" s="6">
        <f t="shared" si="20"/>
        <v>44372</v>
      </c>
      <c r="K159" s="6">
        <f t="shared" si="21"/>
        <v>43336</v>
      </c>
      <c r="L159" s="6">
        <f t="shared" si="22"/>
        <v>43360</v>
      </c>
      <c r="M159">
        <f t="shared" ca="1" si="23"/>
        <v>197</v>
      </c>
      <c r="N159">
        <v>2</v>
      </c>
      <c r="O159" t="str">
        <f t="shared" si="24"/>
        <v>Monday</v>
      </c>
      <c r="P159" t="str">
        <f t="shared" si="25"/>
        <v>September</v>
      </c>
      <c r="Q159" t="str">
        <f t="shared" si="26"/>
        <v>Weekday</v>
      </c>
    </row>
    <row r="160" spans="1:17" x14ac:dyDescent="0.3">
      <c r="A160">
        <v>159</v>
      </c>
      <c r="B160" t="s">
        <v>105</v>
      </c>
      <c r="C160" t="s">
        <v>87</v>
      </c>
      <c r="D160" t="s">
        <v>84</v>
      </c>
      <c r="E160" s="6">
        <v>42290</v>
      </c>
      <c r="F160" s="10">
        <v>2648</v>
      </c>
      <c r="G160" t="s">
        <v>288</v>
      </c>
      <c r="H160">
        <f t="shared" ca="1" si="18"/>
        <v>9</v>
      </c>
      <c r="I160" s="12" t="str">
        <f t="shared" ca="1" si="19"/>
        <v>9 year 11 month 23 day</v>
      </c>
      <c r="J160" s="6">
        <f t="shared" si="20"/>
        <v>43386</v>
      </c>
      <c r="K160" s="6">
        <f t="shared" si="21"/>
        <v>42350</v>
      </c>
      <c r="L160" s="6">
        <f t="shared" si="22"/>
        <v>42374</v>
      </c>
      <c r="M160">
        <f t="shared" ca="1" si="23"/>
        <v>195</v>
      </c>
      <c r="N160">
        <v>4</v>
      </c>
      <c r="O160" t="str">
        <f t="shared" si="24"/>
        <v>Tuesday</v>
      </c>
      <c r="P160" t="str">
        <f t="shared" si="25"/>
        <v>January</v>
      </c>
      <c r="Q160" t="str">
        <f t="shared" si="26"/>
        <v>Weekday</v>
      </c>
    </row>
    <row r="161" spans="1:17" x14ac:dyDescent="0.3">
      <c r="A161">
        <v>160</v>
      </c>
      <c r="B161" t="s">
        <v>154</v>
      </c>
      <c r="C161" t="s">
        <v>87</v>
      </c>
      <c r="D161" t="s">
        <v>91</v>
      </c>
      <c r="E161" s="6">
        <v>44458</v>
      </c>
      <c r="F161" s="10">
        <v>9621</v>
      </c>
      <c r="G161" t="s">
        <v>289</v>
      </c>
      <c r="H161">
        <f t="shared" ca="1" si="18"/>
        <v>4</v>
      </c>
      <c r="I161" s="12" t="str">
        <f t="shared" ca="1" si="19"/>
        <v>4 year 0 month 17 day</v>
      </c>
      <c r="J161" s="6">
        <f t="shared" si="20"/>
        <v>45554</v>
      </c>
      <c r="K161" s="6">
        <f t="shared" si="21"/>
        <v>44518</v>
      </c>
      <c r="L161" s="6">
        <f t="shared" si="22"/>
        <v>44540</v>
      </c>
      <c r="M161">
        <f t="shared" ca="1" si="23"/>
        <v>193</v>
      </c>
      <c r="N161">
        <v>6</v>
      </c>
      <c r="O161" t="str">
        <f t="shared" si="24"/>
        <v>Friday</v>
      </c>
      <c r="P161" t="str">
        <f t="shared" si="25"/>
        <v>December</v>
      </c>
      <c r="Q161" t="str">
        <f t="shared" si="26"/>
        <v>Weekend</v>
      </c>
    </row>
    <row r="162" spans="1:17" x14ac:dyDescent="0.3">
      <c r="A162">
        <v>161</v>
      </c>
      <c r="B162" t="s">
        <v>123</v>
      </c>
      <c r="C162" t="s">
        <v>74</v>
      </c>
      <c r="D162" t="s">
        <v>75</v>
      </c>
      <c r="E162" s="6">
        <v>43771</v>
      </c>
      <c r="F162" s="10">
        <v>7395</v>
      </c>
      <c r="G162" t="s">
        <v>290</v>
      </c>
      <c r="H162">
        <f t="shared" ca="1" si="18"/>
        <v>5</v>
      </c>
      <c r="I162" s="12" t="str">
        <f t="shared" ca="1" si="19"/>
        <v>5 year 11 month 4 day</v>
      </c>
      <c r="J162" s="6">
        <f t="shared" si="20"/>
        <v>44867</v>
      </c>
      <c r="K162" s="6">
        <f t="shared" si="21"/>
        <v>43831</v>
      </c>
      <c r="L162" s="6">
        <f t="shared" si="22"/>
        <v>43854</v>
      </c>
      <c r="M162">
        <f t="shared" ca="1" si="23"/>
        <v>194</v>
      </c>
      <c r="N162">
        <v>5</v>
      </c>
      <c r="O162" t="str">
        <f t="shared" si="24"/>
        <v>Friday</v>
      </c>
      <c r="P162" t="str">
        <f t="shared" si="25"/>
        <v>January</v>
      </c>
      <c r="Q162" t="str">
        <f t="shared" si="26"/>
        <v>Weekend</v>
      </c>
    </row>
    <row r="163" spans="1:17" x14ac:dyDescent="0.3">
      <c r="A163">
        <v>162</v>
      </c>
      <c r="B163" t="s">
        <v>250</v>
      </c>
      <c r="C163" t="s">
        <v>74</v>
      </c>
      <c r="D163" t="s">
        <v>75</v>
      </c>
      <c r="E163" s="6">
        <v>43017</v>
      </c>
      <c r="F163" s="10">
        <v>5285</v>
      </c>
      <c r="G163" t="s">
        <v>291</v>
      </c>
      <c r="H163">
        <f t="shared" ca="1" si="18"/>
        <v>7</v>
      </c>
      <c r="I163" s="12" t="str">
        <f t="shared" ca="1" si="19"/>
        <v>7 year 11 month 27 day</v>
      </c>
      <c r="J163" s="6">
        <f t="shared" si="20"/>
        <v>44113</v>
      </c>
      <c r="K163" s="6">
        <f t="shared" si="21"/>
        <v>43077</v>
      </c>
      <c r="L163" s="6">
        <f t="shared" si="22"/>
        <v>43101</v>
      </c>
      <c r="M163">
        <f t="shared" ca="1" si="23"/>
        <v>194</v>
      </c>
      <c r="N163">
        <v>5</v>
      </c>
      <c r="O163" t="str">
        <f t="shared" si="24"/>
        <v>Monday</v>
      </c>
      <c r="P163" t="str">
        <f t="shared" si="25"/>
        <v>January</v>
      </c>
      <c r="Q163" t="str">
        <f t="shared" si="26"/>
        <v>Weekday</v>
      </c>
    </row>
    <row r="164" spans="1:17" x14ac:dyDescent="0.3">
      <c r="A164">
        <v>163</v>
      </c>
      <c r="B164" t="s">
        <v>135</v>
      </c>
      <c r="C164" t="s">
        <v>102</v>
      </c>
      <c r="D164" t="s">
        <v>84</v>
      </c>
      <c r="E164" s="6">
        <v>42485</v>
      </c>
      <c r="F164" s="10">
        <v>8282</v>
      </c>
      <c r="G164" t="s">
        <v>292</v>
      </c>
      <c r="H164">
        <f t="shared" ca="1" si="18"/>
        <v>9</v>
      </c>
      <c r="I164" s="12" t="str">
        <f t="shared" ca="1" si="19"/>
        <v>9 year 5 month 11 day</v>
      </c>
      <c r="J164" s="6">
        <f t="shared" si="20"/>
        <v>43580</v>
      </c>
      <c r="K164" s="6">
        <f t="shared" si="21"/>
        <v>42545</v>
      </c>
      <c r="L164" s="6">
        <f t="shared" si="22"/>
        <v>42569</v>
      </c>
      <c r="M164">
        <f t="shared" ca="1" si="23"/>
        <v>194</v>
      </c>
      <c r="N164">
        <v>5</v>
      </c>
      <c r="O164" t="str">
        <f t="shared" si="24"/>
        <v>Monday</v>
      </c>
      <c r="P164" t="str">
        <f t="shared" si="25"/>
        <v>July</v>
      </c>
      <c r="Q164" t="str">
        <f t="shared" si="26"/>
        <v>Weekday</v>
      </c>
    </row>
    <row r="165" spans="1:17" x14ac:dyDescent="0.3">
      <c r="A165">
        <v>164</v>
      </c>
      <c r="B165" t="s">
        <v>227</v>
      </c>
      <c r="C165" t="s">
        <v>87</v>
      </c>
      <c r="D165" t="s">
        <v>84</v>
      </c>
      <c r="E165" s="6">
        <v>44801</v>
      </c>
      <c r="F165" s="10">
        <v>4908</v>
      </c>
      <c r="G165" t="s">
        <v>293</v>
      </c>
      <c r="H165">
        <f t="shared" ca="1" si="18"/>
        <v>3</v>
      </c>
      <c r="I165" s="12" t="str">
        <f t="shared" ca="1" si="19"/>
        <v>3 year 1 month 8 day</v>
      </c>
      <c r="J165" s="6">
        <f t="shared" si="20"/>
        <v>45897</v>
      </c>
      <c r="K165" s="6">
        <f t="shared" si="21"/>
        <v>44861</v>
      </c>
      <c r="L165" s="6">
        <f t="shared" si="22"/>
        <v>44883</v>
      </c>
      <c r="M165">
        <f t="shared" ca="1" si="23"/>
        <v>196</v>
      </c>
      <c r="N165">
        <v>3</v>
      </c>
      <c r="O165" t="str">
        <f t="shared" si="24"/>
        <v>Friday</v>
      </c>
      <c r="P165" t="str">
        <f t="shared" si="25"/>
        <v>November</v>
      </c>
      <c r="Q165" t="str">
        <f t="shared" si="26"/>
        <v>Weekend</v>
      </c>
    </row>
    <row r="166" spans="1:17" x14ac:dyDescent="0.3">
      <c r="A166">
        <v>165</v>
      </c>
      <c r="B166" t="s">
        <v>118</v>
      </c>
      <c r="C166" t="s">
        <v>90</v>
      </c>
      <c r="D166" t="s">
        <v>91</v>
      </c>
      <c r="E166" s="6">
        <v>44822</v>
      </c>
      <c r="F166" s="10">
        <v>4996</v>
      </c>
      <c r="G166" t="s">
        <v>294</v>
      </c>
      <c r="H166">
        <f t="shared" ca="1" si="18"/>
        <v>3</v>
      </c>
      <c r="I166" s="12" t="str">
        <f t="shared" ca="1" si="19"/>
        <v>3 year 0 month 18 day</v>
      </c>
      <c r="J166" s="6">
        <f t="shared" si="20"/>
        <v>45918</v>
      </c>
      <c r="K166" s="6">
        <f t="shared" si="21"/>
        <v>44882</v>
      </c>
      <c r="L166" s="6">
        <f t="shared" si="22"/>
        <v>44904</v>
      </c>
      <c r="M166">
        <f t="shared" ca="1" si="23"/>
        <v>195</v>
      </c>
      <c r="N166">
        <v>4</v>
      </c>
      <c r="O166" t="str">
        <f t="shared" si="24"/>
        <v>Friday</v>
      </c>
      <c r="P166" t="str">
        <f t="shared" si="25"/>
        <v>December</v>
      </c>
      <c r="Q166" t="str">
        <f t="shared" si="26"/>
        <v>Weekend</v>
      </c>
    </row>
    <row r="167" spans="1:17" x14ac:dyDescent="0.3">
      <c r="A167">
        <v>166</v>
      </c>
      <c r="B167" t="s">
        <v>258</v>
      </c>
      <c r="C167" t="s">
        <v>90</v>
      </c>
      <c r="D167" t="s">
        <v>98</v>
      </c>
      <c r="E167" s="6">
        <v>42839</v>
      </c>
      <c r="F167" s="10">
        <v>7799</v>
      </c>
      <c r="G167" t="s">
        <v>295</v>
      </c>
      <c r="H167">
        <f t="shared" ca="1" si="18"/>
        <v>8</v>
      </c>
      <c r="I167" s="12" t="str">
        <f t="shared" ca="1" si="19"/>
        <v>8 year 5 month 22 day</v>
      </c>
      <c r="J167" s="6">
        <f t="shared" si="20"/>
        <v>43935</v>
      </c>
      <c r="K167" s="6">
        <f t="shared" si="21"/>
        <v>42899</v>
      </c>
      <c r="L167" s="6">
        <f t="shared" si="22"/>
        <v>42923</v>
      </c>
      <c r="M167">
        <f t="shared" ca="1" si="23"/>
        <v>193</v>
      </c>
      <c r="N167">
        <v>6</v>
      </c>
      <c r="O167" t="str">
        <f t="shared" si="24"/>
        <v>Friday</v>
      </c>
      <c r="P167" t="str">
        <f t="shared" si="25"/>
        <v>July</v>
      </c>
      <c r="Q167" t="str">
        <f t="shared" si="26"/>
        <v>Weekday</v>
      </c>
    </row>
    <row r="168" spans="1:17" x14ac:dyDescent="0.3">
      <c r="A168">
        <v>167</v>
      </c>
      <c r="B168" t="s">
        <v>296</v>
      </c>
      <c r="C168" t="s">
        <v>87</v>
      </c>
      <c r="D168" t="s">
        <v>98</v>
      </c>
      <c r="E168" s="6">
        <v>43694</v>
      </c>
      <c r="F168" s="10">
        <v>5767</v>
      </c>
      <c r="G168" t="s">
        <v>297</v>
      </c>
      <c r="H168">
        <f t="shared" ca="1" si="18"/>
        <v>6</v>
      </c>
      <c r="I168" s="12" t="str">
        <f t="shared" ca="1" si="19"/>
        <v>6 year 1 month 19 day</v>
      </c>
      <c r="J168" s="6">
        <f t="shared" si="20"/>
        <v>44790</v>
      </c>
      <c r="K168" s="6">
        <f t="shared" si="21"/>
        <v>43754</v>
      </c>
      <c r="L168" s="6">
        <f t="shared" si="22"/>
        <v>43777</v>
      </c>
      <c r="M168">
        <f t="shared" ca="1" si="23"/>
        <v>194</v>
      </c>
      <c r="N168">
        <v>5</v>
      </c>
      <c r="O168" t="str">
        <f t="shared" si="24"/>
        <v>Friday</v>
      </c>
      <c r="P168" t="str">
        <f t="shared" si="25"/>
        <v>November</v>
      </c>
      <c r="Q168" t="str">
        <f t="shared" si="26"/>
        <v>Weekend</v>
      </c>
    </row>
    <row r="169" spans="1:17" x14ac:dyDescent="0.3">
      <c r="A169">
        <v>168</v>
      </c>
      <c r="B169" t="s">
        <v>83</v>
      </c>
      <c r="C169" t="s">
        <v>90</v>
      </c>
      <c r="D169" t="s">
        <v>91</v>
      </c>
      <c r="E169" s="6">
        <v>42315</v>
      </c>
      <c r="F169" s="10">
        <v>10953</v>
      </c>
      <c r="G169" t="s">
        <v>298</v>
      </c>
      <c r="H169">
        <f t="shared" ca="1" si="18"/>
        <v>9</v>
      </c>
      <c r="I169" s="12" t="str">
        <f t="shared" ca="1" si="19"/>
        <v>9 year 10 month 29 day</v>
      </c>
      <c r="J169" s="6">
        <f t="shared" si="20"/>
        <v>43411</v>
      </c>
      <c r="K169" s="6">
        <f t="shared" si="21"/>
        <v>42375</v>
      </c>
      <c r="L169" s="6">
        <f t="shared" si="22"/>
        <v>42398</v>
      </c>
      <c r="M169">
        <f t="shared" ca="1" si="23"/>
        <v>195</v>
      </c>
      <c r="N169">
        <v>4</v>
      </c>
      <c r="O169" t="str">
        <f t="shared" si="24"/>
        <v>Friday</v>
      </c>
      <c r="P169" t="str">
        <f t="shared" si="25"/>
        <v>January</v>
      </c>
      <c r="Q169" t="str">
        <f t="shared" si="26"/>
        <v>Weekend</v>
      </c>
    </row>
    <row r="170" spans="1:17" x14ac:dyDescent="0.3">
      <c r="A170">
        <v>169</v>
      </c>
      <c r="B170" t="s">
        <v>109</v>
      </c>
      <c r="C170" t="s">
        <v>87</v>
      </c>
      <c r="D170" t="s">
        <v>81</v>
      </c>
      <c r="E170" s="6">
        <v>42410</v>
      </c>
      <c r="F170" s="10">
        <v>6937</v>
      </c>
      <c r="G170" t="s">
        <v>299</v>
      </c>
      <c r="H170">
        <f t="shared" ca="1" si="18"/>
        <v>9</v>
      </c>
      <c r="I170" s="12" t="str">
        <f t="shared" ca="1" si="19"/>
        <v>9 year 7 month 26 day</v>
      </c>
      <c r="J170" s="6">
        <f t="shared" si="20"/>
        <v>43506</v>
      </c>
      <c r="K170" s="6">
        <f t="shared" si="21"/>
        <v>42470</v>
      </c>
      <c r="L170" s="6">
        <f t="shared" si="22"/>
        <v>42494</v>
      </c>
      <c r="M170">
        <f t="shared" ca="1" si="23"/>
        <v>197</v>
      </c>
      <c r="N170">
        <v>2</v>
      </c>
      <c r="O170" t="str">
        <f t="shared" si="24"/>
        <v>Wednesday</v>
      </c>
      <c r="P170" t="str">
        <f t="shared" si="25"/>
        <v>May</v>
      </c>
      <c r="Q170" t="str">
        <f t="shared" si="26"/>
        <v>Weekday</v>
      </c>
    </row>
    <row r="171" spans="1:17" x14ac:dyDescent="0.3">
      <c r="A171">
        <v>170</v>
      </c>
      <c r="B171" t="s">
        <v>141</v>
      </c>
      <c r="C171" t="s">
        <v>87</v>
      </c>
      <c r="D171" t="s">
        <v>75</v>
      </c>
      <c r="E171" s="6">
        <v>42248</v>
      </c>
      <c r="F171" s="10">
        <v>6607</v>
      </c>
      <c r="G171" t="s">
        <v>300</v>
      </c>
      <c r="H171">
        <f t="shared" ca="1" si="18"/>
        <v>10</v>
      </c>
      <c r="I171" s="12" t="str">
        <f t="shared" ca="1" si="19"/>
        <v>10 year 1 month 5 day</v>
      </c>
      <c r="J171" s="6">
        <f t="shared" si="20"/>
        <v>43344</v>
      </c>
      <c r="K171" s="6">
        <f t="shared" si="21"/>
        <v>42308</v>
      </c>
      <c r="L171" s="6">
        <f t="shared" si="22"/>
        <v>42332</v>
      </c>
      <c r="M171">
        <f t="shared" ca="1" si="23"/>
        <v>195</v>
      </c>
      <c r="N171">
        <v>4</v>
      </c>
      <c r="O171" t="str">
        <f t="shared" si="24"/>
        <v>Tuesday</v>
      </c>
      <c r="P171" t="str">
        <f t="shared" si="25"/>
        <v>November</v>
      </c>
      <c r="Q171" t="str">
        <f t="shared" si="26"/>
        <v>Weekday</v>
      </c>
    </row>
    <row r="172" spans="1:17" x14ac:dyDescent="0.3">
      <c r="A172">
        <v>171</v>
      </c>
      <c r="B172" t="s">
        <v>97</v>
      </c>
      <c r="C172" t="s">
        <v>78</v>
      </c>
      <c r="D172" t="s">
        <v>91</v>
      </c>
      <c r="E172" s="6">
        <v>42565</v>
      </c>
      <c r="F172" s="10">
        <v>11285</v>
      </c>
      <c r="G172" t="s">
        <v>301</v>
      </c>
      <c r="H172">
        <f t="shared" ca="1" si="18"/>
        <v>9</v>
      </c>
      <c r="I172" s="12" t="str">
        <f t="shared" ca="1" si="19"/>
        <v>9 year 2 month 22 day</v>
      </c>
      <c r="J172" s="6">
        <f t="shared" si="20"/>
        <v>43660</v>
      </c>
      <c r="K172" s="6">
        <f t="shared" si="21"/>
        <v>42625</v>
      </c>
      <c r="L172" s="6">
        <f t="shared" si="22"/>
        <v>42649</v>
      </c>
      <c r="M172">
        <f t="shared" ca="1" si="23"/>
        <v>197</v>
      </c>
      <c r="N172">
        <v>2</v>
      </c>
      <c r="O172" t="str">
        <f t="shared" si="24"/>
        <v>Thursday</v>
      </c>
      <c r="P172" t="str">
        <f t="shared" si="25"/>
        <v>October</v>
      </c>
      <c r="Q172" t="str">
        <f t="shared" si="26"/>
        <v>Weekday</v>
      </c>
    </row>
    <row r="173" spans="1:17" x14ac:dyDescent="0.3">
      <c r="A173">
        <v>172</v>
      </c>
      <c r="B173" t="s">
        <v>165</v>
      </c>
      <c r="C173" t="s">
        <v>74</v>
      </c>
      <c r="D173" t="s">
        <v>98</v>
      </c>
      <c r="E173" s="6">
        <v>43831</v>
      </c>
      <c r="F173" s="10">
        <v>10129</v>
      </c>
      <c r="G173" t="s">
        <v>302</v>
      </c>
      <c r="H173">
        <f t="shared" ca="1" si="18"/>
        <v>5</v>
      </c>
      <c r="I173" s="12" t="str">
        <f t="shared" ca="1" si="19"/>
        <v>5 year 9 month 5 day</v>
      </c>
      <c r="J173" s="6">
        <f t="shared" si="20"/>
        <v>44927</v>
      </c>
      <c r="K173" s="6">
        <f t="shared" si="21"/>
        <v>43891</v>
      </c>
      <c r="L173" s="6">
        <f t="shared" si="22"/>
        <v>43915</v>
      </c>
      <c r="M173">
        <f t="shared" ca="1" si="23"/>
        <v>194</v>
      </c>
      <c r="N173">
        <v>5</v>
      </c>
      <c r="O173" t="str">
        <f t="shared" si="24"/>
        <v>Wednesday</v>
      </c>
      <c r="P173" t="str">
        <f t="shared" si="25"/>
        <v>March</v>
      </c>
      <c r="Q173" t="str">
        <f t="shared" si="26"/>
        <v>Weekday</v>
      </c>
    </row>
    <row r="174" spans="1:17" x14ac:dyDescent="0.3">
      <c r="A174">
        <v>173</v>
      </c>
      <c r="B174" t="s">
        <v>86</v>
      </c>
      <c r="C174" t="s">
        <v>90</v>
      </c>
      <c r="D174" t="s">
        <v>81</v>
      </c>
      <c r="E174" s="6">
        <v>42952</v>
      </c>
      <c r="F174" s="10">
        <v>10193</v>
      </c>
      <c r="G174" t="s">
        <v>303</v>
      </c>
      <c r="H174">
        <f t="shared" ca="1" si="18"/>
        <v>8</v>
      </c>
      <c r="I174" s="12" t="str">
        <f t="shared" ca="1" si="19"/>
        <v>8 year 2 month 1 day</v>
      </c>
      <c r="J174" s="6">
        <f t="shared" si="20"/>
        <v>44048</v>
      </c>
      <c r="K174" s="6">
        <f t="shared" si="21"/>
        <v>43012</v>
      </c>
      <c r="L174" s="6">
        <f t="shared" si="22"/>
        <v>43035</v>
      </c>
      <c r="M174">
        <f t="shared" ca="1" si="23"/>
        <v>195</v>
      </c>
      <c r="N174">
        <v>4</v>
      </c>
      <c r="O174" t="str">
        <f t="shared" si="24"/>
        <v>Friday</v>
      </c>
      <c r="P174" t="str">
        <f t="shared" si="25"/>
        <v>October</v>
      </c>
      <c r="Q174" t="str">
        <f t="shared" si="26"/>
        <v>Weekend</v>
      </c>
    </row>
    <row r="175" spans="1:17" x14ac:dyDescent="0.3">
      <c r="A175">
        <v>174</v>
      </c>
      <c r="B175" t="s">
        <v>113</v>
      </c>
      <c r="C175" t="s">
        <v>74</v>
      </c>
      <c r="D175" t="s">
        <v>84</v>
      </c>
      <c r="E175" s="6">
        <v>42403</v>
      </c>
      <c r="F175" s="10">
        <v>10342</v>
      </c>
      <c r="G175" t="s">
        <v>304</v>
      </c>
      <c r="H175">
        <f t="shared" ca="1" si="18"/>
        <v>9</v>
      </c>
      <c r="I175" s="12" t="str">
        <f t="shared" ca="1" si="19"/>
        <v>9 year 8 month 3 day</v>
      </c>
      <c r="J175" s="6">
        <f t="shared" si="20"/>
        <v>43499</v>
      </c>
      <c r="K175" s="6">
        <f t="shared" si="21"/>
        <v>42463</v>
      </c>
      <c r="L175" s="6">
        <f t="shared" si="22"/>
        <v>42487</v>
      </c>
      <c r="M175">
        <f t="shared" ca="1" si="23"/>
        <v>196</v>
      </c>
      <c r="N175">
        <v>3</v>
      </c>
      <c r="O175" t="str">
        <f t="shared" si="24"/>
        <v>Wednesday</v>
      </c>
      <c r="P175" t="str">
        <f t="shared" si="25"/>
        <v>April</v>
      </c>
      <c r="Q175" t="str">
        <f t="shared" si="26"/>
        <v>Weekday</v>
      </c>
    </row>
    <row r="176" spans="1:17" x14ac:dyDescent="0.3">
      <c r="A176">
        <v>175</v>
      </c>
      <c r="B176" t="s">
        <v>165</v>
      </c>
      <c r="C176" t="s">
        <v>102</v>
      </c>
      <c r="D176" t="s">
        <v>81</v>
      </c>
      <c r="E176" s="6">
        <v>44911</v>
      </c>
      <c r="F176" s="10">
        <v>6725</v>
      </c>
      <c r="G176" t="s">
        <v>305</v>
      </c>
      <c r="H176">
        <f t="shared" ca="1" si="18"/>
        <v>2</v>
      </c>
      <c r="I176" s="12" t="str">
        <f t="shared" ca="1" si="19"/>
        <v>2 year 9 month 20 day</v>
      </c>
      <c r="J176" s="6">
        <f t="shared" si="20"/>
        <v>46007</v>
      </c>
      <c r="K176" s="6">
        <f t="shared" si="21"/>
        <v>44971</v>
      </c>
      <c r="L176" s="6">
        <f t="shared" si="22"/>
        <v>44995</v>
      </c>
      <c r="M176">
        <f t="shared" ca="1" si="23"/>
        <v>198</v>
      </c>
      <c r="N176">
        <v>1</v>
      </c>
      <c r="O176" t="str">
        <f t="shared" si="24"/>
        <v>Friday</v>
      </c>
      <c r="P176" t="str">
        <f t="shared" si="25"/>
        <v>March</v>
      </c>
      <c r="Q176" t="str">
        <f t="shared" si="26"/>
        <v>Weekday</v>
      </c>
    </row>
    <row r="177" spans="1:17" x14ac:dyDescent="0.3">
      <c r="A177">
        <v>176</v>
      </c>
      <c r="B177" t="s">
        <v>131</v>
      </c>
      <c r="C177" t="s">
        <v>90</v>
      </c>
      <c r="D177" t="s">
        <v>81</v>
      </c>
      <c r="E177" s="6">
        <v>43816</v>
      </c>
      <c r="F177" s="10">
        <v>8597</v>
      </c>
      <c r="G177" t="s">
        <v>306</v>
      </c>
      <c r="H177">
        <f t="shared" ca="1" si="18"/>
        <v>5</v>
      </c>
      <c r="I177" s="12" t="str">
        <f t="shared" ca="1" si="19"/>
        <v>5 year 9 month 19 day</v>
      </c>
      <c r="J177" s="6">
        <f t="shared" si="20"/>
        <v>44912</v>
      </c>
      <c r="K177" s="6">
        <f t="shared" si="21"/>
        <v>43876</v>
      </c>
      <c r="L177" s="6">
        <f t="shared" si="22"/>
        <v>43900</v>
      </c>
      <c r="M177">
        <f t="shared" ca="1" si="23"/>
        <v>196</v>
      </c>
      <c r="N177">
        <v>3</v>
      </c>
      <c r="O177" t="str">
        <f t="shared" si="24"/>
        <v>Tuesday</v>
      </c>
      <c r="P177" t="str">
        <f t="shared" si="25"/>
        <v>March</v>
      </c>
      <c r="Q177" t="str">
        <f t="shared" si="26"/>
        <v>Weekday</v>
      </c>
    </row>
    <row r="178" spans="1:17" x14ac:dyDescent="0.3">
      <c r="A178">
        <v>177</v>
      </c>
      <c r="B178" t="s">
        <v>95</v>
      </c>
      <c r="C178" t="s">
        <v>90</v>
      </c>
      <c r="D178" t="s">
        <v>75</v>
      </c>
      <c r="E178" s="6">
        <v>42270</v>
      </c>
      <c r="F178" s="10">
        <v>8156</v>
      </c>
      <c r="G178" t="s">
        <v>307</v>
      </c>
      <c r="H178">
        <f t="shared" ca="1" si="18"/>
        <v>10</v>
      </c>
      <c r="I178" s="12" t="str">
        <f t="shared" ca="1" si="19"/>
        <v>10 year 0 month 13 day</v>
      </c>
      <c r="J178" s="6">
        <f t="shared" si="20"/>
        <v>43366</v>
      </c>
      <c r="K178" s="6">
        <f t="shared" si="21"/>
        <v>42330</v>
      </c>
      <c r="L178" s="6">
        <f t="shared" si="22"/>
        <v>42354</v>
      </c>
      <c r="M178">
        <f t="shared" ca="1" si="23"/>
        <v>196</v>
      </c>
      <c r="N178">
        <v>3</v>
      </c>
      <c r="O178" t="str">
        <f t="shared" si="24"/>
        <v>Wednesday</v>
      </c>
      <c r="P178" t="str">
        <f t="shared" si="25"/>
        <v>December</v>
      </c>
      <c r="Q178" t="str">
        <f t="shared" si="26"/>
        <v>Weekday</v>
      </c>
    </row>
    <row r="179" spans="1:17" x14ac:dyDescent="0.3">
      <c r="A179">
        <v>178</v>
      </c>
      <c r="B179" t="s">
        <v>121</v>
      </c>
      <c r="C179" t="s">
        <v>74</v>
      </c>
      <c r="D179" t="s">
        <v>75</v>
      </c>
      <c r="E179" s="6">
        <v>42797</v>
      </c>
      <c r="F179" s="10">
        <v>6759</v>
      </c>
      <c r="G179" t="s">
        <v>308</v>
      </c>
      <c r="H179">
        <f t="shared" ca="1" si="18"/>
        <v>8</v>
      </c>
      <c r="I179" s="12" t="str">
        <f t="shared" ca="1" si="19"/>
        <v>8 year 7 month 3 day</v>
      </c>
      <c r="J179" s="6">
        <f t="shared" si="20"/>
        <v>43893</v>
      </c>
      <c r="K179" s="6">
        <f t="shared" si="21"/>
        <v>42857</v>
      </c>
      <c r="L179" s="6">
        <f t="shared" si="22"/>
        <v>42881</v>
      </c>
      <c r="M179">
        <f t="shared" ca="1" si="23"/>
        <v>193</v>
      </c>
      <c r="N179">
        <v>6</v>
      </c>
      <c r="O179" t="str">
        <f t="shared" si="24"/>
        <v>Friday</v>
      </c>
      <c r="P179" t="str">
        <f t="shared" si="25"/>
        <v>May</v>
      </c>
      <c r="Q179" t="str">
        <f t="shared" si="26"/>
        <v>Weekday</v>
      </c>
    </row>
    <row r="180" spans="1:17" x14ac:dyDescent="0.3">
      <c r="A180">
        <v>179</v>
      </c>
      <c r="B180" t="s">
        <v>258</v>
      </c>
      <c r="C180" t="s">
        <v>74</v>
      </c>
      <c r="D180" t="s">
        <v>98</v>
      </c>
      <c r="E180" s="6">
        <v>43810</v>
      </c>
      <c r="F180" s="10">
        <v>11825</v>
      </c>
      <c r="G180" t="s">
        <v>309</v>
      </c>
      <c r="H180">
        <f t="shared" ca="1" si="18"/>
        <v>5</v>
      </c>
      <c r="I180" s="12" t="str">
        <f t="shared" ca="1" si="19"/>
        <v>5 year 9 month 25 day</v>
      </c>
      <c r="J180" s="6">
        <f t="shared" si="20"/>
        <v>44906</v>
      </c>
      <c r="K180" s="6">
        <f t="shared" si="21"/>
        <v>43870</v>
      </c>
      <c r="L180" s="6">
        <f t="shared" si="22"/>
        <v>43894</v>
      </c>
      <c r="M180">
        <f t="shared" ca="1" si="23"/>
        <v>193</v>
      </c>
      <c r="N180">
        <v>6</v>
      </c>
      <c r="O180" t="str">
        <f t="shared" si="24"/>
        <v>Wednesday</v>
      </c>
      <c r="P180" t="str">
        <f t="shared" si="25"/>
        <v>March</v>
      </c>
      <c r="Q180" t="str">
        <f t="shared" si="26"/>
        <v>Weekday</v>
      </c>
    </row>
    <row r="181" spans="1:17" x14ac:dyDescent="0.3">
      <c r="A181">
        <v>180</v>
      </c>
      <c r="B181" t="s">
        <v>210</v>
      </c>
      <c r="C181" t="s">
        <v>87</v>
      </c>
      <c r="D181" t="s">
        <v>75</v>
      </c>
      <c r="E181" s="6">
        <v>42826</v>
      </c>
      <c r="F181" s="10">
        <v>10929</v>
      </c>
      <c r="G181" t="s">
        <v>310</v>
      </c>
      <c r="H181">
        <f t="shared" ca="1" si="18"/>
        <v>8</v>
      </c>
      <c r="I181" s="12" t="str">
        <f t="shared" ca="1" si="19"/>
        <v>8 year 6 month 5 day</v>
      </c>
      <c r="J181" s="6">
        <f t="shared" si="20"/>
        <v>43922</v>
      </c>
      <c r="K181" s="6">
        <f t="shared" si="21"/>
        <v>42886</v>
      </c>
      <c r="L181" s="6">
        <f t="shared" si="22"/>
        <v>42909</v>
      </c>
      <c r="M181">
        <f t="shared" ca="1" si="23"/>
        <v>197</v>
      </c>
      <c r="N181">
        <v>2</v>
      </c>
      <c r="O181" t="str">
        <f t="shared" si="24"/>
        <v>Friday</v>
      </c>
      <c r="P181" t="str">
        <f t="shared" si="25"/>
        <v>June</v>
      </c>
      <c r="Q181" t="str">
        <f t="shared" si="26"/>
        <v>Weekend</v>
      </c>
    </row>
    <row r="182" spans="1:17" x14ac:dyDescent="0.3">
      <c r="A182">
        <v>181</v>
      </c>
      <c r="B182" t="s">
        <v>89</v>
      </c>
      <c r="C182" t="s">
        <v>90</v>
      </c>
      <c r="D182" t="s">
        <v>91</v>
      </c>
      <c r="E182" s="6">
        <v>44535</v>
      </c>
      <c r="F182" s="10">
        <v>4460</v>
      </c>
      <c r="G182" t="s">
        <v>311</v>
      </c>
      <c r="H182">
        <f t="shared" ca="1" si="18"/>
        <v>3</v>
      </c>
      <c r="I182" s="12" t="str">
        <f t="shared" ca="1" si="19"/>
        <v>3 year 10 month 1 day</v>
      </c>
      <c r="J182" s="6">
        <f t="shared" si="20"/>
        <v>45631</v>
      </c>
      <c r="K182" s="6">
        <f t="shared" si="21"/>
        <v>44595</v>
      </c>
      <c r="L182" s="6">
        <f t="shared" si="22"/>
        <v>44617</v>
      </c>
      <c r="M182">
        <f t="shared" ca="1" si="23"/>
        <v>197</v>
      </c>
      <c r="N182">
        <v>2</v>
      </c>
      <c r="O182" t="str">
        <f t="shared" si="24"/>
        <v>Friday</v>
      </c>
      <c r="P182" t="str">
        <f t="shared" si="25"/>
        <v>February</v>
      </c>
      <c r="Q182" t="str">
        <f t="shared" si="26"/>
        <v>Weekend</v>
      </c>
    </row>
    <row r="183" spans="1:17" x14ac:dyDescent="0.3">
      <c r="A183">
        <v>182</v>
      </c>
      <c r="B183" t="s">
        <v>190</v>
      </c>
      <c r="C183" t="s">
        <v>78</v>
      </c>
      <c r="D183" t="s">
        <v>91</v>
      </c>
      <c r="E183" s="6">
        <v>43053</v>
      </c>
      <c r="F183" s="10">
        <v>8272</v>
      </c>
      <c r="G183" t="s">
        <v>312</v>
      </c>
      <c r="H183">
        <f t="shared" ca="1" si="18"/>
        <v>7</v>
      </c>
      <c r="I183" s="12" t="str">
        <f t="shared" ca="1" si="19"/>
        <v>7 year 10 month 22 day</v>
      </c>
      <c r="J183" s="6">
        <f t="shared" si="20"/>
        <v>44149</v>
      </c>
      <c r="K183" s="6">
        <f t="shared" si="21"/>
        <v>43113</v>
      </c>
      <c r="L183" s="6">
        <f t="shared" si="22"/>
        <v>43137</v>
      </c>
      <c r="M183">
        <f t="shared" ca="1" si="23"/>
        <v>196</v>
      </c>
      <c r="N183">
        <v>3</v>
      </c>
      <c r="O183" t="str">
        <f t="shared" si="24"/>
        <v>Tuesday</v>
      </c>
      <c r="P183" t="str">
        <f t="shared" si="25"/>
        <v>February</v>
      </c>
      <c r="Q183" t="str">
        <f t="shared" si="26"/>
        <v>Weekday</v>
      </c>
    </row>
    <row r="184" spans="1:17" x14ac:dyDescent="0.3">
      <c r="A184">
        <v>183</v>
      </c>
      <c r="B184" t="s">
        <v>210</v>
      </c>
      <c r="C184" t="s">
        <v>102</v>
      </c>
      <c r="D184" t="s">
        <v>84</v>
      </c>
      <c r="E184" s="6">
        <v>44534</v>
      </c>
      <c r="F184" s="10">
        <v>5464</v>
      </c>
      <c r="G184" t="s">
        <v>313</v>
      </c>
      <c r="H184">
        <f t="shared" ca="1" si="18"/>
        <v>3</v>
      </c>
      <c r="I184" s="12" t="str">
        <f t="shared" ca="1" si="19"/>
        <v>3 year 10 month 2 day</v>
      </c>
      <c r="J184" s="6">
        <f t="shared" si="20"/>
        <v>45630</v>
      </c>
      <c r="K184" s="6">
        <f t="shared" si="21"/>
        <v>44594</v>
      </c>
      <c r="L184" s="6">
        <f t="shared" si="22"/>
        <v>44617</v>
      </c>
      <c r="M184">
        <f t="shared" ca="1" si="23"/>
        <v>193</v>
      </c>
      <c r="N184">
        <v>6</v>
      </c>
      <c r="O184" t="str">
        <f t="shared" si="24"/>
        <v>Friday</v>
      </c>
      <c r="P184" t="str">
        <f t="shared" si="25"/>
        <v>February</v>
      </c>
      <c r="Q184" t="str">
        <f t="shared" si="26"/>
        <v>Weekend</v>
      </c>
    </row>
    <row r="185" spans="1:17" x14ac:dyDescent="0.3">
      <c r="A185">
        <v>184</v>
      </c>
      <c r="B185" t="s">
        <v>248</v>
      </c>
      <c r="C185" t="s">
        <v>74</v>
      </c>
      <c r="D185" t="s">
        <v>84</v>
      </c>
      <c r="E185" s="6">
        <v>42968</v>
      </c>
      <c r="F185" s="10">
        <v>3036</v>
      </c>
      <c r="G185" t="s">
        <v>314</v>
      </c>
      <c r="H185">
        <f t="shared" ca="1" si="18"/>
        <v>8</v>
      </c>
      <c r="I185" s="12" t="str">
        <f t="shared" ca="1" si="19"/>
        <v>8 year 1 month 15 day</v>
      </c>
      <c r="J185" s="6">
        <f t="shared" si="20"/>
        <v>44064</v>
      </c>
      <c r="K185" s="6">
        <f t="shared" si="21"/>
        <v>43028</v>
      </c>
      <c r="L185" s="6">
        <f t="shared" si="22"/>
        <v>43052</v>
      </c>
      <c r="M185">
        <f t="shared" ca="1" si="23"/>
        <v>196</v>
      </c>
      <c r="N185">
        <v>3</v>
      </c>
      <c r="O185" t="str">
        <f t="shared" si="24"/>
        <v>Monday</v>
      </c>
      <c r="P185" t="str">
        <f t="shared" si="25"/>
        <v>November</v>
      </c>
      <c r="Q185" t="str">
        <f t="shared" si="26"/>
        <v>Weekday</v>
      </c>
    </row>
    <row r="186" spans="1:17" x14ac:dyDescent="0.3">
      <c r="A186">
        <v>185</v>
      </c>
      <c r="B186" t="s">
        <v>250</v>
      </c>
      <c r="C186" t="s">
        <v>87</v>
      </c>
      <c r="D186" t="s">
        <v>75</v>
      </c>
      <c r="E186" s="6">
        <v>43984</v>
      </c>
      <c r="F186" s="10">
        <v>9679</v>
      </c>
      <c r="G186" t="s">
        <v>315</v>
      </c>
      <c r="H186">
        <f t="shared" ca="1" si="18"/>
        <v>5</v>
      </c>
      <c r="I186" s="12" t="str">
        <f t="shared" ca="1" si="19"/>
        <v>5 year 4 month 4 day</v>
      </c>
      <c r="J186" s="6">
        <f t="shared" si="20"/>
        <v>45079</v>
      </c>
      <c r="K186" s="6">
        <f t="shared" si="21"/>
        <v>44044</v>
      </c>
      <c r="L186" s="6">
        <f t="shared" si="22"/>
        <v>44068</v>
      </c>
      <c r="M186">
        <f t="shared" ca="1" si="23"/>
        <v>193</v>
      </c>
      <c r="N186">
        <v>6</v>
      </c>
      <c r="O186" t="str">
        <f t="shared" si="24"/>
        <v>Tuesday</v>
      </c>
      <c r="P186" t="str">
        <f t="shared" si="25"/>
        <v>August</v>
      </c>
      <c r="Q186" t="str">
        <f t="shared" si="26"/>
        <v>Weekday</v>
      </c>
    </row>
    <row r="187" spans="1:17" x14ac:dyDescent="0.3">
      <c r="A187">
        <v>186</v>
      </c>
      <c r="B187" t="s">
        <v>165</v>
      </c>
      <c r="C187" t="s">
        <v>74</v>
      </c>
      <c r="D187" t="s">
        <v>84</v>
      </c>
      <c r="E187" s="6">
        <v>42096</v>
      </c>
      <c r="F187" s="10">
        <v>11234</v>
      </c>
      <c r="G187" t="s">
        <v>316</v>
      </c>
      <c r="H187">
        <f t="shared" ca="1" si="18"/>
        <v>10</v>
      </c>
      <c r="I187" s="12" t="str">
        <f t="shared" ca="1" si="19"/>
        <v>10 year 6 month 4 day</v>
      </c>
      <c r="J187" s="6">
        <f t="shared" si="20"/>
        <v>43192</v>
      </c>
      <c r="K187" s="6">
        <f t="shared" si="21"/>
        <v>42156</v>
      </c>
      <c r="L187" s="6">
        <f t="shared" si="22"/>
        <v>42180</v>
      </c>
      <c r="M187">
        <f t="shared" ca="1" si="23"/>
        <v>194</v>
      </c>
      <c r="N187">
        <v>5</v>
      </c>
      <c r="O187" t="str">
        <f t="shared" si="24"/>
        <v>Thursday</v>
      </c>
      <c r="P187" t="str">
        <f t="shared" si="25"/>
        <v>June</v>
      </c>
      <c r="Q187" t="str">
        <f t="shared" si="26"/>
        <v>Weekday</v>
      </c>
    </row>
    <row r="188" spans="1:17" x14ac:dyDescent="0.3">
      <c r="A188">
        <v>187</v>
      </c>
      <c r="B188" t="s">
        <v>165</v>
      </c>
      <c r="C188" t="s">
        <v>102</v>
      </c>
      <c r="D188" t="s">
        <v>91</v>
      </c>
      <c r="E188" s="6">
        <v>43686</v>
      </c>
      <c r="F188" s="10">
        <v>5536</v>
      </c>
      <c r="G188" t="s">
        <v>317</v>
      </c>
      <c r="H188">
        <f t="shared" ca="1" si="18"/>
        <v>6</v>
      </c>
      <c r="I188" s="12" t="str">
        <f t="shared" ca="1" si="19"/>
        <v>6 year 1 month 27 day</v>
      </c>
      <c r="J188" s="6">
        <f t="shared" si="20"/>
        <v>44782</v>
      </c>
      <c r="K188" s="6">
        <f t="shared" si="21"/>
        <v>43746</v>
      </c>
      <c r="L188" s="6">
        <f t="shared" si="22"/>
        <v>43770</v>
      </c>
      <c r="M188">
        <f t="shared" ca="1" si="23"/>
        <v>193</v>
      </c>
      <c r="N188">
        <v>6</v>
      </c>
      <c r="O188" t="str">
        <f t="shared" si="24"/>
        <v>Friday</v>
      </c>
      <c r="P188" t="str">
        <f t="shared" si="25"/>
        <v>November</v>
      </c>
      <c r="Q188" t="str">
        <f t="shared" si="26"/>
        <v>Weekday</v>
      </c>
    </row>
    <row r="189" spans="1:17" x14ac:dyDescent="0.3">
      <c r="A189">
        <v>188</v>
      </c>
      <c r="B189" t="s">
        <v>163</v>
      </c>
      <c r="C189" t="s">
        <v>102</v>
      </c>
      <c r="D189" t="s">
        <v>84</v>
      </c>
      <c r="E189" s="6">
        <v>44499</v>
      </c>
      <c r="F189" s="10">
        <v>5219</v>
      </c>
      <c r="G189" t="s">
        <v>318</v>
      </c>
      <c r="H189">
        <f t="shared" ca="1" si="18"/>
        <v>3</v>
      </c>
      <c r="I189" s="12" t="str">
        <f t="shared" ca="1" si="19"/>
        <v>3 year 11 month 6 day</v>
      </c>
      <c r="J189" s="6">
        <f t="shared" si="20"/>
        <v>45595</v>
      </c>
      <c r="K189" s="6">
        <f t="shared" si="21"/>
        <v>44559</v>
      </c>
      <c r="L189" s="6">
        <f t="shared" si="22"/>
        <v>44582</v>
      </c>
      <c r="M189">
        <f t="shared" ca="1" si="23"/>
        <v>194</v>
      </c>
      <c r="N189">
        <v>5</v>
      </c>
      <c r="O189" t="str">
        <f t="shared" si="24"/>
        <v>Friday</v>
      </c>
      <c r="P189" t="str">
        <f t="shared" si="25"/>
        <v>January</v>
      </c>
      <c r="Q189" t="str">
        <f t="shared" si="26"/>
        <v>Weekend</v>
      </c>
    </row>
    <row r="190" spans="1:17" x14ac:dyDescent="0.3">
      <c r="A190">
        <v>189</v>
      </c>
      <c r="B190" t="s">
        <v>97</v>
      </c>
      <c r="C190" t="s">
        <v>78</v>
      </c>
      <c r="D190" t="s">
        <v>98</v>
      </c>
      <c r="E190" s="6">
        <v>42258</v>
      </c>
      <c r="F190" s="10">
        <v>7679</v>
      </c>
      <c r="G190" t="s">
        <v>319</v>
      </c>
      <c r="H190">
        <f t="shared" ca="1" si="18"/>
        <v>10</v>
      </c>
      <c r="I190" s="12" t="str">
        <f t="shared" ca="1" si="19"/>
        <v>10 year 0 month 25 day</v>
      </c>
      <c r="J190" s="6">
        <f t="shared" si="20"/>
        <v>43354</v>
      </c>
      <c r="K190" s="6">
        <f t="shared" si="21"/>
        <v>42318</v>
      </c>
      <c r="L190" s="6">
        <f t="shared" si="22"/>
        <v>42342</v>
      </c>
      <c r="M190">
        <f t="shared" ca="1" si="23"/>
        <v>193</v>
      </c>
      <c r="N190">
        <v>6</v>
      </c>
      <c r="O190" t="str">
        <f t="shared" si="24"/>
        <v>Friday</v>
      </c>
      <c r="P190" t="str">
        <f t="shared" si="25"/>
        <v>December</v>
      </c>
      <c r="Q190" t="str">
        <f t="shared" si="26"/>
        <v>Weekday</v>
      </c>
    </row>
    <row r="191" spans="1:17" x14ac:dyDescent="0.3">
      <c r="A191">
        <v>190</v>
      </c>
      <c r="B191" t="s">
        <v>107</v>
      </c>
      <c r="C191" t="s">
        <v>78</v>
      </c>
      <c r="D191" t="s">
        <v>81</v>
      </c>
      <c r="E191" s="6">
        <v>44519</v>
      </c>
      <c r="F191" s="10">
        <v>8930</v>
      </c>
      <c r="G191" t="s">
        <v>320</v>
      </c>
      <c r="H191">
        <f t="shared" ca="1" si="18"/>
        <v>3</v>
      </c>
      <c r="I191" s="12" t="str">
        <f t="shared" ca="1" si="19"/>
        <v>3 year 10 month 17 day</v>
      </c>
      <c r="J191" s="6">
        <f t="shared" si="20"/>
        <v>45615</v>
      </c>
      <c r="K191" s="6">
        <f t="shared" si="21"/>
        <v>44579</v>
      </c>
      <c r="L191" s="6">
        <f t="shared" si="22"/>
        <v>44603</v>
      </c>
      <c r="M191">
        <f t="shared" ca="1" si="23"/>
        <v>195</v>
      </c>
      <c r="N191">
        <v>4</v>
      </c>
      <c r="O191" t="str">
        <f t="shared" si="24"/>
        <v>Friday</v>
      </c>
      <c r="P191" t="str">
        <f t="shared" si="25"/>
        <v>February</v>
      </c>
      <c r="Q191" t="str">
        <f t="shared" si="26"/>
        <v>Weekday</v>
      </c>
    </row>
    <row r="192" spans="1:17" x14ac:dyDescent="0.3">
      <c r="A192">
        <v>191</v>
      </c>
      <c r="B192" t="s">
        <v>39</v>
      </c>
      <c r="C192" t="s">
        <v>87</v>
      </c>
      <c r="D192" t="s">
        <v>75</v>
      </c>
      <c r="E192" s="6">
        <v>43545</v>
      </c>
      <c r="F192" s="10">
        <v>8988</v>
      </c>
      <c r="G192" t="s">
        <v>321</v>
      </c>
      <c r="H192">
        <f t="shared" ca="1" si="18"/>
        <v>6</v>
      </c>
      <c r="I192" s="12" t="str">
        <f t="shared" ca="1" si="19"/>
        <v>6 year 6 month 15 day</v>
      </c>
      <c r="J192" s="6">
        <f t="shared" si="20"/>
        <v>44641</v>
      </c>
      <c r="K192" s="6">
        <f t="shared" si="21"/>
        <v>43605</v>
      </c>
      <c r="L192" s="6">
        <f t="shared" si="22"/>
        <v>43629</v>
      </c>
      <c r="M192">
        <f t="shared" ca="1" si="23"/>
        <v>194</v>
      </c>
      <c r="N192">
        <v>5</v>
      </c>
      <c r="O192" t="str">
        <f t="shared" si="24"/>
        <v>Thursday</v>
      </c>
      <c r="P192" t="str">
        <f t="shared" si="25"/>
        <v>June</v>
      </c>
      <c r="Q192" t="str">
        <f t="shared" si="26"/>
        <v>Weekday</v>
      </c>
    </row>
    <row r="193" spans="1:17" x14ac:dyDescent="0.3">
      <c r="A193">
        <v>192</v>
      </c>
      <c r="B193" t="s">
        <v>86</v>
      </c>
      <c r="C193" t="s">
        <v>102</v>
      </c>
      <c r="D193" t="s">
        <v>75</v>
      </c>
      <c r="E193" s="6">
        <v>44434</v>
      </c>
      <c r="F193" s="10">
        <v>6350</v>
      </c>
      <c r="G193" t="s">
        <v>322</v>
      </c>
      <c r="H193">
        <f t="shared" ca="1" si="18"/>
        <v>4</v>
      </c>
      <c r="I193" s="12" t="str">
        <f t="shared" ca="1" si="19"/>
        <v>4 year 1 month 10 day</v>
      </c>
      <c r="J193" s="6">
        <f t="shared" si="20"/>
        <v>45530</v>
      </c>
      <c r="K193" s="6">
        <f t="shared" si="21"/>
        <v>44494</v>
      </c>
      <c r="L193" s="6">
        <f t="shared" si="22"/>
        <v>44518</v>
      </c>
      <c r="M193">
        <f t="shared" ca="1" si="23"/>
        <v>194</v>
      </c>
      <c r="N193">
        <v>5</v>
      </c>
      <c r="O193" t="str">
        <f t="shared" si="24"/>
        <v>Thursday</v>
      </c>
      <c r="P193" t="str">
        <f t="shared" si="25"/>
        <v>November</v>
      </c>
      <c r="Q193" t="str">
        <f t="shared" si="26"/>
        <v>Weekday</v>
      </c>
    </row>
    <row r="194" spans="1:17" x14ac:dyDescent="0.3">
      <c r="A194">
        <v>193</v>
      </c>
      <c r="B194" t="s">
        <v>163</v>
      </c>
      <c r="C194" t="s">
        <v>78</v>
      </c>
      <c r="D194" t="s">
        <v>98</v>
      </c>
      <c r="E194" s="6">
        <v>43281</v>
      </c>
      <c r="F194" s="10">
        <v>7675</v>
      </c>
      <c r="G194" t="s">
        <v>323</v>
      </c>
      <c r="H194">
        <f t="shared" ca="1" si="18"/>
        <v>7</v>
      </c>
      <c r="I194" s="12" t="str">
        <f t="shared" ca="1" si="19"/>
        <v>7 year 3 month 6 day</v>
      </c>
      <c r="J194" s="6">
        <f t="shared" si="20"/>
        <v>44377</v>
      </c>
      <c r="K194" s="6">
        <f t="shared" si="21"/>
        <v>43341</v>
      </c>
      <c r="L194" s="6">
        <f t="shared" si="22"/>
        <v>43364</v>
      </c>
      <c r="M194">
        <f t="shared" ca="1" si="23"/>
        <v>196</v>
      </c>
      <c r="N194">
        <v>3</v>
      </c>
      <c r="O194" t="str">
        <f t="shared" si="24"/>
        <v>Friday</v>
      </c>
      <c r="P194" t="str">
        <f t="shared" si="25"/>
        <v>September</v>
      </c>
      <c r="Q194" t="str">
        <f t="shared" si="26"/>
        <v>Weekend</v>
      </c>
    </row>
    <row r="195" spans="1:17" x14ac:dyDescent="0.3">
      <c r="A195">
        <v>194</v>
      </c>
      <c r="B195" t="s">
        <v>190</v>
      </c>
      <c r="C195" t="s">
        <v>74</v>
      </c>
      <c r="D195" t="s">
        <v>84</v>
      </c>
      <c r="E195" s="6">
        <v>42461</v>
      </c>
      <c r="F195" s="10">
        <v>7578</v>
      </c>
      <c r="G195" t="s">
        <v>324</v>
      </c>
      <c r="H195">
        <f t="shared" ref="H195:H201" ca="1" si="27">DATEDIF(E195,TODAY(),"Y")</f>
        <v>9</v>
      </c>
      <c r="I195" s="12" t="str">
        <f t="shared" ref="I195:I201" ca="1" si="28">DATEDIF(E195,TODAY(),"Y")&amp;" year "&amp;DATEDIF(E195,TODAY(),"YM")&amp;" month "&amp;DATEDIF(E195,TODAY(),"MD")&amp;" day"</f>
        <v>9 year 6 month 5 day</v>
      </c>
      <c r="J195" s="6">
        <f t="shared" ref="J195:J201" si="29">EDATE(E195,36)</f>
        <v>43556</v>
      </c>
      <c r="K195" s="6">
        <f t="shared" ref="K195:K201" si="30">E195+60</f>
        <v>42521</v>
      </c>
      <c r="L195" s="6">
        <f t="shared" ref="L195:L201" si="31">WORKDAY(E195,60)</f>
        <v>42545</v>
      </c>
      <c r="M195">
        <f t="shared" ref="M195:M201" ca="1" si="32">NETWORKDAYS(DATE(2025,1,1),TODAY())-N195</f>
        <v>198</v>
      </c>
      <c r="N195">
        <v>1</v>
      </c>
      <c r="O195" t="str">
        <f t="shared" ref="O195:O201" si="33">TEXT(L195,"DDDD")</f>
        <v>Friday</v>
      </c>
      <c r="P195" t="str">
        <f t="shared" ref="P195:P201" si="34">TEXT(L195,"MMMM")</f>
        <v>June</v>
      </c>
      <c r="Q195" t="str">
        <f t="shared" ref="Q195:Q201" si="35">IF(WEEKDAY(E195,2)&gt;5,"Weekend","Weekday")</f>
        <v>Weekday</v>
      </c>
    </row>
    <row r="196" spans="1:17" x14ac:dyDescent="0.3">
      <c r="A196">
        <v>195</v>
      </c>
      <c r="B196" t="s">
        <v>227</v>
      </c>
      <c r="C196" t="s">
        <v>87</v>
      </c>
      <c r="D196" t="s">
        <v>98</v>
      </c>
      <c r="E196" s="6">
        <v>43127</v>
      </c>
      <c r="F196" s="10">
        <v>7948</v>
      </c>
      <c r="G196" t="s">
        <v>325</v>
      </c>
      <c r="H196">
        <f t="shared" ca="1" si="27"/>
        <v>7</v>
      </c>
      <c r="I196" s="12" t="str">
        <f t="shared" ca="1" si="28"/>
        <v>7 year 8 month 9 day</v>
      </c>
      <c r="J196" s="6">
        <f t="shared" si="29"/>
        <v>44223</v>
      </c>
      <c r="K196" s="6">
        <f t="shared" si="30"/>
        <v>43187</v>
      </c>
      <c r="L196" s="6">
        <f t="shared" si="31"/>
        <v>43210</v>
      </c>
      <c r="M196">
        <f t="shared" ca="1" si="32"/>
        <v>193</v>
      </c>
      <c r="N196">
        <v>6</v>
      </c>
      <c r="O196" t="str">
        <f t="shared" si="33"/>
        <v>Friday</v>
      </c>
      <c r="P196" t="str">
        <f t="shared" si="34"/>
        <v>April</v>
      </c>
      <c r="Q196" t="str">
        <f t="shared" si="35"/>
        <v>Weekend</v>
      </c>
    </row>
    <row r="197" spans="1:17" x14ac:dyDescent="0.3">
      <c r="A197">
        <v>196</v>
      </c>
      <c r="B197" t="s">
        <v>154</v>
      </c>
      <c r="C197" t="s">
        <v>87</v>
      </c>
      <c r="D197" t="s">
        <v>75</v>
      </c>
      <c r="E197" s="6">
        <v>42194</v>
      </c>
      <c r="F197" s="10">
        <v>11574</v>
      </c>
      <c r="G197" t="s">
        <v>326</v>
      </c>
      <c r="H197">
        <f t="shared" ca="1" si="27"/>
        <v>10</v>
      </c>
      <c r="I197" s="12" t="str">
        <f t="shared" ca="1" si="28"/>
        <v>10 year 2 month 27 day</v>
      </c>
      <c r="J197" s="6">
        <f t="shared" si="29"/>
        <v>43290</v>
      </c>
      <c r="K197" s="6">
        <f t="shared" si="30"/>
        <v>42254</v>
      </c>
      <c r="L197" s="6">
        <f t="shared" si="31"/>
        <v>42278</v>
      </c>
      <c r="M197">
        <f t="shared" ca="1" si="32"/>
        <v>198</v>
      </c>
      <c r="N197">
        <v>1</v>
      </c>
      <c r="O197" t="str">
        <f t="shared" si="33"/>
        <v>Thursday</v>
      </c>
      <c r="P197" t="str">
        <f t="shared" si="34"/>
        <v>October</v>
      </c>
      <c r="Q197" t="str">
        <f t="shared" si="35"/>
        <v>Weekday</v>
      </c>
    </row>
    <row r="198" spans="1:17" x14ac:dyDescent="0.3">
      <c r="A198">
        <v>197</v>
      </c>
      <c r="B198" t="s">
        <v>183</v>
      </c>
      <c r="C198" t="s">
        <v>90</v>
      </c>
      <c r="D198" t="s">
        <v>98</v>
      </c>
      <c r="E198" s="6">
        <v>42404</v>
      </c>
      <c r="F198" s="10">
        <v>9407</v>
      </c>
      <c r="G198" t="s">
        <v>327</v>
      </c>
      <c r="H198">
        <f t="shared" ca="1" si="27"/>
        <v>9</v>
      </c>
      <c r="I198" s="12" t="str">
        <f t="shared" ca="1" si="28"/>
        <v>9 year 8 month 2 day</v>
      </c>
      <c r="J198" s="6">
        <f t="shared" si="29"/>
        <v>43500</v>
      </c>
      <c r="K198" s="6">
        <f t="shared" si="30"/>
        <v>42464</v>
      </c>
      <c r="L198" s="6">
        <f t="shared" si="31"/>
        <v>42488</v>
      </c>
      <c r="M198">
        <f t="shared" ca="1" si="32"/>
        <v>193</v>
      </c>
      <c r="N198">
        <v>6</v>
      </c>
      <c r="O198" t="str">
        <f t="shared" si="33"/>
        <v>Thursday</v>
      </c>
      <c r="P198" t="str">
        <f t="shared" si="34"/>
        <v>April</v>
      </c>
      <c r="Q198" t="str">
        <f t="shared" si="35"/>
        <v>Weekday</v>
      </c>
    </row>
    <row r="199" spans="1:17" x14ac:dyDescent="0.3">
      <c r="A199">
        <v>198</v>
      </c>
      <c r="B199" t="s">
        <v>93</v>
      </c>
      <c r="C199" t="s">
        <v>102</v>
      </c>
      <c r="D199" t="s">
        <v>91</v>
      </c>
      <c r="E199" s="6">
        <v>43800</v>
      </c>
      <c r="F199" s="10">
        <v>4138</v>
      </c>
      <c r="G199" t="s">
        <v>328</v>
      </c>
      <c r="H199">
        <f t="shared" ca="1" si="27"/>
        <v>5</v>
      </c>
      <c r="I199" s="12" t="str">
        <f t="shared" ca="1" si="28"/>
        <v>5 year 10 month 5 day</v>
      </c>
      <c r="J199" s="6">
        <f t="shared" si="29"/>
        <v>44896</v>
      </c>
      <c r="K199" s="6">
        <f t="shared" si="30"/>
        <v>43860</v>
      </c>
      <c r="L199" s="6">
        <f t="shared" si="31"/>
        <v>43882</v>
      </c>
      <c r="M199">
        <f t="shared" ca="1" si="32"/>
        <v>197</v>
      </c>
      <c r="N199">
        <v>2</v>
      </c>
      <c r="O199" t="str">
        <f t="shared" si="33"/>
        <v>Friday</v>
      </c>
      <c r="P199" t="str">
        <f t="shared" si="34"/>
        <v>February</v>
      </c>
      <c r="Q199" t="str">
        <f t="shared" si="35"/>
        <v>Weekend</v>
      </c>
    </row>
    <row r="200" spans="1:17" x14ac:dyDescent="0.3">
      <c r="A200">
        <v>199</v>
      </c>
      <c r="B200" t="s">
        <v>258</v>
      </c>
      <c r="C200" t="s">
        <v>102</v>
      </c>
      <c r="D200" t="s">
        <v>84</v>
      </c>
      <c r="E200" s="6">
        <v>44153</v>
      </c>
      <c r="F200" s="10">
        <v>3882</v>
      </c>
      <c r="G200" t="s">
        <v>329</v>
      </c>
      <c r="H200">
        <f t="shared" ca="1" si="27"/>
        <v>4</v>
      </c>
      <c r="I200" s="12" t="str">
        <f t="shared" ca="1" si="28"/>
        <v>4 year 10 month 18 day</v>
      </c>
      <c r="J200" s="6">
        <f t="shared" si="29"/>
        <v>45248</v>
      </c>
      <c r="K200" s="6">
        <f t="shared" si="30"/>
        <v>44213</v>
      </c>
      <c r="L200" s="6">
        <f t="shared" si="31"/>
        <v>44237</v>
      </c>
      <c r="M200">
        <f t="shared" ca="1" si="32"/>
        <v>195</v>
      </c>
      <c r="N200">
        <v>4</v>
      </c>
      <c r="O200" t="str">
        <f t="shared" si="33"/>
        <v>Wednesday</v>
      </c>
      <c r="P200" t="str">
        <f t="shared" si="34"/>
        <v>February</v>
      </c>
      <c r="Q200" t="str">
        <f t="shared" si="35"/>
        <v>Weekday</v>
      </c>
    </row>
    <row r="201" spans="1:17" x14ac:dyDescent="0.3">
      <c r="A201">
        <v>200</v>
      </c>
      <c r="B201" t="s">
        <v>125</v>
      </c>
      <c r="C201" t="s">
        <v>87</v>
      </c>
      <c r="D201" t="s">
        <v>75</v>
      </c>
      <c r="E201" s="6">
        <v>42824</v>
      </c>
      <c r="F201" s="10">
        <v>2919</v>
      </c>
      <c r="G201" t="s">
        <v>330</v>
      </c>
      <c r="H201">
        <f t="shared" ca="1" si="27"/>
        <v>8</v>
      </c>
      <c r="I201" s="12" t="str">
        <f t="shared" ca="1" si="28"/>
        <v>8 year 6 month 6 day</v>
      </c>
      <c r="J201" s="6">
        <f t="shared" si="29"/>
        <v>43920</v>
      </c>
      <c r="K201" s="6">
        <f t="shared" si="30"/>
        <v>42884</v>
      </c>
      <c r="L201" s="6">
        <f t="shared" si="31"/>
        <v>42908</v>
      </c>
      <c r="M201">
        <f t="shared" ca="1" si="32"/>
        <v>196</v>
      </c>
      <c r="N201">
        <v>3</v>
      </c>
      <c r="O201" t="str">
        <f t="shared" si="33"/>
        <v>Thursday</v>
      </c>
      <c r="P201" t="str">
        <f t="shared" si="34"/>
        <v>June</v>
      </c>
      <c r="Q201" t="str">
        <f t="shared" si="35"/>
        <v>Weekday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0E47F-7D81-4F66-ABC1-28046939ED61}">
  <dimension ref="B1:M20"/>
  <sheetViews>
    <sheetView topLeftCell="A4" zoomScale="190" zoomScaleNormal="190" workbookViewId="0">
      <selection activeCell="H18" sqref="H18"/>
    </sheetView>
  </sheetViews>
  <sheetFormatPr defaultRowHeight="14.4" x14ac:dyDescent="0.3"/>
  <cols>
    <col min="3" max="3" width="11.21875" customWidth="1"/>
    <col min="4" max="4" width="15.44140625" customWidth="1"/>
    <col min="5" max="5" width="9.44140625" customWidth="1"/>
    <col min="6" max="6" width="13.21875" bestFit="1" customWidth="1"/>
    <col min="8" max="8" width="18.88671875" bestFit="1" customWidth="1"/>
    <col min="9" max="9" width="9.88671875" bestFit="1" customWidth="1"/>
    <col min="10" max="10" width="13.21875" bestFit="1" customWidth="1"/>
    <col min="12" max="12" width="11.21875" bestFit="1" customWidth="1"/>
  </cols>
  <sheetData>
    <row r="1" spans="2:13" x14ac:dyDescent="0.3">
      <c r="B1" s="7" t="s">
        <v>32</v>
      </c>
      <c r="C1" s="7" t="s">
        <v>553</v>
      </c>
      <c r="D1" s="7" t="s">
        <v>46</v>
      </c>
      <c r="E1" s="7" t="s">
        <v>552</v>
      </c>
      <c r="F1" s="7" t="s">
        <v>569</v>
      </c>
      <c r="G1" s="7" t="s">
        <v>561</v>
      </c>
      <c r="H1" s="7" t="s">
        <v>562</v>
      </c>
      <c r="I1" s="7" t="s">
        <v>567</v>
      </c>
      <c r="J1" s="7" t="s">
        <v>568</v>
      </c>
      <c r="K1" s="7" t="s">
        <v>573</v>
      </c>
      <c r="L1" s="7" t="s">
        <v>69</v>
      </c>
      <c r="M1" s="7" t="s">
        <v>574</v>
      </c>
    </row>
    <row r="2" spans="2:13" x14ac:dyDescent="0.3">
      <c r="B2" t="s">
        <v>35</v>
      </c>
      <c r="C2" t="s">
        <v>558</v>
      </c>
      <c r="D2" s="6">
        <v>45689</v>
      </c>
      <c r="E2" t="s">
        <v>555</v>
      </c>
      <c r="F2" t="s">
        <v>570</v>
      </c>
      <c r="G2" t="str">
        <f>LEFT(C2,3)</f>
        <v>P01</v>
      </c>
      <c r="H2" t="str">
        <f>_xlfn.TEXTBEFORE(C2,{"-","%"})</f>
        <v>P01</v>
      </c>
      <c r="I2" t="str" cm="1">
        <f t="array" ref="I2:I4">_xlfn.TEXTSPLIT(C2:C4,{"-","%"})</f>
        <v>P01</v>
      </c>
      <c r="J2" t="str">
        <f>_xlfn.TEXTAFTER(C2,{"-","%"})</f>
        <v>Oil</v>
      </c>
      <c r="K2" t="str">
        <f>MID(F2,3,4)</f>
        <v>2020</v>
      </c>
      <c r="L2" t="str">
        <f>IF(LEFT(F2,2)="SA","Sales","Finance")</f>
        <v>Sales</v>
      </c>
      <c r="M2" t="str">
        <f>RIGHT(F2,1)</f>
        <v>L</v>
      </c>
    </row>
    <row r="3" spans="2:13" x14ac:dyDescent="0.3">
      <c r="B3" t="s">
        <v>36</v>
      </c>
      <c r="C3" t="s">
        <v>559</v>
      </c>
      <c r="D3" s="6">
        <v>45691</v>
      </c>
      <c r="E3" t="s">
        <v>557</v>
      </c>
      <c r="F3" t="s">
        <v>571</v>
      </c>
      <c r="G3" t="str">
        <f>LEFT(C3,3)</f>
        <v>P02</v>
      </c>
      <c r="H3" t="str">
        <f>_xlfn.TEXTBEFORE(C3,{"-","%"})</f>
        <v>P02</v>
      </c>
      <c r="I3" t="str">
        <v>P02</v>
      </c>
      <c r="J3" t="str">
        <f>_xlfn.TEXTAFTER(C3,{"-","%"})</f>
        <v>Water</v>
      </c>
      <c r="K3" t="str">
        <f t="shared" ref="K3:K4" si="0">MID(F3,3,4)</f>
        <v>2023</v>
      </c>
      <c r="L3" t="str">
        <f t="shared" ref="L3:L4" si="1">IF(LEFT(F3,2)="SA","Sales","Finance")</f>
        <v>Sales</v>
      </c>
      <c r="M3" t="str">
        <f t="shared" ref="M3:M4" si="2">RIGHT(F3,1)</f>
        <v>P</v>
      </c>
    </row>
    <row r="4" spans="2:13" x14ac:dyDescent="0.3">
      <c r="B4" t="s">
        <v>34</v>
      </c>
      <c r="C4" t="s">
        <v>563</v>
      </c>
      <c r="D4" s="6">
        <v>45750</v>
      </c>
      <c r="E4" t="s">
        <v>560</v>
      </c>
      <c r="F4" t="s">
        <v>572</v>
      </c>
      <c r="G4" t="str">
        <f>LEFT(C4,3)</f>
        <v>P01</v>
      </c>
      <c r="H4" t="str">
        <f>_xlfn.TEXTBEFORE(C4,{"-","%"})</f>
        <v>P010</v>
      </c>
      <c r="I4" t="str">
        <v>P010</v>
      </c>
      <c r="J4" t="str">
        <f>_xlfn.TEXTAFTER(C4,{"-","%"})</f>
        <v>Coffee</v>
      </c>
      <c r="K4" t="str">
        <f t="shared" si="0"/>
        <v>2019</v>
      </c>
      <c r="L4" t="str">
        <f t="shared" si="1"/>
        <v>Finance</v>
      </c>
      <c r="M4" t="str">
        <f t="shared" si="2"/>
        <v>P</v>
      </c>
    </row>
    <row r="9" spans="2:13" x14ac:dyDescent="0.3">
      <c r="B9" s="13" t="s">
        <v>32</v>
      </c>
      <c r="C9" s="13" t="s">
        <v>553</v>
      </c>
      <c r="D9" s="13" t="s">
        <v>46</v>
      </c>
      <c r="E9" s="13" t="s">
        <v>552</v>
      </c>
      <c r="F9" s="17" t="s">
        <v>577</v>
      </c>
      <c r="I9" s="15" t="s">
        <v>553</v>
      </c>
      <c r="J9" s="15" t="s">
        <v>577</v>
      </c>
      <c r="K9" s="15" t="s">
        <v>578</v>
      </c>
    </row>
    <row r="10" spans="2:13" x14ac:dyDescent="0.3">
      <c r="B10" s="5" t="s">
        <v>35</v>
      </c>
      <c r="C10" s="5" t="s">
        <v>554</v>
      </c>
      <c r="D10" s="14">
        <v>45689</v>
      </c>
      <c r="E10" s="5" t="s">
        <v>555</v>
      </c>
      <c r="F10" t="str">
        <f>_xlfn.XLOOKUP(C10,$I$10:$I$12,$J$10:$J$12,"Tiada",0)</f>
        <v>Tiada</v>
      </c>
      <c r="I10" t="s">
        <v>556</v>
      </c>
      <c r="J10" t="s">
        <v>564</v>
      </c>
      <c r="K10">
        <v>3</v>
      </c>
    </row>
    <row r="11" spans="2:13" x14ac:dyDescent="0.3">
      <c r="B11" s="5" t="s">
        <v>36</v>
      </c>
      <c r="C11" s="5" t="s">
        <v>556</v>
      </c>
      <c r="D11" s="14">
        <v>45691</v>
      </c>
      <c r="E11" s="5" t="s">
        <v>557</v>
      </c>
      <c r="F11" t="str">
        <f t="shared" ref="F11:F13" si="3">_xlfn.XLOOKUP(C11,$I$10:$I$12,$J$10:$J$12,"Tiada",0)</f>
        <v>Oil</v>
      </c>
      <c r="I11" t="s">
        <v>565</v>
      </c>
      <c r="J11" t="s">
        <v>566</v>
      </c>
      <c r="K11">
        <v>5</v>
      </c>
    </row>
    <row r="12" spans="2:13" x14ac:dyDescent="0.3">
      <c r="B12" s="5" t="s">
        <v>34</v>
      </c>
      <c r="C12" s="5" t="s">
        <v>565</v>
      </c>
      <c r="D12" s="14">
        <v>45750</v>
      </c>
      <c r="E12" s="5" t="s">
        <v>560</v>
      </c>
      <c r="F12" t="str">
        <f t="shared" si="3"/>
        <v>Coffee</v>
      </c>
      <c r="I12" t="s">
        <v>575</v>
      </c>
      <c r="J12" t="s">
        <v>576</v>
      </c>
      <c r="K12">
        <v>4</v>
      </c>
    </row>
    <row r="13" spans="2:13" x14ac:dyDescent="0.3">
      <c r="C13" s="16" t="s">
        <v>556</v>
      </c>
      <c r="D13" s="14">
        <v>45751</v>
      </c>
      <c r="E13" s="5" t="s">
        <v>579</v>
      </c>
      <c r="F13" t="str">
        <f t="shared" si="3"/>
        <v>Oil</v>
      </c>
    </row>
    <row r="17" spans="2:7" x14ac:dyDescent="0.3">
      <c r="B17" s="7" t="s">
        <v>68</v>
      </c>
      <c r="C17" s="7" t="s">
        <v>580</v>
      </c>
      <c r="D17" s="7" t="s">
        <v>581</v>
      </c>
      <c r="E17" s="7"/>
      <c r="F17" s="7" t="s">
        <v>581</v>
      </c>
      <c r="G17" s="7" t="s">
        <v>580</v>
      </c>
    </row>
    <row r="18" spans="2:7" x14ac:dyDescent="0.3">
      <c r="B18" t="s">
        <v>582</v>
      </c>
      <c r="C18">
        <v>25</v>
      </c>
      <c r="D18" t="str">
        <f>_xlfn.XLOOKUP(C18,$G$18:$G$20,$F$18:$F$20,"Fail",-1)</f>
        <v>Fail</v>
      </c>
      <c r="F18" t="s">
        <v>531</v>
      </c>
      <c r="G18">
        <v>40</v>
      </c>
    </row>
    <row r="19" spans="2:7" x14ac:dyDescent="0.3">
      <c r="B19" t="s">
        <v>583</v>
      </c>
      <c r="C19">
        <v>75</v>
      </c>
      <c r="D19" t="str">
        <f t="shared" ref="D19:D20" si="4">_xlfn.XLOOKUP(C19,$G$18:$G$20,$F$18:$F$20,"Fail",-1)</f>
        <v>B</v>
      </c>
      <c r="F19" t="s">
        <v>530</v>
      </c>
      <c r="G19">
        <v>70</v>
      </c>
    </row>
    <row r="20" spans="2:7" x14ac:dyDescent="0.3">
      <c r="B20" t="s">
        <v>584</v>
      </c>
      <c r="C20">
        <v>90</v>
      </c>
      <c r="D20" t="str">
        <f t="shared" si="4"/>
        <v>A</v>
      </c>
      <c r="F20" t="s">
        <v>529</v>
      </c>
      <c r="G20">
        <v>90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1"/>
  <sheetViews>
    <sheetView tabSelected="1" workbookViewId="0">
      <selection sqref="A1:I301"/>
    </sheetView>
  </sheetViews>
  <sheetFormatPr defaultRowHeight="14.4" x14ac:dyDescent="0.3"/>
  <cols>
    <col min="2" max="2" width="18.109375" bestFit="1" customWidth="1"/>
  </cols>
  <sheetData>
    <row r="1" spans="1:9" x14ac:dyDescent="0.3">
      <c r="A1" s="1" t="s">
        <v>331</v>
      </c>
      <c r="B1" s="1" t="s">
        <v>46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</row>
    <row r="2" spans="1:9" x14ac:dyDescent="0.3">
      <c r="A2">
        <v>1</v>
      </c>
      <c r="B2" s="2">
        <v>45182</v>
      </c>
      <c r="C2" t="s">
        <v>37</v>
      </c>
      <c r="D2" t="s">
        <v>339</v>
      </c>
      <c r="E2">
        <v>1304</v>
      </c>
      <c r="F2">
        <v>16422</v>
      </c>
      <c r="G2">
        <v>120</v>
      </c>
      <c r="H2">
        <v>4107.5</v>
      </c>
      <c r="I2">
        <v>0.46</v>
      </c>
    </row>
    <row r="3" spans="1:9" x14ac:dyDescent="0.3">
      <c r="A3">
        <v>2</v>
      </c>
      <c r="B3" s="2">
        <v>45155</v>
      </c>
      <c r="C3" t="s">
        <v>340</v>
      </c>
      <c r="D3" t="s">
        <v>341</v>
      </c>
      <c r="E3">
        <v>568</v>
      </c>
      <c r="F3">
        <v>31874</v>
      </c>
      <c r="G3">
        <v>96</v>
      </c>
      <c r="H3">
        <v>4868.18</v>
      </c>
      <c r="I3">
        <v>-0.01</v>
      </c>
    </row>
    <row r="4" spans="1:9" x14ac:dyDescent="0.3">
      <c r="A4">
        <v>3</v>
      </c>
      <c r="B4" s="2">
        <v>45172</v>
      </c>
      <c r="C4" t="s">
        <v>342</v>
      </c>
      <c r="D4" t="s">
        <v>343</v>
      </c>
      <c r="E4">
        <v>1718</v>
      </c>
      <c r="F4">
        <v>5481</v>
      </c>
      <c r="G4">
        <v>66</v>
      </c>
      <c r="H4">
        <v>4865.3100000000004</v>
      </c>
      <c r="I4">
        <v>-0.32</v>
      </c>
    </row>
    <row r="5" spans="1:9" x14ac:dyDescent="0.3">
      <c r="A5">
        <v>4</v>
      </c>
      <c r="B5" s="2">
        <v>44991</v>
      </c>
      <c r="C5" t="s">
        <v>37</v>
      </c>
      <c r="D5" t="s">
        <v>339</v>
      </c>
      <c r="E5">
        <v>1664</v>
      </c>
      <c r="F5">
        <v>44668</v>
      </c>
      <c r="G5">
        <v>142</v>
      </c>
      <c r="H5">
        <v>6841.65</v>
      </c>
      <c r="I5">
        <v>0.04</v>
      </c>
    </row>
    <row r="6" spans="1:9" x14ac:dyDescent="0.3">
      <c r="A6">
        <v>5</v>
      </c>
      <c r="B6" s="2">
        <v>45099</v>
      </c>
      <c r="C6" t="s">
        <v>342</v>
      </c>
      <c r="D6" t="s">
        <v>344</v>
      </c>
      <c r="E6">
        <v>262</v>
      </c>
      <c r="F6">
        <v>25817</v>
      </c>
      <c r="G6">
        <v>217</v>
      </c>
      <c r="H6">
        <v>2068.6799999999998</v>
      </c>
      <c r="I6">
        <v>4.24</v>
      </c>
    </row>
    <row r="7" spans="1:9" x14ac:dyDescent="0.3">
      <c r="A7">
        <v>6</v>
      </c>
      <c r="B7" s="2">
        <v>45234</v>
      </c>
      <c r="C7" t="s">
        <v>342</v>
      </c>
      <c r="D7" t="s">
        <v>345</v>
      </c>
      <c r="E7">
        <v>213</v>
      </c>
      <c r="F7">
        <v>42424</v>
      </c>
      <c r="G7">
        <v>192</v>
      </c>
      <c r="H7">
        <v>6496.29</v>
      </c>
      <c r="I7">
        <v>0.48</v>
      </c>
    </row>
    <row r="8" spans="1:9" x14ac:dyDescent="0.3">
      <c r="A8">
        <v>7</v>
      </c>
      <c r="B8" s="2">
        <v>45178</v>
      </c>
      <c r="C8" t="s">
        <v>346</v>
      </c>
      <c r="D8" t="s">
        <v>347</v>
      </c>
      <c r="E8">
        <v>559</v>
      </c>
      <c r="F8">
        <v>39595</v>
      </c>
      <c r="G8">
        <v>38</v>
      </c>
      <c r="H8">
        <v>3314.29</v>
      </c>
      <c r="I8">
        <v>-0.43</v>
      </c>
    </row>
    <row r="9" spans="1:9" x14ac:dyDescent="0.3">
      <c r="A9">
        <v>8</v>
      </c>
      <c r="B9" s="2">
        <v>44968</v>
      </c>
      <c r="C9" t="s">
        <v>37</v>
      </c>
      <c r="D9" t="s">
        <v>348</v>
      </c>
      <c r="E9">
        <v>793</v>
      </c>
      <c r="F9">
        <v>8394</v>
      </c>
      <c r="G9">
        <v>237</v>
      </c>
      <c r="H9">
        <v>6179.4</v>
      </c>
      <c r="I9">
        <v>0.92</v>
      </c>
    </row>
    <row r="10" spans="1:9" x14ac:dyDescent="0.3">
      <c r="A10">
        <v>9</v>
      </c>
      <c r="B10" s="2">
        <v>44943</v>
      </c>
      <c r="C10" t="s">
        <v>349</v>
      </c>
      <c r="D10" t="s">
        <v>350</v>
      </c>
      <c r="E10">
        <v>603</v>
      </c>
      <c r="F10">
        <v>44404</v>
      </c>
      <c r="G10">
        <v>117</v>
      </c>
      <c r="H10">
        <v>9557.81</v>
      </c>
      <c r="I10">
        <v>-0.39</v>
      </c>
    </row>
    <row r="11" spans="1:9" x14ac:dyDescent="0.3">
      <c r="A11">
        <v>10</v>
      </c>
      <c r="B11" s="2">
        <v>44955</v>
      </c>
      <c r="C11" t="s">
        <v>342</v>
      </c>
      <c r="D11" t="s">
        <v>351</v>
      </c>
      <c r="E11">
        <v>474</v>
      </c>
      <c r="F11">
        <v>40040</v>
      </c>
      <c r="G11">
        <v>134</v>
      </c>
      <c r="H11">
        <v>4432.2700000000004</v>
      </c>
      <c r="I11">
        <v>0.51</v>
      </c>
    </row>
    <row r="12" spans="1:9" x14ac:dyDescent="0.3">
      <c r="A12">
        <v>11</v>
      </c>
      <c r="B12" s="2">
        <v>45129</v>
      </c>
      <c r="C12" t="s">
        <v>349</v>
      </c>
      <c r="D12" t="s">
        <v>352</v>
      </c>
      <c r="E12">
        <v>1083</v>
      </c>
      <c r="F12">
        <v>25817</v>
      </c>
      <c r="G12">
        <v>236</v>
      </c>
      <c r="H12">
        <v>4668.63</v>
      </c>
      <c r="I12">
        <v>1.53</v>
      </c>
    </row>
    <row r="13" spans="1:9" x14ac:dyDescent="0.3">
      <c r="A13">
        <v>12</v>
      </c>
      <c r="B13" s="2">
        <v>45005</v>
      </c>
      <c r="C13" t="s">
        <v>37</v>
      </c>
      <c r="D13" t="s">
        <v>353</v>
      </c>
      <c r="E13">
        <v>825</v>
      </c>
      <c r="F13">
        <v>29602</v>
      </c>
      <c r="G13">
        <v>218</v>
      </c>
      <c r="H13">
        <v>6403.03</v>
      </c>
      <c r="I13">
        <v>0.7</v>
      </c>
    </row>
    <row r="14" spans="1:9" x14ac:dyDescent="0.3">
      <c r="A14">
        <v>13</v>
      </c>
      <c r="B14" s="2">
        <v>45013</v>
      </c>
      <c r="C14" t="s">
        <v>342</v>
      </c>
      <c r="D14" t="s">
        <v>354</v>
      </c>
      <c r="E14">
        <v>1005</v>
      </c>
      <c r="F14">
        <v>26431</v>
      </c>
      <c r="G14">
        <v>177</v>
      </c>
      <c r="H14">
        <v>1586.67</v>
      </c>
      <c r="I14">
        <v>4.58</v>
      </c>
    </row>
    <row r="15" spans="1:9" x14ac:dyDescent="0.3">
      <c r="A15">
        <v>14</v>
      </c>
      <c r="B15" s="2">
        <v>44969</v>
      </c>
      <c r="C15" t="s">
        <v>349</v>
      </c>
      <c r="D15" t="s">
        <v>355</v>
      </c>
      <c r="E15">
        <v>1081</v>
      </c>
      <c r="F15">
        <v>5940</v>
      </c>
      <c r="G15">
        <v>204</v>
      </c>
      <c r="H15">
        <v>939.44</v>
      </c>
      <c r="I15">
        <v>9.86</v>
      </c>
    </row>
    <row r="16" spans="1:9" x14ac:dyDescent="0.3">
      <c r="A16">
        <v>15</v>
      </c>
      <c r="B16" s="2">
        <v>45074</v>
      </c>
      <c r="C16" t="s">
        <v>340</v>
      </c>
      <c r="D16" t="s">
        <v>356</v>
      </c>
      <c r="E16">
        <v>1694</v>
      </c>
      <c r="F16">
        <v>29082</v>
      </c>
      <c r="G16">
        <v>156</v>
      </c>
      <c r="H16">
        <v>452.15</v>
      </c>
      <c r="I16">
        <v>16.25</v>
      </c>
    </row>
    <row r="17" spans="1:9" x14ac:dyDescent="0.3">
      <c r="A17">
        <v>16</v>
      </c>
      <c r="B17" s="2">
        <v>45137</v>
      </c>
      <c r="C17" t="s">
        <v>346</v>
      </c>
      <c r="D17" t="s">
        <v>357</v>
      </c>
      <c r="E17">
        <v>281</v>
      </c>
      <c r="F17">
        <v>45857</v>
      </c>
      <c r="G17">
        <v>232</v>
      </c>
      <c r="H17">
        <v>3562.06</v>
      </c>
      <c r="I17">
        <v>2.2599999999999998</v>
      </c>
    </row>
    <row r="18" spans="1:9" x14ac:dyDescent="0.3">
      <c r="A18">
        <v>17</v>
      </c>
      <c r="B18" s="2">
        <v>45278</v>
      </c>
      <c r="C18" t="s">
        <v>340</v>
      </c>
      <c r="D18" t="s">
        <v>358</v>
      </c>
      <c r="E18">
        <v>548</v>
      </c>
      <c r="F18">
        <v>29138</v>
      </c>
      <c r="G18">
        <v>265</v>
      </c>
      <c r="H18">
        <v>5541.2</v>
      </c>
      <c r="I18">
        <v>1.39</v>
      </c>
    </row>
    <row r="19" spans="1:9" x14ac:dyDescent="0.3">
      <c r="A19">
        <v>18</v>
      </c>
      <c r="B19" s="2">
        <v>45146</v>
      </c>
      <c r="C19" t="s">
        <v>340</v>
      </c>
      <c r="D19" t="s">
        <v>359</v>
      </c>
      <c r="E19">
        <v>1393</v>
      </c>
      <c r="F19">
        <v>48241</v>
      </c>
      <c r="G19">
        <v>42</v>
      </c>
      <c r="H19">
        <v>917.91</v>
      </c>
      <c r="I19">
        <v>1.29</v>
      </c>
    </row>
    <row r="20" spans="1:9" x14ac:dyDescent="0.3">
      <c r="A20">
        <v>19</v>
      </c>
      <c r="B20" s="2">
        <v>45250</v>
      </c>
      <c r="C20" t="s">
        <v>342</v>
      </c>
      <c r="D20" t="s">
        <v>354</v>
      </c>
      <c r="E20">
        <v>1296</v>
      </c>
      <c r="F20">
        <v>36144</v>
      </c>
      <c r="G20">
        <v>53</v>
      </c>
      <c r="H20">
        <v>2628.59</v>
      </c>
      <c r="I20">
        <v>0.01</v>
      </c>
    </row>
    <row r="21" spans="1:9" x14ac:dyDescent="0.3">
      <c r="A21">
        <v>20</v>
      </c>
      <c r="B21" s="2">
        <v>45192</v>
      </c>
      <c r="C21" t="s">
        <v>37</v>
      </c>
      <c r="D21" t="s">
        <v>360</v>
      </c>
      <c r="E21">
        <v>1690</v>
      </c>
      <c r="F21">
        <v>13504</v>
      </c>
      <c r="G21">
        <v>123</v>
      </c>
      <c r="H21">
        <v>515.32000000000005</v>
      </c>
      <c r="I21">
        <v>10.93</v>
      </c>
    </row>
    <row r="22" spans="1:9" x14ac:dyDescent="0.3">
      <c r="A22">
        <v>21</v>
      </c>
      <c r="B22" s="2">
        <v>45107</v>
      </c>
      <c r="C22" t="s">
        <v>346</v>
      </c>
      <c r="D22" t="s">
        <v>357</v>
      </c>
      <c r="E22">
        <v>1749</v>
      </c>
      <c r="F22">
        <v>26227</v>
      </c>
      <c r="G22">
        <v>262</v>
      </c>
      <c r="H22">
        <v>6058.63</v>
      </c>
      <c r="I22">
        <v>1.1599999999999999</v>
      </c>
    </row>
    <row r="23" spans="1:9" x14ac:dyDescent="0.3">
      <c r="A23">
        <v>22</v>
      </c>
      <c r="B23" s="2">
        <v>45152</v>
      </c>
      <c r="C23" t="s">
        <v>37</v>
      </c>
      <c r="D23" t="s">
        <v>361</v>
      </c>
      <c r="E23">
        <v>400</v>
      </c>
      <c r="F23">
        <v>4983</v>
      </c>
      <c r="G23">
        <v>292</v>
      </c>
      <c r="H23">
        <v>6203.35</v>
      </c>
      <c r="I23">
        <v>1.35</v>
      </c>
    </row>
    <row r="24" spans="1:9" x14ac:dyDescent="0.3">
      <c r="A24">
        <v>23</v>
      </c>
      <c r="B24" s="2">
        <v>45109</v>
      </c>
      <c r="C24" t="s">
        <v>349</v>
      </c>
      <c r="D24" t="s">
        <v>362</v>
      </c>
      <c r="E24">
        <v>571</v>
      </c>
      <c r="F24">
        <v>46838</v>
      </c>
      <c r="G24">
        <v>277</v>
      </c>
      <c r="H24">
        <v>9288.0300000000007</v>
      </c>
      <c r="I24">
        <v>0.49</v>
      </c>
    </row>
    <row r="25" spans="1:9" x14ac:dyDescent="0.3">
      <c r="A25">
        <v>24</v>
      </c>
      <c r="B25" s="2">
        <v>45040</v>
      </c>
      <c r="C25" t="s">
        <v>37</v>
      </c>
      <c r="D25" t="s">
        <v>363</v>
      </c>
      <c r="E25">
        <v>1738</v>
      </c>
      <c r="F25">
        <v>5583</v>
      </c>
      <c r="G25">
        <v>128</v>
      </c>
      <c r="H25">
        <v>3947.66</v>
      </c>
      <c r="I25">
        <v>0.62</v>
      </c>
    </row>
    <row r="26" spans="1:9" x14ac:dyDescent="0.3">
      <c r="A26">
        <v>25</v>
      </c>
      <c r="B26" s="2">
        <v>45100</v>
      </c>
      <c r="C26" t="s">
        <v>346</v>
      </c>
      <c r="D26" t="s">
        <v>364</v>
      </c>
      <c r="E26">
        <v>463</v>
      </c>
      <c r="F26">
        <v>15291</v>
      </c>
      <c r="G26">
        <v>217</v>
      </c>
      <c r="H26">
        <v>6792.22</v>
      </c>
      <c r="I26">
        <v>0.6</v>
      </c>
    </row>
    <row r="27" spans="1:9" x14ac:dyDescent="0.3">
      <c r="A27">
        <v>26</v>
      </c>
      <c r="B27" s="2">
        <v>45045</v>
      </c>
      <c r="C27" t="s">
        <v>349</v>
      </c>
      <c r="D27" t="s">
        <v>365</v>
      </c>
      <c r="E27">
        <v>937</v>
      </c>
      <c r="F27">
        <v>13258</v>
      </c>
      <c r="G27">
        <v>126</v>
      </c>
      <c r="H27">
        <v>8177.87</v>
      </c>
      <c r="I27">
        <v>-0.23</v>
      </c>
    </row>
    <row r="28" spans="1:9" x14ac:dyDescent="0.3">
      <c r="A28">
        <v>27</v>
      </c>
      <c r="B28" s="2">
        <v>45075</v>
      </c>
      <c r="C28" t="s">
        <v>340</v>
      </c>
      <c r="D28" t="s">
        <v>366</v>
      </c>
      <c r="E28">
        <v>546</v>
      </c>
      <c r="F28">
        <v>38643</v>
      </c>
      <c r="G28">
        <v>237</v>
      </c>
      <c r="H28">
        <v>5485.76</v>
      </c>
      <c r="I28">
        <v>1.1599999999999999</v>
      </c>
    </row>
    <row r="29" spans="1:9" x14ac:dyDescent="0.3">
      <c r="A29">
        <v>28</v>
      </c>
      <c r="B29" s="2">
        <v>45162</v>
      </c>
      <c r="C29" t="s">
        <v>37</v>
      </c>
      <c r="D29" t="s">
        <v>367</v>
      </c>
      <c r="E29">
        <v>1071</v>
      </c>
      <c r="F29">
        <v>16997</v>
      </c>
      <c r="G29">
        <v>242</v>
      </c>
      <c r="H29">
        <v>7786.83</v>
      </c>
      <c r="I29">
        <v>0.55000000000000004</v>
      </c>
    </row>
    <row r="30" spans="1:9" x14ac:dyDescent="0.3">
      <c r="A30">
        <v>29</v>
      </c>
      <c r="B30" s="2">
        <v>45271</v>
      </c>
      <c r="C30" t="s">
        <v>37</v>
      </c>
      <c r="D30" t="s">
        <v>361</v>
      </c>
      <c r="E30">
        <v>252</v>
      </c>
      <c r="F30">
        <v>29927</v>
      </c>
      <c r="G30">
        <v>90</v>
      </c>
      <c r="H30">
        <v>7556.55</v>
      </c>
      <c r="I30">
        <v>-0.4</v>
      </c>
    </row>
    <row r="31" spans="1:9" x14ac:dyDescent="0.3">
      <c r="A31">
        <v>30</v>
      </c>
      <c r="B31" s="2">
        <v>44955</v>
      </c>
      <c r="C31" t="s">
        <v>342</v>
      </c>
      <c r="D31" t="s">
        <v>343</v>
      </c>
      <c r="E31">
        <v>909</v>
      </c>
      <c r="F31">
        <v>29444</v>
      </c>
      <c r="G31">
        <v>273</v>
      </c>
      <c r="H31">
        <v>1731.67</v>
      </c>
      <c r="I31">
        <v>6.88</v>
      </c>
    </row>
    <row r="32" spans="1:9" x14ac:dyDescent="0.3">
      <c r="A32">
        <v>31</v>
      </c>
      <c r="B32" s="2">
        <v>45014</v>
      </c>
      <c r="C32" t="s">
        <v>342</v>
      </c>
      <c r="D32" t="s">
        <v>368</v>
      </c>
      <c r="E32">
        <v>512</v>
      </c>
      <c r="F32">
        <v>25858</v>
      </c>
      <c r="G32">
        <v>54</v>
      </c>
      <c r="H32">
        <v>2213.7600000000002</v>
      </c>
      <c r="I32">
        <v>0.22</v>
      </c>
    </row>
    <row r="33" spans="1:9" x14ac:dyDescent="0.3">
      <c r="A33">
        <v>32</v>
      </c>
      <c r="B33" s="2">
        <v>45279</v>
      </c>
      <c r="C33" t="s">
        <v>37</v>
      </c>
      <c r="D33" t="s">
        <v>369</v>
      </c>
      <c r="E33">
        <v>510</v>
      </c>
      <c r="F33">
        <v>44285</v>
      </c>
      <c r="G33">
        <v>175</v>
      </c>
      <c r="H33">
        <v>7606.03</v>
      </c>
      <c r="I33">
        <v>0.15</v>
      </c>
    </row>
    <row r="34" spans="1:9" x14ac:dyDescent="0.3">
      <c r="A34">
        <v>33</v>
      </c>
      <c r="B34" s="2">
        <v>44956</v>
      </c>
      <c r="C34" t="s">
        <v>349</v>
      </c>
      <c r="D34" t="s">
        <v>370</v>
      </c>
      <c r="E34">
        <v>752</v>
      </c>
      <c r="F34">
        <v>19037</v>
      </c>
      <c r="G34">
        <v>23</v>
      </c>
      <c r="H34">
        <v>1600.54</v>
      </c>
      <c r="I34">
        <v>-0.28000000000000003</v>
      </c>
    </row>
    <row r="35" spans="1:9" x14ac:dyDescent="0.3">
      <c r="A35">
        <v>34</v>
      </c>
      <c r="B35" s="2">
        <v>45062</v>
      </c>
      <c r="C35" t="s">
        <v>349</v>
      </c>
      <c r="D35" t="s">
        <v>371</v>
      </c>
      <c r="E35">
        <v>157</v>
      </c>
      <c r="F35">
        <v>10496</v>
      </c>
      <c r="G35">
        <v>132</v>
      </c>
      <c r="H35">
        <v>4394.63</v>
      </c>
      <c r="I35">
        <v>0.5</v>
      </c>
    </row>
    <row r="36" spans="1:9" x14ac:dyDescent="0.3">
      <c r="A36">
        <v>35</v>
      </c>
      <c r="B36" s="2">
        <v>45187</v>
      </c>
      <c r="C36" t="s">
        <v>342</v>
      </c>
      <c r="D36" t="s">
        <v>372</v>
      </c>
      <c r="E36">
        <v>1259</v>
      </c>
      <c r="F36">
        <v>37495</v>
      </c>
      <c r="G36">
        <v>76</v>
      </c>
      <c r="H36">
        <v>2542.12</v>
      </c>
      <c r="I36">
        <v>0.49</v>
      </c>
    </row>
    <row r="37" spans="1:9" x14ac:dyDescent="0.3">
      <c r="A37">
        <v>36</v>
      </c>
      <c r="B37" s="2">
        <v>45246</v>
      </c>
      <c r="C37" t="s">
        <v>342</v>
      </c>
      <c r="D37" t="s">
        <v>373</v>
      </c>
      <c r="E37">
        <v>498</v>
      </c>
      <c r="F37">
        <v>39787</v>
      </c>
      <c r="G37">
        <v>108</v>
      </c>
      <c r="H37">
        <v>2020.14</v>
      </c>
      <c r="I37">
        <v>1.67</v>
      </c>
    </row>
    <row r="38" spans="1:9" x14ac:dyDescent="0.3">
      <c r="A38">
        <v>37</v>
      </c>
      <c r="B38" s="2">
        <v>45228</v>
      </c>
      <c r="C38" t="s">
        <v>346</v>
      </c>
      <c r="D38" t="s">
        <v>374</v>
      </c>
      <c r="E38">
        <v>1939</v>
      </c>
      <c r="F38">
        <v>45522</v>
      </c>
      <c r="G38">
        <v>14</v>
      </c>
      <c r="H38">
        <v>7449.25</v>
      </c>
      <c r="I38">
        <v>-0.91</v>
      </c>
    </row>
    <row r="39" spans="1:9" x14ac:dyDescent="0.3">
      <c r="A39">
        <v>38</v>
      </c>
      <c r="B39" s="2">
        <v>44939</v>
      </c>
      <c r="C39" t="s">
        <v>340</v>
      </c>
      <c r="D39" t="s">
        <v>366</v>
      </c>
      <c r="E39">
        <v>1804</v>
      </c>
      <c r="F39">
        <v>26498</v>
      </c>
      <c r="G39">
        <v>70</v>
      </c>
      <c r="H39">
        <v>3618.31</v>
      </c>
      <c r="I39">
        <v>-0.03</v>
      </c>
    </row>
    <row r="40" spans="1:9" x14ac:dyDescent="0.3">
      <c r="A40">
        <v>39</v>
      </c>
      <c r="B40" s="2">
        <v>45240</v>
      </c>
      <c r="C40" t="s">
        <v>349</v>
      </c>
      <c r="D40" t="s">
        <v>375</v>
      </c>
      <c r="E40">
        <v>549</v>
      </c>
      <c r="F40">
        <v>20363</v>
      </c>
      <c r="G40">
        <v>90</v>
      </c>
      <c r="H40">
        <v>8495.67</v>
      </c>
      <c r="I40">
        <v>-0.47</v>
      </c>
    </row>
    <row r="41" spans="1:9" x14ac:dyDescent="0.3">
      <c r="A41">
        <v>40</v>
      </c>
      <c r="B41" s="2">
        <v>45169</v>
      </c>
      <c r="C41" t="s">
        <v>340</v>
      </c>
      <c r="D41" t="s">
        <v>376</v>
      </c>
      <c r="E41">
        <v>258</v>
      </c>
      <c r="F41">
        <v>14944</v>
      </c>
      <c r="G41">
        <v>24</v>
      </c>
      <c r="H41">
        <v>3336.62</v>
      </c>
      <c r="I41">
        <v>-0.64</v>
      </c>
    </row>
    <row r="42" spans="1:9" x14ac:dyDescent="0.3">
      <c r="A42">
        <v>41</v>
      </c>
      <c r="B42" s="2">
        <v>45058</v>
      </c>
      <c r="C42" t="s">
        <v>349</v>
      </c>
      <c r="D42" t="s">
        <v>377</v>
      </c>
      <c r="E42">
        <v>1064</v>
      </c>
      <c r="F42">
        <v>13087</v>
      </c>
      <c r="G42">
        <v>215</v>
      </c>
      <c r="H42">
        <v>9963.7099999999991</v>
      </c>
      <c r="I42">
        <v>0.08</v>
      </c>
    </row>
    <row r="43" spans="1:9" x14ac:dyDescent="0.3">
      <c r="A43">
        <v>42</v>
      </c>
      <c r="B43" s="2">
        <v>45153</v>
      </c>
      <c r="C43" t="s">
        <v>340</v>
      </c>
      <c r="D43" t="s">
        <v>378</v>
      </c>
      <c r="E43">
        <v>1454</v>
      </c>
      <c r="F43">
        <v>39019</v>
      </c>
      <c r="G43">
        <v>24</v>
      </c>
      <c r="H43">
        <v>7825.96</v>
      </c>
      <c r="I43">
        <v>-0.85</v>
      </c>
    </row>
    <row r="44" spans="1:9" x14ac:dyDescent="0.3">
      <c r="A44">
        <v>43</v>
      </c>
      <c r="B44" s="2">
        <v>45186</v>
      </c>
      <c r="C44" t="s">
        <v>340</v>
      </c>
      <c r="D44" t="s">
        <v>379</v>
      </c>
      <c r="E44">
        <v>1878</v>
      </c>
      <c r="F44">
        <v>8909</v>
      </c>
      <c r="G44">
        <v>206</v>
      </c>
      <c r="H44">
        <v>6233.93</v>
      </c>
      <c r="I44">
        <v>0.65</v>
      </c>
    </row>
    <row r="45" spans="1:9" x14ac:dyDescent="0.3">
      <c r="A45">
        <v>44</v>
      </c>
      <c r="B45" s="2">
        <v>44940</v>
      </c>
      <c r="C45" t="s">
        <v>340</v>
      </c>
      <c r="D45" t="s">
        <v>380</v>
      </c>
      <c r="E45">
        <v>1093</v>
      </c>
      <c r="F45">
        <v>28766</v>
      </c>
      <c r="G45">
        <v>75</v>
      </c>
      <c r="H45">
        <v>4861.63</v>
      </c>
      <c r="I45">
        <v>-0.23</v>
      </c>
    </row>
    <row r="46" spans="1:9" x14ac:dyDescent="0.3">
      <c r="A46">
        <v>45</v>
      </c>
      <c r="B46" s="2">
        <v>45180</v>
      </c>
      <c r="C46" t="s">
        <v>37</v>
      </c>
      <c r="D46" t="s">
        <v>381</v>
      </c>
      <c r="E46">
        <v>1801</v>
      </c>
      <c r="F46">
        <v>49868</v>
      </c>
      <c r="G46">
        <v>190</v>
      </c>
      <c r="H46">
        <v>5658.7</v>
      </c>
      <c r="I46">
        <v>0.68</v>
      </c>
    </row>
    <row r="47" spans="1:9" x14ac:dyDescent="0.3">
      <c r="A47">
        <v>46</v>
      </c>
      <c r="B47" s="2">
        <v>45114</v>
      </c>
      <c r="C47" t="s">
        <v>349</v>
      </c>
      <c r="D47" t="s">
        <v>382</v>
      </c>
      <c r="E47">
        <v>211</v>
      </c>
      <c r="F47">
        <v>17029</v>
      </c>
      <c r="G47">
        <v>86</v>
      </c>
      <c r="H47">
        <v>6061.24</v>
      </c>
      <c r="I47">
        <v>-0.28999999999999998</v>
      </c>
    </row>
    <row r="48" spans="1:9" x14ac:dyDescent="0.3">
      <c r="A48">
        <v>47</v>
      </c>
      <c r="B48" s="2">
        <v>45035</v>
      </c>
      <c r="C48" t="s">
        <v>37</v>
      </c>
      <c r="D48" t="s">
        <v>383</v>
      </c>
      <c r="E48">
        <v>1890</v>
      </c>
      <c r="F48">
        <v>4390</v>
      </c>
      <c r="G48">
        <v>215</v>
      </c>
      <c r="H48">
        <v>679.65</v>
      </c>
      <c r="I48">
        <v>14.82</v>
      </c>
    </row>
    <row r="49" spans="1:9" x14ac:dyDescent="0.3">
      <c r="A49">
        <v>48</v>
      </c>
      <c r="B49" s="2">
        <v>45118</v>
      </c>
      <c r="C49" t="s">
        <v>37</v>
      </c>
      <c r="D49" t="s">
        <v>384</v>
      </c>
      <c r="E49">
        <v>591</v>
      </c>
      <c r="F49">
        <v>22817</v>
      </c>
      <c r="G49">
        <v>121</v>
      </c>
      <c r="H49">
        <v>7907.29</v>
      </c>
      <c r="I49">
        <v>-0.23</v>
      </c>
    </row>
    <row r="50" spans="1:9" x14ac:dyDescent="0.3">
      <c r="A50">
        <v>49</v>
      </c>
      <c r="B50" s="2">
        <v>45039</v>
      </c>
      <c r="C50" t="s">
        <v>346</v>
      </c>
      <c r="D50" t="s">
        <v>385</v>
      </c>
      <c r="E50">
        <v>481</v>
      </c>
      <c r="F50">
        <v>17044</v>
      </c>
      <c r="G50">
        <v>232</v>
      </c>
      <c r="H50">
        <v>1311.53</v>
      </c>
      <c r="I50">
        <v>7.84</v>
      </c>
    </row>
    <row r="51" spans="1:9" x14ac:dyDescent="0.3">
      <c r="A51">
        <v>50</v>
      </c>
      <c r="B51" s="2">
        <v>45177</v>
      </c>
      <c r="C51" t="s">
        <v>346</v>
      </c>
      <c r="D51" t="s">
        <v>386</v>
      </c>
      <c r="E51">
        <v>1219</v>
      </c>
      <c r="F51">
        <v>34598</v>
      </c>
      <c r="G51">
        <v>120</v>
      </c>
      <c r="H51">
        <v>719.17</v>
      </c>
      <c r="I51">
        <v>7.34</v>
      </c>
    </row>
    <row r="52" spans="1:9" x14ac:dyDescent="0.3">
      <c r="A52">
        <v>51</v>
      </c>
      <c r="B52" s="2">
        <v>45124</v>
      </c>
      <c r="C52" t="s">
        <v>346</v>
      </c>
      <c r="D52" t="s">
        <v>387</v>
      </c>
      <c r="E52">
        <v>1020</v>
      </c>
      <c r="F52">
        <v>17184</v>
      </c>
      <c r="G52">
        <v>122</v>
      </c>
      <c r="H52">
        <v>6461.4</v>
      </c>
      <c r="I52">
        <v>-0.06</v>
      </c>
    </row>
    <row r="53" spans="1:9" x14ac:dyDescent="0.3">
      <c r="A53">
        <v>52</v>
      </c>
      <c r="B53" s="2">
        <v>45124</v>
      </c>
      <c r="C53" t="s">
        <v>342</v>
      </c>
      <c r="D53" t="s">
        <v>388</v>
      </c>
      <c r="E53">
        <v>709</v>
      </c>
      <c r="F53">
        <v>31447</v>
      </c>
      <c r="G53">
        <v>51</v>
      </c>
      <c r="H53">
        <v>1271.53</v>
      </c>
      <c r="I53">
        <v>1.01</v>
      </c>
    </row>
    <row r="54" spans="1:9" x14ac:dyDescent="0.3">
      <c r="A54">
        <v>53</v>
      </c>
      <c r="B54" s="2">
        <v>45251</v>
      </c>
      <c r="C54" t="s">
        <v>342</v>
      </c>
      <c r="D54" t="s">
        <v>389</v>
      </c>
      <c r="E54">
        <v>127</v>
      </c>
      <c r="F54">
        <v>49998</v>
      </c>
      <c r="G54">
        <v>141</v>
      </c>
      <c r="H54">
        <v>9508.1</v>
      </c>
      <c r="I54">
        <v>-0.26</v>
      </c>
    </row>
    <row r="55" spans="1:9" x14ac:dyDescent="0.3">
      <c r="A55">
        <v>54</v>
      </c>
      <c r="B55" s="2">
        <v>45180</v>
      </c>
      <c r="C55" t="s">
        <v>349</v>
      </c>
      <c r="D55" t="s">
        <v>390</v>
      </c>
      <c r="E55">
        <v>99</v>
      </c>
      <c r="F55">
        <v>47850</v>
      </c>
      <c r="G55">
        <v>111</v>
      </c>
      <c r="H55">
        <v>339.5</v>
      </c>
      <c r="I55">
        <v>15.35</v>
      </c>
    </row>
    <row r="56" spans="1:9" x14ac:dyDescent="0.3">
      <c r="A56">
        <v>55</v>
      </c>
      <c r="B56" s="2">
        <v>44961</v>
      </c>
      <c r="C56" t="s">
        <v>342</v>
      </c>
      <c r="D56" t="s">
        <v>391</v>
      </c>
      <c r="E56">
        <v>759</v>
      </c>
      <c r="F56">
        <v>25570</v>
      </c>
      <c r="G56">
        <v>55</v>
      </c>
      <c r="H56">
        <v>9412.7199999999993</v>
      </c>
      <c r="I56">
        <v>-0.71</v>
      </c>
    </row>
    <row r="57" spans="1:9" x14ac:dyDescent="0.3">
      <c r="A57">
        <v>56</v>
      </c>
      <c r="B57" s="2">
        <v>44975</v>
      </c>
      <c r="C57" t="s">
        <v>346</v>
      </c>
      <c r="D57" t="s">
        <v>392</v>
      </c>
      <c r="E57">
        <v>971</v>
      </c>
      <c r="F57">
        <v>17370</v>
      </c>
      <c r="G57">
        <v>73</v>
      </c>
      <c r="H57">
        <v>8435.14</v>
      </c>
      <c r="I57">
        <v>-0.56999999999999995</v>
      </c>
    </row>
    <row r="58" spans="1:9" x14ac:dyDescent="0.3">
      <c r="A58">
        <v>57</v>
      </c>
      <c r="B58" s="2">
        <v>45016</v>
      </c>
      <c r="C58" t="s">
        <v>349</v>
      </c>
      <c r="D58" t="s">
        <v>350</v>
      </c>
      <c r="E58">
        <v>1147</v>
      </c>
      <c r="F58">
        <v>26279</v>
      </c>
      <c r="G58">
        <v>265</v>
      </c>
      <c r="H58">
        <v>7089.59</v>
      </c>
      <c r="I58">
        <v>0.87</v>
      </c>
    </row>
    <row r="59" spans="1:9" x14ac:dyDescent="0.3">
      <c r="A59">
        <v>58</v>
      </c>
      <c r="B59" s="2">
        <v>45055</v>
      </c>
      <c r="C59" t="s">
        <v>349</v>
      </c>
      <c r="D59" t="s">
        <v>393</v>
      </c>
      <c r="E59">
        <v>687</v>
      </c>
      <c r="F59">
        <v>16078</v>
      </c>
      <c r="G59">
        <v>299</v>
      </c>
      <c r="H59">
        <v>5014.97</v>
      </c>
      <c r="I59">
        <v>1.98</v>
      </c>
    </row>
    <row r="60" spans="1:9" x14ac:dyDescent="0.3">
      <c r="A60">
        <v>59</v>
      </c>
      <c r="B60" s="2">
        <v>45290</v>
      </c>
      <c r="C60" t="s">
        <v>346</v>
      </c>
      <c r="D60" t="s">
        <v>394</v>
      </c>
      <c r="E60">
        <v>1386</v>
      </c>
      <c r="F60">
        <v>44619</v>
      </c>
      <c r="G60">
        <v>186</v>
      </c>
      <c r="H60">
        <v>2329.71</v>
      </c>
      <c r="I60">
        <v>2.99</v>
      </c>
    </row>
    <row r="61" spans="1:9" x14ac:dyDescent="0.3">
      <c r="A61">
        <v>60</v>
      </c>
      <c r="B61" s="2">
        <v>45290</v>
      </c>
      <c r="C61" t="s">
        <v>349</v>
      </c>
      <c r="D61" t="s">
        <v>377</v>
      </c>
      <c r="E61">
        <v>1669</v>
      </c>
      <c r="F61">
        <v>14975</v>
      </c>
      <c r="G61">
        <v>40</v>
      </c>
      <c r="H61">
        <v>232.69</v>
      </c>
      <c r="I61">
        <v>7.6</v>
      </c>
    </row>
    <row r="62" spans="1:9" x14ac:dyDescent="0.3">
      <c r="A62">
        <v>61</v>
      </c>
      <c r="B62" s="2">
        <v>45146</v>
      </c>
      <c r="C62" t="s">
        <v>346</v>
      </c>
      <c r="D62" t="s">
        <v>374</v>
      </c>
      <c r="E62">
        <v>463</v>
      </c>
      <c r="F62">
        <v>10557</v>
      </c>
      <c r="G62">
        <v>224</v>
      </c>
      <c r="H62">
        <v>2829.63</v>
      </c>
      <c r="I62">
        <v>2.96</v>
      </c>
    </row>
    <row r="63" spans="1:9" x14ac:dyDescent="0.3">
      <c r="A63">
        <v>62</v>
      </c>
      <c r="B63" s="2">
        <v>45143</v>
      </c>
      <c r="C63" t="s">
        <v>349</v>
      </c>
      <c r="D63" t="s">
        <v>395</v>
      </c>
      <c r="E63">
        <v>681</v>
      </c>
      <c r="F63">
        <v>33591</v>
      </c>
      <c r="G63">
        <v>186</v>
      </c>
      <c r="H63">
        <v>4345.9799999999996</v>
      </c>
      <c r="I63">
        <v>1.1399999999999999</v>
      </c>
    </row>
    <row r="64" spans="1:9" x14ac:dyDescent="0.3">
      <c r="A64">
        <v>63</v>
      </c>
      <c r="B64" s="2">
        <v>45010</v>
      </c>
      <c r="C64" t="s">
        <v>340</v>
      </c>
      <c r="D64" t="s">
        <v>396</v>
      </c>
      <c r="E64">
        <v>631</v>
      </c>
      <c r="F64">
        <v>42800</v>
      </c>
      <c r="G64">
        <v>232</v>
      </c>
      <c r="H64">
        <v>432.77</v>
      </c>
      <c r="I64">
        <v>25.8</v>
      </c>
    </row>
    <row r="65" spans="1:9" x14ac:dyDescent="0.3">
      <c r="A65">
        <v>64</v>
      </c>
      <c r="B65" s="2">
        <v>44933</v>
      </c>
      <c r="C65" t="s">
        <v>349</v>
      </c>
      <c r="D65" t="s">
        <v>397</v>
      </c>
      <c r="E65">
        <v>299</v>
      </c>
      <c r="F65">
        <v>39328</v>
      </c>
      <c r="G65">
        <v>25</v>
      </c>
      <c r="H65">
        <v>5370.96</v>
      </c>
      <c r="I65">
        <v>-0.77</v>
      </c>
    </row>
    <row r="66" spans="1:9" x14ac:dyDescent="0.3">
      <c r="A66">
        <v>65</v>
      </c>
      <c r="B66" s="2">
        <v>45074</v>
      </c>
      <c r="C66" t="s">
        <v>349</v>
      </c>
      <c r="D66" t="s">
        <v>398</v>
      </c>
      <c r="E66">
        <v>688</v>
      </c>
      <c r="F66">
        <v>15289</v>
      </c>
      <c r="G66">
        <v>164</v>
      </c>
      <c r="H66">
        <v>6671.52</v>
      </c>
      <c r="I66">
        <v>0.23</v>
      </c>
    </row>
    <row r="67" spans="1:9" x14ac:dyDescent="0.3">
      <c r="A67">
        <v>66</v>
      </c>
      <c r="B67" s="2">
        <v>45080</v>
      </c>
      <c r="C67" t="s">
        <v>340</v>
      </c>
      <c r="D67" t="s">
        <v>399</v>
      </c>
      <c r="E67">
        <v>1728</v>
      </c>
      <c r="F67">
        <v>42903</v>
      </c>
      <c r="G67">
        <v>203</v>
      </c>
      <c r="H67">
        <v>3995.13</v>
      </c>
      <c r="I67">
        <v>1.54</v>
      </c>
    </row>
    <row r="68" spans="1:9" x14ac:dyDescent="0.3">
      <c r="A68">
        <v>67</v>
      </c>
      <c r="B68" s="2">
        <v>45240</v>
      </c>
      <c r="C68" t="s">
        <v>340</v>
      </c>
      <c r="D68" t="s">
        <v>400</v>
      </c>
      <c r="E68">
        <v>1961</v>
      </c>
      <c r="F68">
        <v>46951</v>
      </c>
      <c r="G68">
        <v>146</v>
      </c>
      <c r="H68">
        <v>7335.13</v>
      </c>
      <c r="I68">
        <v>0</v>
      </c>
    </row>
    <row r="69" spans="1:9" x14ac:dyDescent="0.3">
      <c r="A69">
        <v>68</v>
      </c>
      <c r="B69" s="2">
        <v>45231</v>
      </c>
      <c r="C69" t="s">
        <v>349</v>
      </c>
      <c r="D69" t="s">
        <v>350</v>
      </c>
      <c r="E69">
        <v>1155</v>
      </c>
      <c r="F69">
        <v>29228</v>
      </c>
      <c r="G69">
        <v>135</v>
      </c>
      <c r="H69">
        <v>7279.04</v>
      </c>
      <c r="I69">
        <v>-7.0000000000000007E-2</v>
      </c>
    </row>
    <row r="70" spans="1:9" x14ac:dyDescent="0.3">
      <c r="A70">
        <v>69</v>
      </c>
      <c r="B70" s="2">
        <v>45122</v>
      </c>
      <c r="C70" t="s">
        <v>349</v>
      </c>
      <c r="D70" t="s">
        <v>401</v>
      </c>
      <c r="E70">
        <v>420</v>
      </c>
      <c r="F70">
        <v>23360</v>
      </c>
      <c r="G70">
        <v>165</v>
      </c>
      <c r="H70">
        <v>1597.34</v>
      </c>
      <c r="I70">
        <v>4.16</v>
      </c>
    </row>
    <row r="71" spans="1:9" x14ac:dyDescent="0.3">
      <c r="A71">
        <v>70</v>
      </c>
      <c r="B71" s="2">
        <v>44987</v>
      </c>
      <c r="C71" t="s">
        <v>37</v>
      </c>
      <c r="D71" t="s">
        <v>402</v>
      </c>
      <c r="E71">
        <v>1066</v>
      </c>
      <c r="F71">
        <v>34365</v>
      </c>
      <c r="G71">
        <v>293</v>
      </c>
      <c r="H71">
        <v>5281.57</v>
      </c>
      <c r="I71">
        <v>1.77</v>
      </c>
    </row>
    <row r="72" spans="1:9" x14ac:dyDescent="0.3">
      <c r="A72">
        <v>71</v>
      </c>
      <c r="B72" s="2">
        <v>45012</v>
      </c>
      <c r="C72" t="s">
        <v>349</v>
      </c>
      <c r="D72" t="s">
        <v>403</v>
      </c>
      <c r="E72">
        <v>77</v>
      </c>
      <c r="F72">
        <v>24481</v>
      </c>
      <c r="G72">
        <v>47</v>
      </c>
      <c r="H72">
        <v>769.92</v>
      </c>
      <c r="I72">
        <v>2.0499999999999998</v>
      </c>
    </row>
    <row r="73" spans="1:9" x14ac:dyDescent="0.3">
      <c r="A73">
        <v>72</v>
      </c>
      <c r="B73" s="2">
        <v>45256</v>
      </c>
      <c r="C73" t="s">
        <v>340</v>
      </c>
      <c r="D73" t="s">
        <v>404</v>
      </c>
      <c r="E73">
        <v>578</v>
      </c>
      <c r="F73">
        <v>2633</v>
      </c>
      <c r="G73">
        <v>202</v>
      </c>
      <c r="H73">
        <v>8484.5</v>
      </c>
      <c r="I73">
        <v>0.19</v>
      </c>
    </row>
    <row r="74" spans="1:9" x14ac:dyDescent="0.3">
      <c r="A74">
        <v>73</v>
      </c>
      <c r="B74" s="2">
        <v>44992</v>
      </c>
      <c r="C74" t="s">
        <v>349</v>
      </c>
      <c r="D74" t="s">
        <v>350</v>
      </c>
      <c r="E74">
        <v>1590</v>
      </c>
      <c r="F74">
        <v>18921</v>
      </c>
      <c r="G74">
        <v>26</v>
      </c>
      <c r="H74">
        <v>8514.76</v>
      </c>
      <c r="I74">
        <v>-0.85</v>
      </c>
    </row>
    <row r="75" spans="1:9" x14ac:dyDescent="0.3">
      <c r="A75">
        <v>74</v>
      </c>
      <c r="B75" s="2">
        <v>45002</v>
      </c>
      <c r="C75" t="s">
        <v>346</v>
      </c>
      <c r="D75" t="s">
        <v>405</v>
      </c>
      <c r="E75">
        <v>147</v>
      </c>
      <c r="F75">
        <v>12407</v>
      </c>
      <c r="G75">
        <v>129</v>
      </c>
      <c r="H75">
        <v>7517.91</v>
      </c>
      <c r="I75">
        <v>-0.14000000000000001</v>
      </c>
    </row>
    <row r="76" spans="1:9" x14ac:dyDescent="0.3">
      <c r="A76">
        <v>75</v>
      </c>
      <c r="B76" s="2">
        <v>45118</v>
      </c>
      <c r="C76" t="s">
        <v>37</v>
      </c>
      <c r="D76" t="s">
        <v>406</v>
      </c>
      <c r="E76">
        <v>1367</v>
      </c>
      <c r="F76">
        <v>31651</v>
      </c>
      <c r="G76">
        <v>63</v>
      </c>
      <c r="H76">
        <v>4646.47</v>
      </c>
      <c r="I76">
        <v>-0.32</v>
      </c>
    </row>
    <row r="77" spans="1:9" x14ac:dyDescent="0.3">
      <c r="A77">
        <v>76</v>
      </c>
      <c r="B77" s="2">
        <v>44994</v>
      </c>
      <c r="C77" t="s">
        <v>340</v>
      </c>
      <c r="D77" t="s">
        <v>404</v>
      </c>
      <c r="E77">
        <v>1009</v>
      </c>
      <c r="F77">
        <v>44039</v>
      </c>
      <c r="G77">
        <v>281</v>
      </c>
      <c r="H77">
        <v>1730.59</v>
      </c>
      <c r="I77">
        <v>7.12</v>
      </c>
    </row>
    <row r="78" spans="1:9" x14ac:dyDescent="0.3">
      <c r="A78">
        <v>77</v>
      </c>
      <c r="B78" s="2">
        <v>45139</v>
      </c>
      <c r="C78" t="s">
        <v>340</v>
      </c>
      <c r="D78" t="s">
        <v>407</v>
      </c>
      <c r="E78">
        <v>933</v>
      </c>
      <c r="F78">
        <v>31933</v>
      </c>
      <c r="G78">
        <v>147</v>
      </c>
      <c r="H78">
        <v>2128.3200000000002</v>
      </c>
      <c r="I78">
        <v>2.4500000000000002</v>
      </c>
    </row>
    <row r="79" spans="1:9" x14ac:dyDescent="0.3">
      <c r="A79">
        <v>78</v>
      </c>
      <c r="B79" s="2">
        <v>45094</v>
      </c>
      <c r="C79" t="s">
        <v>340</v>
      </c>
      <c r="D79" t="s">
        <v>408</v>
      </c>
      <c r="E79">
        <v>1799</v>
      </c>
      <c r="F79">
        <v>15939</v>
      </c>
      <c r="G79">
        <v>274</v>
      </c>
      <c r="H79">
        <v>2464.08</v>
      </c>
      <c r="I79">
        <v>4.5599999999999996</v>
      </c>
    </row>
    <row r="80" spans="1:9" x14ac:dyDescent="0.3">
      <c r="A80">
        <v>79</v>
      </c>
      <c r="B80" s="2">
        <v>45180</v>
      </c>
      <c r="C80" t="s">
        <v>37</v>
      </c>
      <c r="D80" t="s">
        <v>409</v>
      </c>
      <c r="E80">
        <v>1099</v>
      </c>
      <c r="F80">
        <v>30118</v>
      </c>
      <c r="G80">
        <v>70</v>
      </c>
      <c r="H80">
        <v>745.53</v>
      </c>
      <c r="I80">
        <v>3.69</v>
      </c>
    </row>
    <row r="81" spans="1:9" x14ac:dyDescent="0.3">
      <c r="A81">
        <v>80</v>
      </c>
      <c r="B81" s="2">
        <v>45188</v>
      </c>
      <c r="C81" t="s">
        <v>342</v>
      </c>
      <c r="D81" t="s">
        <v>373</v>
      </c>
      <c r="E81">
        <v>1117</v>
      </c>
      <c r="F81">
        <v>24648</v>
      </c>
      <c r="G81">
        <v>46</v>
      </c>
      <c r="H81">
        <v>5028.34</v>
      </c>
      <c r="I81">
        <v>-0.54</v>
      </c>
    </row>
    <row r="82" spans="1:9" x14ac:dyDescent="0.3">
      <c r="A82">
        <v>81</v>
      </c>
      <c r="B82" s="2">
        <v>45123</v>
      </c>
      <c r="C82" t="s">
        <v>340</v>
      </c>
      <c r="D82" t="s">
        <v>366</v>
      </c>
      <c r="E82">
        <v>1509</v>
      </c>
      <c r="F82">
        <v>27390</v>
      </c>
      <c r="G82">
        <v>93</v>
      </c>
      <c r="H82">
        <v>4034.08</v>
      </c>
      <c r="I82">
        <v>0.15</v>
      </c>
    </row>
    <row r="83" spans="1:9" x14ac:dyDescent="0.3">
      <c r="A83">
        <v>82</v>
      </c>
      <c r="B83" s="2">
        <v>45223</v>
      </c>
      <c r="C83" t="s">
        <v>37</v>
      </c>
      <c r="D83" t="s">
        <v>410</v>
      </c>
      <c r="E83">
        <v>553</v>
      </c>
      <c r="F83">
        <v>7411</v>
      </c>
      <c r="G83">
        <v>78</v>
      </c>
      <c r="H83">
        <v>1030.96</v>
      </c>
      <c r="I83">
        <v>2.78</v>
      </c>
    </row>
    <row r="84" spans="1:9" x14ac:dyDescent="0.3">
      <c r="A84">
        <v>83</v>
      </c>
      <c r="B84" s="2">
        <v>45164</v>
      </c>
      <c r="C84" t="s">
        <v>346</v>
      </c>
      <c r="D84" t="s">
        <v>411</v>
      </c>
      <c r="E84">
        <v>534</v>
      </c>
      <c r="F84">
        <v>8239</v>
      </c>
      <c r="G84">
        <v>59</v>
      </c>
      <c r="H84">
        <v>6462.48</v>
      </c>
      <c r="I84">
        <v>-0.54</v>
      </c>
    </row>
    <row r="85" spans="1:9" x14ac:dyDescent="0.3">
      <c r="A85">
        <v>84</v>
      </c>
      <c r="B85" s="2">
        <v>45262</v>
      </c>
      <c r="C85" t="s">
        <v>342</v>
      </c>
      <c r="D85" t="s">
        <v>412</v>
      </c>
      <c r="E85">
        <v>1283</v>
      </c>
      <c r="F85">
        <v>48657</v>
      </c>
      <c r="G85">
        <v>272</v>
      </c>
      <c r="H85">
        <v>1743.74</v>
      </c>
      <c r="I85">
        <v>6.8</v>
      </c>
    </row>
    <row r="86" spans="1:9" x14ac:dyDescent="0.3">
      <c r="A86">
        <v>85</v>
      </c>
      <c r="B86" s="2">
        <v>44966</v>
      </c>
      <c r="C86" t="s">
        <v>340</v>
      </c>
      <c r="D86" t="s">
        <v>413</v>
      </c>
      <c r="E86">
        <v>926</v>
      </c>
      <c r="F86">
        <v>1258</v>
      </c>
      <c r="G86">
        <v>287</v>
      </c>
      <c r="H86">
        <v>2841.35</v>
      </c>
      <c r="I86">
        <v>4.05</v>
      </c>
    </row>
    <row r="87" spans="1:9" x14ac:dyDescent="0.3">
      <c r="A87">
        <v>86</v>
      </c>
      <c r="B87" s="2">
        <v>45102</v>
      </c>
      <c r="C87" t="s">
        <v>340</v>
      </c>
      <c r="D87" t="s">
        <v>414</v>
      </c>
      <c r="E87">
        <v>978</v>
      </c>
      <c r="F87">
        <v>20584</v>
      </c>
      <c r="G87">
        <v>12</v>
      </c>
      <c r="H87">
        <v>8950.5</v>
      </c>
      <c r="I87">
        <v>-0.93</v>
      </c>
    </row>
    <row r="88" spans="1:9" x14ac:dyDescent="0.3">
      <c r="A88">
        <v>87</v>
      </c>
      <c r="B88" s="2">
        <v>45063</v>
      </c>
      <c r="C88" t="s">
        <v>342</v>
      </c>
      <c r="D88" t="s">
        <v>415</v>
      </c>
      <c r="E88">
        <v>662</v>
      </c>
      <c r="F88">
        <v>3307</v>
      </c>
      <c r="G88">
        <v>250</v>
      </c>
      <c r="H88">
        <v>8583.0499999999993</v>
      </c>
      <c r="I88">
        <v>0.46</v>
      </c>
    </row>
    <row r="89" spans="1:9" x14ac:dyDescent="0.3">
      <c r="A89">
        <v>88</v>
      </c>
      <c r="B89" s="2">
        <v>45035</v>
      </c>
      <c r="C89" t="s">
        <v>342</v>
      </c>
      <c r="D89" t="s">
        <v>416</v>
      </c>
      <c r="E89">
        <v>1980</v>
      </c>
      <c r="F89">
        <v>16149</v>
      </c>
      <c r="G89">
        <v>20</v>
      </c>
      <c r="H89">
        <v>9885.32</v>
      </c>
      <c r="I89">
        <v>-0.9</v>
      </c>
    </row>
    <row r="90" spans="1:9" x14ac:dyDescent="0.3">
      <c r="A90">
        <v>89</v>
      </c>
      <c r="B90" s="2">
        <v>44985</v>
      </c>
      <c r="C90" t="s">
        <v>37</v>
      </c>
      <c r="D90" t="s">
        <v>417</v>
      </c>
      <c r="E90">
        <v>719</v>
      </c>
      <c r="F90">
        <v>2283</v>
      </c>
      <c r="G90">
        <v>106</v>
      </c>
      <c r="H90">
        <v>9799.85</v>
      </c>
      <c r="I90">
        <v>-0.46</v>
      </c>
    </row>
    <row r="91" spans="1:9" x14ac:dyDescent="0.3">
      <c r="A91">
        <v>90</v>
      </c>
      <c r="B91" s="2">
        <v>45207</v>
      </c>
      <c r="C91" t="s">
        <v>346</v>
      </c>
      <c r="D91" t="s">
        <v>418</v>
      </c>
      <c r="E91">
        <v>1910</v>
      </c>
      <c r="F91">
        <v>10752</v>
      </c>
      <c r="G91">
        <v>135</v>
      </c>
      <c r="H91">
        <v>5321.26</v>
      </c>
      <c r="I91">
        <v>0.27</v>
      </c>
    </row>
    <row r="92" spans="1:9" x14ac:dyDescent="0.3">
      <c r="A92">
        <v>91</v>
      </c>
      <c r="B92" s="2">
        <v>45191</v>
      </c>
      <c r="C92" t="s">
        <v>346</v>
      </c>
      <c r="D92" t="s">
        <v>419</v>
      </c>
      <c r="E92">
        <v>979</v>
      </c>
      <c r="F92">
        <v>25217</v>
      </c>
      <c r="G92">
        <v>137</v>
      </c>
      <c r="H92">
        <v>9737.23</v>
      </c>
      <c r="I92">
        <v>-0.3</v>
      </c>
    </row>
    <row r="93" spans="1:9" x14ac:dyDescent="0.3">
      <c r="A93">
        <v>92</v>
      </c>
      <c r="B93" s="2">
        <v>45290</v>
      </c>
      <c r="C93" t="s">
        <v>37</v>
      </c>
      <c r="D93" t="s">
        <v>339</v>
      </c>
      <c r="E93">
        <v>1507</v>
      </c>
      <c r="F93">
        <v>1645</v>
      </c>
      <c r="G93">
        <v>215</v>
      </c>
      <c r="H93">
        <v>7619.87</v>
      </c>
      <c r="I93">
        <v>0.41</v>
      </c>
    </row>
    <row r="94" spans="1:9" x14ac:dyDescent="0.3">
      <c r="A94">
        <v>93</v>
      </c>
      <c r="B94" s="2">
        <v>45057</v>
      </c>
      <c r="C94" t="s">
        <v>346</v>
      </c>
      <c r="D94" t="s">
        <v>420</v>
      </c>
      <c r="E94">
        <v>506</v>
      </c>
      <c r="F94">
        <v>44732</v>
      </c>
      <c r="G94">
        <v>220</v>
      </c>
      <c r="H94">
        <v>4992.7</v>
      </c>
      <c r="I94">
        <v>1.2</v>
      </c>
    </row>
    <row r="95" spans="1:9" x14ac:dyDescent="0.3">
      <c r="A95">
        <v>94</v>
      </c>
      <c r="B95" s="2">
        <v>45144</v>
      </c>
      <c r="C95" t="s">
        <v>349</v>
      </c>
      <c r="D95" t="s">
        <v>421</v>
      </c>
      <c r="E95">
        <v>525</v>
      </c>
      <c r="F95">
        <v>42945</v>
      </c>
      <c r="G95">
        <v>281</v>
      </c>
      <c r="H95">
        <v>1218.1400000000001</v>
      </c>
      <c r="I95">
        <v>10.53</v>
      </c>
    </row>
    <row r="96" spans="1:9" x14ac:dyDescent="0.3">
      <c r="A96">
        <v>95</v>
      </c>
      <c r="B96" s="2">
        <v>45264</v>
      </c>
      <c r="C96" t="s">
        <v>346</v>
      </c>
      <c r="D96" t="s">
        <v>386</v>
      </c>
      <c r="E96">
        <v>1030</v>
      </c>
      <c r="F96">
        <v>19099</v>
      </c>
      <c r="G96">
        <v>38</v>
      </c>
      <c r="H96">
        <v>3544.62</v>
      </c>
      <c r="I96">
        <v>-0.46</v>
      </c>
    </row>
    <row r="97" spans="1:9" x14ac:dyDescent="0.3">
      <c r="A97">
        <v>96</v>
      </c>
      <c r="B97" s="2">
        <v>45199</v>
      </c>
      <c r="C97" t="s">
        <v>37</v>
      </c>
      <c r="D97" t="s">
        <v>410</v>
      </c>
      <c r="E97">
        <v>1002</v>
      </c>
      <c r="F97">
        <v>19710</v>
      </c>
      <c r="G97">
        <v>180</v>
      </c>
      <c r="H97">
        <v>5814.77</v>
      </c>
      <c r="I97">
        <v>0.55000000000000004</v>
      </c>
    </row>
    <row r="98" spans="1:9" x14ac:dyDescent="0.3">
      <c r="A98">
        <v>97</v>
      </c>
      <c r="B98" s="2">
        <v>45215</v>
      </c>
      <c r="C98" t="s">
        <v>346</v>
      </c>
      <c r="D98" t="s">
        <v>422</v>
      </c>
      <c r="E98">
        <v>669</v>
      </c>
      <c r="F98">
        <v>19058</v>
      </c>
      <c r="G98">
        <v>275</v>
      </c>
      <c r="H98">
        <v>2614.35</v>
      </c>
      <c r="I98">
        <v>4.26</v>
      </c>
    </row>
    <row r="99" spans="1:9" x14ac:dyDescent="0.3">
      <c r="A99">
        <v>98</v>
      </c>
      <c r="B99" s="2">
        <v>45174</v>
      </c>
      <c r="C99" t="s">
        <v>342</v>
      </c>
      <c r="D99" t="s">
        <v>423</v>
      </c>
      <c r="E99">
        <v>942</v>
      </c>
      <c r="F99">
        <v>23433</v>
      </c>
      <c r="G99">
        <v>70</v>
      </c>
      <c r="H99">
        <v>3217.7</v>
      </c>
      <c r="I99">
        <v>0.09</v>
      </c>
    </row>
    <row r="100" spans="1:9" x14ac:dyDescent="0.3">
      <c r="A100">
        <v>99</v>
      </c>
      <c r="B100" s="2">
        <v>44927</v>
      </c>
      <c r="C100" t="s">
        <v>349</v>
      </c>
      <c r="D100" t="s">
        <v>424</v>
      </c>
      <c r="E100">
        <v>1120</v>
      </c>
      <c r="F100">
        <v>2958</v>
      </c>
      <c r="G100">
        <v>205</v>
      </c>
      <c r="H100">
        <v>6587.3</v>
      </c>
      <c r="I100">
        <v>0.56000000000000005</v>
      </c>
    </row>
    <row r="101" spans="1:9" x14ac:dyDescent="0.3">
      <c r="A101">
        <v>100</v>
      </c>
      <c r="B101" s="2">
        <v>44930</v>
      </c>
      <c r="C101" t="s">
        <v>342</v>
      </c>
      <c r="D101" t="s">
        <v>425</v>
      </c>
      <c r="E101">
        <v>1832</v>
      </c>
      <c r="F101">
        <v>42814</v>
      </c>
      <c r="G101">
        <v>132</v>
      </c>
      <c r="H101">
        <v>6464.53</v>
      </c>
      <c r="I101">
        <v>0.02</v>
      </c>
    </row>
    <row r="102" spans="1:9" x14ac:dyDescent="0.3">
      <c r="A102">
        <v>101</v>
      </c>
      <c r="B102" s="2">
        <v>45239</v>
      </c>
      <c r="C102" t="s">
        <v>340</v>
      </c>
      <c r="D102" t="s">
        <v>426</v>
      </c>
      <c r="E102">
        <v>1888</v>
      </c>
      <c r="F102">
        <v>48246</v>
      </c>
      <c r="G102">
        <v>195</v>
      </c>
      <c r="H102">
        <v>778.2</v>
      </c>
      <c r="I102">
        <v>11.53</v>
      </c>
    </row>
    <row r="103" spans="1:9" x14ac:dyDescent="0.3">
      <c r="A103">
        <v>102</v>
      </c>
      <c r="B103" s="2">
        <v>45178</v>
      </c>
      <c r="C103" t="s">
        <v>346</v>
      </c>
      <c r="D103" t="s">
        <v>392</v>
      </c>
      <c r="E103">
        <v>1727</v>
      </c>
      <c r="F103">
        <v>17843</v>
      </c>
      <c r="G103">
        <v>43</v>
      </c>
      <c r="H103">
        <v>8093.22</v>
      </c>
      <c r="I103">
        <v>-0.73</v>
      </c>
    </row>
    <row r="104" spans="1:9" x14ac:dyDescent="0.3">
      <c r="A104">
        <v>103</v>
      </c>
      <c r="B104" s="2">
        <v>45177</v>
      </c>
      <c r="C104" t="s">
        <v>346</v>
      </c>
      <c r="D104" t="s">
        <v>427</v>
      </c>
      <c r="E104">
        <v>1280</v>
      </c>
      <c r="F104">
        <v>11449</v>
      </c>
      <c r="G104">
        <v>119</v>
      </c>
      <c r="H104">
        <v>9081.23</v>
      </c>
      <c r="I104">
        <v>-0.34</v>
      </c>
    </row>
    <row r="105" spans="1:9" x14ac:dyDescent="0.3">
      <c r="A105">
        <v>104</v>
      </c>
      <c r="B105" s="2">
        <v>45026</v>
      </c>
      <c r="C105" t="s">
        <v>349</v>
      </c>
      <c r="D105" t="s">
        <v>428</v>
      </c>
      <c r="E105">
        <v>456</v>
      </c>
      <c r="F105">
        <v>18761</v>
      </c>
      <c r="G105">
        <v>50</v>
      </c>
      <c r="H105">
        <v>4657.55</v>
      </c>
      <c r="I105">
        <v>-0.46</v>
      </c>
    </row>
    <row r="106" spans="1:9" x14ac:dyDescent="0.3">
      <c r="A106">
        <v>105</v>
      </c>
      <c r="B106" s="2">
        <v>45010</v>
      </c>
      <c r="C106" t="s">
        <v>342</v>
      </c>
      <c r="D106" t="s">
        <v>425</v>
      </c>
      <c r="E106">
        <v>751</v>
      </c>
      <c r="F106">
        <v>47738</v>
      </c>
      <c r="G106">
        <v>34</v>
      </c>
      <c r="H106">
        <v>8043.31</v>
      </c>
      <c r="I106">
        <v>-0.79</v>
      </c>
    </row>
    <row r="107" spans="1:9" x14ac:dyDescent="0.3">
      <c r="A107">
        <v>106</v>
      </c>
      <c r="B107" s="2">
        <v>45141</v>
      </c>
      <c r="C107" t="s">
        <v>340</v>
      </c>
      <c r="D107" t="s">
        <v>404</v>
      </c>
      <c r="E107">
        <v>330</v>
      </c>
      <c r="F107">
        <v>24383</v>
      </c>
      <c r="G107">
        <v>274</v>
      </c>
      <c r="H107">
        <v>9188.9599999999991</v>
      </c>
      <c r="I107">
        <v>0.49</v>
      </c>
    </row>
    <row r="108" spans="1:9" x14ac:dyDescent="0.3">
      <c r="A108">
        <v>107</v>
      </c>
      <c r="B108" s="2">
        <v>45099</v>
      </c>
      <c r="C108" t="s">
        <v>346</v>
      </c>
      <c r="D108" t="s">
        <v>364</v>
      </c>
      <c r="E108">
        <v>132</v>
      </c>
      <c r="F108">
        <v>16282</v>
      </c>
      <c r="G108">
        <v>279</v>
      </c>
      <c r="H108">
        <v>8068.58</v>
      </c>
      <c r="I108">
        <v>0.73</v>
      </c>
    </row>
    <row r="109" spans="1:9" x14ac:dyDescent="0.3">
      <c r="A109">
        <v>108</v>
      </c>
      <c r="B109" s="2">
        <v>45047</v>
      </c>
      <c r="C109" t="s">
        <v>346</v>
      </c>
      <c r="D109" t="s">
        <v>429</v>
      </c>
      <c r="E109">
        <v>1791</v>
      </c>
      <c r="F109">
        <v>8230</v>
      </c>
      <c r="G109">
        <v>77</v>
      </c>
      <c r="H109">
        <v>3117.04</v>
      </c>
      <c r="I109">
        <v>0.24</v>
      </c>
    </row>
    <row r="110" spans="1:9" x14ac:dyDescent="0.3">
      <c r="A110">
        <v>109</v>
      </c>
      <c r="B110" s="2">
        <v>45243</v>
      </c>
      <c r="C110" t="s">
        <v>346</v>
      </c>
      <c r="D110" t="s">
        <v>385</v>
      </c>
      <c r="E110">
        <v>992</v>
      </c>
      <c r="F110">
        <v>5493</v>
      </c>
      <c r="G110">
        <v>124</v>
      </c>
      <c r="H110">
        <v>7066.49</v>
      </c>
      <c r="I110">
        <v>-0.12</v>
      </c>
    </row>
    <row r="111" spans="1:9" x14ac:dyDescent="0.3">
      <c r="A111">
        <v>110</v>
      </c>
      <c r="B111" s="2">
        <v>45087</v>
      </c>
      <c r="C111" t="s">
        <v>37</v>
      </c>
      <c r="D111" t="s">
        <v>430</v>
      </c>
      <c r="E111">
        <v>985</v>
      </c>
      <c r="F111">
        <v>44472</v>
      </c>
      <c r="G111">
        <v>290</v>
      </c>
      <c r="H111">
        <v>556.62</v>
      </c>
      <c r="I111">
        <v>25.05</v>
      </c>
    </row>
    <row r="112" spans="1:9" x14ac:dyDescent="0.3">
      <c r="A112">
        <v>111</v>
      </c>
      <c r="B112" s="2">
        <v>45260</v>
      </c>
      <c r="C112" t="s">
        <v>349</v>
      </c>
      <c r="D112" t="s">
        <v>431</v>
      </c>
      <c r="E112">
        <v>1727</v>
      </c>
      <c r="F112">
        <v>30492</v>
      </c>
      <c r="G112">
        <v>231</v>
      </c>
      <c r="H112">
        <v>2340.88</v>
      </c>
      <c r="I112">
        <v>3.93</v>
      </c>
    </row>
    <row r="113" spans="1:9" x14ac:dyDescent="0.3">
      <c r="A113">
        <v>112</v>
      </c>
      <c r="B113" s="2">
        <v>44928</v>
      </c>
      <c r="C113" t="s">
        <v>340</v>
      </c>
      <c r="D113" t="s">
        <v>432</v>
      </c>
      <c r="E113">
        <v>90</v>
      </c>
      <c r="F113">
        <v>6827</v>
      </c>
      <c r="G113">
        <v>72</v>
      </c>
      <c r="H113">
        <v>8784.67</v>
      </c>
      <c r="I113">
        <v>-0.59</v>
      </c>
    </row>
    <row r="114" spans="1:9" x14ac:dyDescent="0.3">
      <c r="A114">
        <v>113</v>
      </c>
      <c r="B114" s="2">
        <v>45053</v>
      </c>
      <c r="C114" t="s">
        <v>37</v>
      </c>
      <c r="D114" t="s">
        <v>433</v>
      </c>
      <c r="E114">
        <v>1710</v>
      </c>
      <c r="F114">
        <v>25173</v>
      </c>
      <c r="G114">
        <v>90</v>
      </c>
      <c r="H114">
        <v>8933.7900000000009</v>
      </c>
      <c r="I114">
        <v>-0.5</v>
      </c>
    </row>
    <row r="115" spans="1:9" x14ac:dyDescent="0.3">
      <c r="A115">
        <v>114</v>
      </c>
      <c r="B115" s="2">
        <v>45193</v>
      </c>
      <c r="C115" t="s">
        <v>37</v>
      </c>
      <c r="D115" t="s">
        <v>434</v>
      </c>
      <c r="E115">
        <v>526</v>
      </c>
      <c r="F115">
        <v>10277</v>
      </c>
      <c r="G115">
        <v>162</v>
      </c>
      <c r="H115">
        <v>4348.91</v>
      </c>
      <c r="I115">
        <v>0.86</v>
      </c>
    </row>
    <row r="116" spans="1:9" x14ac:dyDescent="0.3">
      <c r="A116">
        <v>115</v>
      </c>
      <c r="B116" s="2">
        <v>45230</v>
      </c>
      <c r="C116" t="s">
        <v>37</v>
      </c>
      <c r="D116" t="s">
        <v>435</v>
      </c>
      <c r="E116">
        <v>1635</v>
      </c>
      <c r="F116">
        <v>2492</v>
      </c>
      <c r="G116">
        <v>259</v>
      </c>
      <c r="H116">
        <v>6622.37</v>
      </c>
      <c r="I116">
        <v>0.96</v>
      </c>
    </row>
    <row r="117" spans="1:9" x14ac:dyDescent="0.3">
      <c r="A117">
        <v>116</v>
      </c>
      <c r="B117" s="2">
        <v>45127</v>
      </c>
      <c r="C117" t="s">
        <v>340</v>
      </c>
      <c r="D117" t="s">
        <v>436</v>
      </c>
      <c r="E117">
        <v>1942</v>
      </c>
      <c r="F117">
        <v>43946</v>
      </c>
      <c r="G117">
        <v>176</v>
      </c>
      <c r="H117">
        <v>1237.8399999999999</v>
      </c>
      <c r="I117">
        <v>6.11</v>
      </c>
    </row>
    <row r="118" spans="1:9" x14ac:dyDescent="0.3">
      <c r="A118">
        <v>117</v>
      </c>
      <c r="B118" s="2">
        <v>44934</v>
      </c>
      <c r="C118" t="s">
        <v>349</v>
      </c>
      <c r="D118" t="s">
        <v>375</v>
      </c>
      <c r="E118">
        <v>1397</v>
      </c>
      <c r="F118">
        <v>26634</v>
      </c>
      <c r="G118">
        <v>220</v>
      </c>
      <c r="H118">
        <v>9562.66</v>
      </c>
      <c r="I118">
        <v>0.15</v>
      </c>
    </row>
    <row r="119" spans="1:9" x14ac:dyDescent="0.3">
      <c r="A119">
        <v>118</v>
      </c>
      <c r="B119" s="2">
        <v>44941</v>
      </c>
      <c r="C119" t="s">
        <v>349</v>
      </c>
      <c r="D119" t="s">
        <v>437</v>
      </c>
      <c r="E119">
        <v>392</v>
      </c>
      <c r="F119">
        <v>33174</v>
      </c>
      <c r="G119">
        <v>80</v>
      </c>
      <c r="H119">
        <v>4697.8900000000003</v>
      </c>
      <c r="I119">
        <v>-0.15</v>
      </c>
    </row>
    <row r="120" spans="1:9" x14ac:dyDescent="0.3">
      <c r="A120">
        <v>119</v>
      </c>
      <c r="B120" s="2">
        <v>44947</v>
      </c>
      <c r="C120" t="s">
        <v>37</v>
      </c>
      <c r="D120" t="s">
        <v>433</v>
      </c>
      <c r="E120">
        <v>708</v>
      </c>
      <c r="F120">
        <v>27649</v>
      </c>
      <c r="G120">
        <v>97</v>
      </c>
      <c r="H120">
        <v>1788.76</v>
      </c>
      <c r="I120">
        <v>1.71</v>
      </c>
    </row>
    <row r="121" spans="1:9" x14ac:dyDescent="0.3">
      <c r="A121">
        <v>120</v>
      </c>
      <c r="B121" s="2">
        <v>45274</v>
      </c>
      <c r="C121" t="s">
        <v>342</v>
      </c>
      <c r="D121" t="s">
        <v>438</v>
      </c>
      <c r="E121">
        <v>1861</v>
      </c>
      <c r="F121">
        <v>13466</v>
      </c>
      <c r="G121">
        <v>136</v>
      </c>
      <c r="H121">
        <v>6796.62</v>
      </c>
      <c r="I121">
        <v>0</v>
      </c>
    </row>
    <row r="122" spans="1:9" x14ac:dyDescent="0.3">
      <c r="A122">
        <v>121</v>
      </c>
      <c r="B122" s="2">
        <v>45268</v>
      </c>
      <c r="C122" t="s">
        <v>37</v>
      </c>
      <c r="D122" t="s">
        <v>409</v>
      </c>
      <c r="E122">
        <v>821</v>
      </c>
      <c r="F122">
        <v>22909</v>
      </c>
      <c r="G122">
        <v>80</v>
      </c>
      <c r="H122">
        <v>4927.8999999999996</v>
      </c>
      <c r="I122">
        <v>-0.19</v>
      </c>
    </row>
    <row r="123" spans="1:9" x14ac:dyDescent="0.3">
      <c r="A123">
        <v>122</v>
      </c>
      <c r="B123" s="2">
        <v>45287</v>
      </c>
      <c r="C123" t="s">
        <v>340</v>
      </c>
      <c r="D123" t="s">
        <v>400</v>
      </c>
      <c r="E123">
        <v>243</v>
      </c>
      <c r="F123">
        <v>35775</v>
      </c>
      <c r="G123">
        <v>166</v>
      </c>
      <c r="H123">
        <v>4781.68</v>
      </c>
      <c r="I123">
        <v>0.74</v>
      </c>
    </row>
    <row r="124" spans="1:9" x14ac:dyDescent="0.3">
      <c r="A124">
        <v>123</v>
      </c>
      <c r="B124" s="2">
        <v>45136</v>
      </c>
      <c r="C124" t="s">
        <v>346</v>
      </c>
      <c r="D124" t="s">
        <v>439</v>
      </c>
      <c r="E124">
        <v>1657</v>
      </c>
      <c r="F124">
        <v>43070</v>
      </c>
      <c r="G124">
        <v>266</v>
      </c>
      <c r="H124">
        <v>8925.65</v>
      </c>
      <c r="I124">
        <v>0.49</v>
      </c>
    </row>
    <row r="125" spans="1:9" x14ac:dyDescent="0.3">
      <c r="A125">
        <v>124</v>
      </c>
      <c r="B125" s="2">
        <v>45062</v>
      </c>
      <c r="C125" t="s">
        <v>342</v>
      </c>
      <c r="D125" t="s">
        <v>354</v>
      </c>
      <c r="E125">
        <v>622</v>
      </c>
      <c r="F125">
        <v>22259</v>
      </c>
      <c r="G125">
        <v>266</v>
      </c>
      <c r="H125">
        <v>551.91999999999996</v>
      </c>
      <c r="I125">
        <v>23.1</v>
      </c>
    </row>
    <row r="126" spans="1:9" x14ac:dyDescent="0.3">
      <c r="A126">
        <v>125</v>
      </c>
      <c r="B126" s="2">
        <v>45281</v>
      </c>
      <c r="C126" t="s">
        <v>342</v>
      </c>
      <c r="D126" t="s">
        <v>440</v>
      </c>
      <c r="E126">
        <v>1453</v>
      </c>
      <c r="F126">
        <v>30033</v>
      </c>
      <c r="G126">
        <v>97</v>
      </c>
      <c r="H126">
        <v>4782.42</v>
      </c>
      <c r="I126">
        <v>0.01</v>
      </c>
    </row>
    <row r="127" spans="1:9" x14ac:dyDescent="0.3">
      <c r="A127">
        <v>126</v>
      </c>
      <c r="B127" s="2">
        <v>45103</v>
      </c>
      <c r="C127" t="s">
        <v>346</v>
      </c>
      <c r="D127" t="s">
        <v>441</v>
      </c>
      <c r="E127">
        <v>191</v>
      </c>
      <c r="F127">
        <v>6410</v>
      </c>
      <c r="G127">
        <v>241</v>
      </c>
      <c r="H127">
        <v>4795.46</v>
      </c>
      <c r="I127">
        <v>1.51</v>
      </c>
    </row>
    <row r="128" spans="1:9" x14ac:dyDescent="0.3">
      <c r="A128">
        <v>127</v>
      </c>
      <c r="B128" s="2">
        <v>45279</v>
      </c>
      <c r="C128" t="s">
        <v>346</v>
      </c>
      <c r="D128" t="s">
        <v>427</v>
      </c>
      <c r="E128">
        <v>750</v>
      </c>
      <c r="F128">
        <v>44056</v>
      </c>
      <c r="G128">
        <v>194</v>
      </c>
      <c r="H128">
        <v>8349.84</v>
      </c>
      <c r="I128">
        <v>0.16</v>
      </c>
    </row>
    <row r="129" spans="1:9" x14ac:dyDescent="0.3">
      <c r="A129">
        <v>128</v>
      </c>
      <c r="B129" s="2">
        <v>45244</v>
      </c>
      <c r="C129" t="s">
        <v>346</v>
      </c>
      <c r="D129" t="s">
        <v>347</v>
      </c>
      <c r="E129">
        <v>1880</v>
      </c>
      <c r="F129">
        <v>17724</v>
      </c>
      <c r="G129">
        <v>249</v>
      </c>
      <c r="H129">
        <v>5763.28</v>
      </c>
      <c r="I129">
        <v>1.1599999999999999</v>
      </c>
    </row>
    <row r="130" spans="1:9" x14ac:dyDescent="0.3">
      <c r="A130">
        <v>129</v>
      </c>
      <c r="B130" s="2">
        <v>44963</v>
      </c>
      <c r="C130" t="s">
        <v>342</v>
      </c>
      <c r="D130" t="s">
        <v>372</v>
      </c>
      <c r="E130">
        <v>1436</v>
      </c>
      <c r="F130">
        <v>28005</v>
      </c>
      <c r="G130">
        <v>237</v>
      </c>
      <c r="H130">
        <v>4030.45</v>
      </c>
      <c r="I130">
        <v>1.94</v>
      </c>
    </row>
    <row r="131" spans="1:9" x14ac:dyDescent="0.3">
      <c r="A131">
        <v>130</v>
      </c>
      <c r="B131" s="2">
        <v>45109</v>
      </c>
      <c r="C131" t="s">
        <v>349</v>
      </c>
      <c r="D131" t="s">
        <v>365</v>
      </c>
      <c r="E131">
        <v>602</v>
      </c>
      <c r="F131">
        <v>34623</v>
      </c>
      <c r="G131">
        <v>281</v>
      </c>
      <c r="H131">
        <v>3517.71</v>
      </c>
      <c r="I131">
        <v>2.99</v>
      </c>
    </row>
    <row r="132" spans="1:9" x14ac:dyDescent="0.3">
      <c r="A132">
        <v>131</v>
      </c>
      <c r="B132" s="2">
        <v>45073</v>
      </c>
      <c r="C132" t="s">
        <v>349</v>
      </c>
      <c r="D132" t="s">
        <v>442</v>
      </c>
      <c r="E132">
        <v>1624</v>
      </c>
      <c r="F132">
        <v>5492</v>
      </c>
      <c r="G132">
        <v>196</v>
      </c>
      <c r="H132">
        <v>7052.36</v>
      </c>
      <c r="I132">
        <v>0.39</v>
      </c>
    </row>
    <row r="133" spans="1:9" x14ac:dyDescent="0.3">
      <c r="A133">
        <v>132</v>
      </c>
      <c r="B133" s="2">
        <v>44998</v>
      </c>
      <c r="C133" t="s">
        <v>342</v>
      </c>
      <c r="D133" t="s">
        <v>443</v>
      </c>
      <c r="E133">
        <v>1406</v>
      </c>
      <c r="F133">
        <v>45199</v>
      </c>
      <c r="G133">
        <v>112</v>
      </c>
      <c r="H133">
        <v>7325.62</v>
      </c>
      <c r="I133">
        <v>-0.24</v>
      </c>
    </row>
    <row r="134" spans="1:9" x14ac:dyDescent="0.3">
      <c r="A134">
        <v>133</v>
      </c>
      <c r="B134" s="2">
        <v>45227</v>
      </c>
      <c r="C134" t="s">
        <v>349</v>
      </c>
      <c r="D134" t="s">
        <v>444</v>
      </c>
      <c r="E134">
        <v>1006</v>
      </c>
      <c r="F134">
        <v>43092</v>
      </c>
      <c r="G134">
        <v>272</v>
      </c>
      <c r="H134">
        <v>6778.62</v>
      </c>
      <c r="I134">
        <v>1.01</v>
      </c>
    </row>
    <row r="135" spans="1:9" x14ac:dyDescent="0.3">
      <c r="A135">
        <v>134</v>
      </c>
      <c r="B135" s="2">
        <v>45079</v>
      </c>
      <c r="C135" t="s">
        <v>342</v>
      </c>
      <c r="D135" t="s">
        <v>445</v>
      </c>
      <c r="E135">
        <v>152</v>
      </c>
      <c r="F135">
        <v>34755</v>
      </c>
      <c r="G135">
        <v>254</v>
      </c>
      <c r="H135">
        <v>7241.8</v>
      </c>
      <c r="I135">
        <v>0.75</v>
      </c>
    </row>
    <row r="136" spans="1:9" x14ac:dyDescent="0.3">
      <c r="A136">
        <v>135</v>
      </c>
      <c r="B136" s="2">
        <v>45141</v>
      </c>
      <c r="C136" t="s">
        <v>346</v>
      </c>
      <c r="D136" t="s">
        <v>418</v>
      </c>
      <c r="E136">
        <v>223</v>
      </c>
      <c r="F136">
        <v>14654</v>
      </c>
      <c r="G136">
        <v>162</v>
      </c>
      <c r="H136">
        <v>2650.31</v>
      </c>
      <c r="I136">
        <v>2.06</v>
      </c>
    </row>
    <row r="137" spans="1:9" x14ac:dyDescent="0.3">
      <c r="A137">
        <v>136</v>
      </c>
      <c r="B137" s="2">
        <v>45087</v>
      </c>
      <c r="C137" t="s">
        <v>346</v>
      </c>
      <c r="D137" t="s">
        <v>446</v>
      </c>
      <c r="E137">
        <v>1760</v>
      </c>
      <c r="F137">
        <v>2875</v>
      </c>
      <c r="G137">
        <v>150</v>
      </c>
      <c r="H137">
        <v>1233.43</v>
      </c>
      <c r="I137">
        <v>5.08</v>
      </c>
    </row>
    <row r="138" spans="1:9" x14ac:dyDescent="0.3">
      <c r="A138">
        <v>137</v>
      </c>
      <c r="B138" s="2">
        <v>45010</v>
      </c>
      <c r="C138" t="s">
        <v>349</v>
      </c>
      <c r="D138" t="s">
        <v>447</v>
      </c>
      <c r="E138">
        <v>643</v>
      </c>
      <c r="F138">
        <v>33402</v>
      </c>
      <c r="G138">
        <v>243</v>
      </c>
      <c r="H138">
        <v>4247.58</v>
      </c>
      <c r="I138">
        <v>1.86</v>
      </c>
    </row>
    <row r="139" spans="1:9" x14ac:dyDescent="0.3">
      <c r="A139">
        <v>138</v>
      </c>
      <c r="B139" s="2">
        <v>45184</v>
      </c>
      <c r="C139" t="s">
        <v>340</v>
      </c>
      <c r="D139" t="s">
        <v>404</v>
      </c>
      <c r="E139">
        <v>1810</v>
      </c>
      <c r="F139">
        <v>17715</v>
      </c>
      <c r="G139">
        <v>247</v>
      </c>
      <c r="H139">
        <v>3612.24</v>
      </c>
      <c r="I139">
        <v>2.42</v>
      </c>
    </row>
    <row r="140" spans="1:9" x14ac:dyDescent="0.3">
      <c r="A140">
        <v>139</v>
      </c>
      <c r="B140" s="2">
        <v>44977</v>
      </c>
      <c r="C140" t="s">
        <v>346</v>
      </c>
      <c r="D140" t="s">
        <v>448</v>
      </c>
      <c r="E140">
        <v>154</v>
      </c>
      <c r="F140">
        <v>35610</v>
      </c>
      <c r="G140">
        <v>270</v>
      </c>
      <c r="H140">
        <v>5071.32</v>
      </c>
      <c r="I140">
        <v>1.66</v>
      </c>
    </row>
    <row r="141" spans="1:9" x14ac:dyDescent="0.3">
      <c r="A141">
        <v>140</v>
      </c>
      <c r="B141" s="2">
        <v>45081</v>
      </c>
      <c r="C141" t="s">
        <v>346</v>
      </c>
      <c r="D141" t="s">
        <v>449</v>
      </c>
      <c r="E141">
        <v>1450</v>
      </c>
      <c r="F141">
        <v>41486</v>
      </c>
      <c r="G141">
        <v>32</v>
      </c>
      <c r="H141">
        <v>1801.3</v>
      </c>
      <c r="I141">
        <v>-0.11</v>
      </c>
    </row>
    <row r="142" spans="1:9" x14ac:dyDescent="0.3">
      <c r="A142">
        <v>141</v>
      </c>
      <c r="B142" s="2">
        <v>45194</v>
      </c>
      <c r="C142" t="s">
        <v>37</v>
      </c>
      <c r="D142" t="s">
        <v>450</v>
      </c>
      <c r="E142">
        <v>1678</v>
      </c>
      <c r="F142">
        <v>31373</v>
      </c>
      <c r="G142">
        <v>262</v>
      </c>
      <c r="H142">
        <v>215.9</v>
      </c>
      <c r="I142">
        <v>59.68</v>
      </c>
    </row>
    <row r="143" spans="1:9" x14ac:dyDescent="0.3">
      <c r="A143">
        <v>142</v>
      </c>
      <c r="B143" s="2">
        <v>45053</v>
      </c>
      <c r="C143" t="s">
        <v>37</v>
      </c>
      <c r="D143" t="s">
        <v>451</v>
      </c>
      <c r="E143">
        <v>284</v>
      </c>
      <c r="F143">
        <v>35624</v>
      </c>
      <c r="G143">
        <v>217</v>
      </c>
      <c r="H143">
        <v>8099.42</v>
      </c>
      <c r="I143">
        <v>0.34</v>
      </c>
    </row>
    <row r="144" spans="1:9" x14ac:dyDescent="0.3">
      <c r="A144">
        <v>143</v>
      </c>
      <c r="B144" s="2">
        <v>45033</v>
      </c>
      <c r="C144" t="s">
        <v>37</v>
      </c>
      <c r="D144" t="s">
        <v>452</v>
      </c>
      <c r="E144">
        <v>970</v>
      </c>
      <c r="F144">
        <v>8446</v>
      </c>
      <c r="G144">
        <v>298</v>
      </c>
      <c r="H144">
        <v>8471.48</v>
      </c>
      <c r="I144">
        <v>0.76</v>
      </c>
    </row>
    <row r="145" spans="1:9" x14ac:dyDescent="0.3">
      <c r="A145">
        <v>144</v>
      </c>
      <c r="B145" s="2">
        <v>45048</v>
      </c>
      <c r="C145" t="s">
        <v>346</v>
      </c>
      <c r="D145" t="s">
        <v>453</v>
      </c>
      <c r="E145">
        <v>469</v>
      </c>
      <c r="F145">
        <v>36426</v>
      </c>
      <c r="G145">
        <v>77</v>
      </c>
      <c r="H145">
        <v>3132.5</v>
      </c>
      <c r="I145">
        <v>0.23</v>
      </c>
    </row>
    <row r="146" spans="1:9" x14ac:dyDescent="0.3">
      <c r="A146">
        <v>145</v>
      </c>
      <c r="B146" s="2">
        <v>45082</v>
      </c>
      <c r="C146" t="s">
        <v>342</v>
      </c>
      <c r="D146" t="s">
        <v>454</v>
      </c>
      <c r="E146">
        <v>1261</v>
      </c>
      <c r="F146">
        <v>29011</v>
      </c>
      <c r="G146">
        <v>292</v>
      </c>
      <c r="H146">
        <v>8241.98</v>
      </c>
      <c r="I146">
        <v>0.77</v>
      </c>
    </row>
    <row r="147" spans="1:9" x14ac:dyDescent="0.3">
      <c r="A147">
        <v>146</v>
      </c>
      <c r="B147" s="2">
        <v>44974</v>
      </c>
      <c r="C147" t="s">
        <v>342</v>
      </c>
      <c r="D147" t="s">
        <v>455</v>
      </c>
      <c r="E147">
        <v>896</v>
      </c>
      <c r="F147">
        <v>4134</v>
      </c>
      <c r="G147">
        <v>27</v>
      </c>
      <c r="H147">
        <v>3256.78</v>
      </c>
      <c r="I147">
        <v>-0.59</v>
      </c>
    </row>
    <row r="148" spans="1:9" x14ac:dyDescent="0.3">
      <c r="A148">
        <v>147</v>
      </c>
      <c r="B148" s="2">
        <v>45093</v>
      </c>
      <c r="C148" t="s">
        <v>346</v>
      </c>
      <c r="D148" t="s">
        <v>456</v>
      </c>
      <c r="E148">
        <v>1898</v>
      </c>
      <c r="F148">
        <v>2141</v>
      </c>
      <c r="G148">
        <v>104</v>
      </c>
      <c r="H148">
        <v>3990.44</v>
      </c>
      <c r="I148">
        <v>0.3</v>
      </c>
    </row>
    <row r="149" spans="1:9" x14ac:dyDescent="0.3">
      <c r="A149">
        <v>148</v>
      </c>
      <c r="B149" s="2">
        <v>44982</v>
      </c>
      <c r="C149" t="s">
        <v>37</v>
      </c>
      <c r="D149" t="s">
        <v>353</v>
      </c>
      <c r="E149">
        <v>489</v>
      </c>
      <c r="F149">
        <v>41603</v>
      </c>
      <c r="G149">
        <v>11</v>
      </c>
      <c r="H149">
        <v>1511.68</v>
      </c>
      <c r="I149">
        <v>-0.64</v>
      </c>
    </row>
    <row r="150" spans="1:9" x14ac:dyDescent="0.3">
      <c r="A150">
        <v>149</v>
      </c>
      <c r="B150" s="2">
        <v>45128</v>
      </c>
      <c r="C150" t="s">
        <v>349</v>
      </c>
      <c r="D150" t="s">
        <v>457</v>
      </c>
      <c r="E150">
        <v>1266</v>
      </c>
      <c r="F150">
        <v>19990</v>
      </c>
      <c r="G150">
        <v>152</v>
      </c>
      <c r="H150">
        <v>3463.71</v>
      </c>
      <c r="I150">
        <v>1.19</v>
      </c>
    </row>
    <row r="151" spans="1:9" x14ac:dyDescent="0.3">
      <c r="A151">
        <v>150</v>
      </c>
      <c r="B151" s="2">
        <v>45220</v>
      </c>
      <c r="C151" t="s">
        <v>346</v>
      </c>
      <c r="D151" t="s">
        <v>453</v>
      </c>
      <c r="E151">
        <v>1492</v>
      </c>
      <c r="F151">
        <v>45014</v>
      </c>
      <c r="G151">
        <v>130</v>
      </c>
      <c r="H151">
        <v>6000.29</v>
      </c>
      <c r="I151">
        <v>0.08</v>
      </c>
    </row>
    <row r="152" spans="1:9" x14ac:dyDescent="0.3">
      <c r="A152">
        <v>151</v>
      </c>
      <c r="B152" s="2">
        <v>45130</v>
      </c>
      <c r="C152" t="s">
        <v>346</v>
      </c>
      <c r="D152" t="s">
        <v>422</v>
      </c>
      <c r="E152">
        <v>1465</v>
      </c>
      <c r="F152">
        <v>1929</v>
      </c>
      <c r="G152">
        <v>180</v>
      </c>
      <c r="H152">
        <v>2257.14</v>
      </c>
      <c r="I152">
        <v>2.99</v>
      </c>
    </row>
    <row r="153" spans="1:9" x14ac:dyDescent="0.3">
      <c r="A153">
        <v>152</v>
      </c>
      <c r="B153" s="2">
        <v>45251</v>
      </c>
      <c r="C153" t="s">
        <v>346</v>
      </c>
      <c r="D153" t="s">
        <v>458</v>
      </c>
      <c r="E153">
        <v>882</v>
      </c>
      <c r="F153">
        <v>18438</v>
      </c>
      <c r="G153">
        <v>117</v>
      </c>
      <c r="H153">
        <v>1491.47</v>
      </c>
      <c r="I153">
        <v>2.92</v>
      </c>
    </row>
    <row r="154" spans="1:9" x14ac:dyDescent="0.3">
      <c r="A154">
        <v>153</v>
      </c>
      <c r="B154" s="2">
        <v>45186</v>
      </c>
      <c r="C154" t="s">
        <v>342</v>
      </c>
      <c r="D154" t="s">
        <v>454</v>
      </c>
      <c r="E154">
        <v>1449</v>
      </c>
      <c r="F154">
        <v>20799</v>
      </c>
      <c r="G154">
        <v>71</v>
      </c>
      <c r="H154">
        <v>9643.77</v>
      </c>
      <c r="I154">
        <v>-0.63</v>
      </c>
    </row>
    <row r="155" spans="1:9" x14ac:dyDescent="0.3">
      <c r="A155">
        <v>154</v>
      </c>
      <c r="B155" s="2">
        <v>45188</v>
      </c>
      <c r="C155" t="s">
        <v>349</v>
      </c>
      <c r="D155" t="s">
        <v>459</v>
      </c>
      <c r="E155">
        <v>1228</v>
      </c>
      <c r="F155">
        <v>8597</v>
      </c>
      <c r="G155">
        <v>238</v>
      </c>
      <c r="H155">
        <v>4014.8</v>
      </c>
      <c r="I155">
        <v>1.96</v>
      </c>
    </row>
    <row r="156" spans="1:9" x14ac:dyDescent="0.3">
      <c r="A156">
        <v>155</v>
      </c>
      <c r="B156" s="2">
        <v>45050</v>
      </c>
      <c r="C156" t="s">
        <v>349</v>
      </c>
      <c r="D156" t="s">
        <v>460</v>
      </c>
      <c r="E156">
        <v>294</v>
      </c>
      <c r="F156">
        <v>3169</v>
      </c>
      <c r="G156">
        <v>129</v>
      </c>
      <c r="H156">
        <v>3766.93</v>
      </c>
      <c r="I156">
        <v>0.71</v>
      </c>
    </row>
    <row r="157" spans="1:9" x14ac:dyDescent="0.3">
      <c r="A157">
        <v>156</v>
      </c>
      <c r="B157" s="2">
        <v>45127</v>
      </c>
      <c r="C157" t="s">
        <v>346</v>
      </c>
      <c r="D157" t="s">
        <v>461</v>
      </c>
      <c r="E157">
        <v>1108</v>
      </c>
      <c r="F157">
        <v>28734</v>
      </c>
      <c r="G157">
        <v>138</v>
      </c>
      <c r="H157">
        <v>6069.13</v>
      </c>
      <c r="I157">
        <v>0.14000000000000001</v>
      </c>
    </row>
    <row r="158" spans="1:9" x14ac:dyDescent="0.3">
      <c r="A158">
        <v>157</v>
      </c>
      <c r="B158" s="2">
        <v>45035</v>
      </c>
      <c r="C158" t="s">
        <v>340</v>
      </c>
      <c r="D158" t="s">
        <v>404</v>
      </c>
      <c r="E158">
        <v>846</v>
      </c>
      <c r="F158">
        <v>21538</v>
      </c>
      <c r="G158">
        <v>130</v>
      </c>
      <c r="H158">
        <v>3955.87</v>
      </c>
      <c r="I158">
        <v>0.64</v>
      </c>
    </row>
    <row r="159" spans="1:9" x14ac:dyDescent="0.3">
      <c r="A159">
        <v>158</v>
      </c>
      <c r="B159" s="2">
        <v>45231</v>
      </c>
      <c r="C159" t="s">
        <v>340</v>
      </c>
      <c r="D159" t="s">
        <v>462</v>
      </c>
      <c r="E159">
        <v>1057</v>
      </c>
      <c r="F159">
        <v>43261</v>
      </c>
      <c r="G159">
        <v>72</v>
      </c>
      <c r="H159">
        <v>9803.08</v>
      </c>
      <c r="I159">
        <v>-0.63</v>
      </c>
    </row>
    <row r="160" spans="1:9" x14ac:dyDescent="0.3">
      <c r="A160">
        <v>159</v>
      </c>
      <c r="B160" s="2">
        <v>45035</v>
      </c>
      <c r="C160" t="s">
        <v>346</v>
      </c>
      <c r="D160" t="s">
        <v>427</v>
      </c>
      <c r="E160">
        <v>723</v>
      </c>
      <c r="F160">
        <v>9556</v>
      </c>
      <c r="G160">
        <v>46</v>
      </c>
      <c r="H160">
        <v>8285.4699999999993</v>
      </c>
      <c r="I160">
        <v>-0.72</v>
      </c>
    </row>
    <row r="161" spans="1:9" x14ac:dyDescent="0.3">
      <c r="A161">
        <v>160</v>
      </c>
      <c r="B161" s="2">
        <v>45285</v>
      </c>
      <c r="C161" t="s">
        <v>340</v>
      </c>
      <c r="D161" t="s">
        <v>404</v>
      </c>
      <c r="E161">
        <v>390</v>
      </c>
      <c r="F161">
        <v>44949</v>
      </c>
      <c r="G161">
        <v>25</v>
      </c>
      <c r="H161">
        <v>9667.5300000000007</v>
      </c>
      <c r="I161">
        <v>-0.87</v>
      </c>
    </row>
    <row r="162" spans="1:9" x14ac:dyDescent="0.3">
      <c r="A162">
        <v>161</v>
      </c>
      <c r="B162" s="2">
        <v>45051</v>
      </c>
      <c r="C162" t="s">
        <v>37</v>
      </c>
      <c r="D162" t="s">
        <v>463</v>
      </c>
      <c r="E162">
        <v>1572</v>
      </c>
      <c r="F162">
        <v>20840</v>
      </c>
      <c r="G162">
        <v>96</v>
      </c>
      <c r="H162">
        <v>5871.55</v>
      </c>
      <c r="I162">
        <v>-0.18</v>
      </c>
    </row>
    <row r="163" spans="1:9" x14ac:dyDescent="0.3">
      <c r="A163">
        <v>162</v>
      </c>
      <c r="B163" s="2">
        <v>45264</v>
      </c>
      <c r="C163" t="s">
        <v>37</v>
      </c>
      <c r="D163" t="s">
        <v>451</v>
      </c>
      <c r="E163">
        <v>958</v>
      </c>
      <c r="F163">
        <v>27762</v>
      </c>
      <c r="G163">
        <v>277</v>
      </c>
      <c r="H163">
        <v>7372.32</v>
      </c>
      <c r="I163">
        <v>0.88</v>
      </c>
    </row>
    <row r="164" spans="1:9" x14ac:dyDescent="0.3">
      <c r="A164">
        <v>163</v>
      </c>
      <c r="B164" s="2">
        <v>45091</v>
      </c>
      <c r="C164" t="s">
        <v>37</v>
      </c>
      <c r="D164" t="s">
        <v>464</v>
      </c>
      <c r="E164">
        <v>1287</v>
      </c>
      <c r="F164">
        <v>47840</v>
      </c>
      <c r="G164">
        <v>156</v>
      </c>
      <c r="H164">
        <v>6244.54</v>
      </c>
      <c r="I164">
        <v>0.25</v>
      </c>
    </row>
    <row r="165" spans="1:9" x14ac:dyDescent="0.3">
      <c r="A165">
        <v>164</v>
      </c>
      <c r="B165" s="2">
        <v>45027</v>
      </c>
      <c r="C165" t="s">
        <v>342</v>
      </c>
      <c r="D165" t="s">
        <v>465</v>
      </c>
      <c r="E165">
        <v>1926</v>
      </c>
      <c r="F165">
        <v>19951</v>
      </c>
      <c r="G165">
        <v>288</v>
      </c>
      <c r="H165">
        <v>8540.32</v>
      </c>
      <c r="I165">
        <v>0.69</v>
      </c>
    </row>
    <row r="166" spans="1:9" x14ac:dyDescent="0.3">
      <c r="A166">
        <v>165</v>
      </c>
      <c r="B166" s="2">
        <v>45280</v>
      </c>
      <c r="C166" t="s">
        <v>346</v>
      </c>
      <c r="D166" t="s">
        <v>411</v>
      </c>
      <c r="E166">
        <v>1959</v>
      </c>
      <c r="F166">
        <v>11238</v>
      </c>
      <c r="G166">
        <v>68</v>
      </c>
      <c r="H166">
        <v>5970.84</v>
      </c>
      <c r="I166">
        <v>-0.43</v>
      </c>
    </row>
    <row r="167" spans="1:9" x14ac:dyDescent="0.3">
      <c r="A167">
        <v>166</v>
      </c>
      <c r="B167" s="2">
        <v>45075</v>
      </c>
      <c r="C167" t="s">
        <v>342</v>
      </c>
      <c r="D167" t="s">
        <v>443</v>
      </c>
      <c r="E167">
        <v>1895</v>
      </c>
      <c r="F167">
        <v>2708</v>
      </c>
      <c r="G167">
        <v>51</v>
      </c>
      <c r="H167">
        <v>8712.69</v>
      </c>
      <c r="I167">
        <v>-0.71</v>
      </c>
    </row>
    <row r="168" spans="1:9" x14ac:dyDescent="0.3">
      <c r="A168">
        <v>167</v>
      </c>
      <c r="B168" s="2">
        <v>44946</v>
      </c>
      <c r="C168" t="s">
        <v>346</v>
      </c>
      <c r="D168" t="s">
        <v>466</v>
      </c>
      <c r="E168">
        <v>1560</v>
      </c>
      <c r="F168">
        <v>17859</v>
      </c>
      <c r="G168">
        <v>9</v>
      </c>
      <c r="H168">
        <v>7962.69</v>
      </c>
      <c r="I168">
        <v>-0.94</v>
      </c>
    </row>
    <row r="169" spans="1:9" x14ac:dyDescent="0.3">
      <c r="A169">
        <v>168</v>
      </c>
      <c r="B169" s="2">
        <v>45073</v>
      </c>
      <c r="C169" t="s">
        <v>346</v>
      </c>
      <c r="D169" t="s">
        <v>467</v>
      </c>
      <c r="E169">
        <v>607</v>
      </c>
      <c r="F169">
        <v>30689</v>
      </c>
      <c r="G169">
        <v>16</v>
      </c>
      <c r="H169">
        <v>9699.1200000000008</v>
      </c>
      <c r="I169">
        <v>-0.92</v>
      </c>
    </row>
    <row r="170" spans="1:9" x14ac:dyDescent="0.3">
      <c r="A170">
        <v>169</v>
      </c>
      <c r="B170" s="2">
        <v>45176</v>
      </c>
      <c r="C170" t="s">
        <v>37</v>
      </c>
      <c r="D170" t="s">
        <v>468</v>
      </c>
      <c r="E170">
        <v>1377</v>
      </c>
      <c r="F170">
        <v>39635</v>
      </c>
      <c r="G170">
        <v>74</v>
      </c>
      <c r="H170">
        <v>5928.44</v>
      </c>
      <c r="I170">
        <v>-0.38</v>
      </c>
    </row>
    <row r="171" spans="1:9" x14ac:dyDescent="0.3">
      <c r="A171">
        <v>170</v>
      </c>
      <c r="B171" s="2">
        <v>45129</v>
      </c>
      <c r="C171" t="s">
        <v>346</v>
      </c>
      <c r="D171" t="s">
        <v>411</v>
      </c>
      <c r="E171">
        <v>1175</v>
      </c>
      <c r="F171">
        <v>29064</v>
      </c>
      <c r="G171">
        <v>220</v>
      </c>
      <c r="H171">
        <v>4468.1099999999997</v>
      </c>
      <c r="I171">
        <v>1.46</v>
      </c>
    </row>
    <row r="172" spans="1:9" x14ac:dyDescent="0.3">
      <c r="A172">
        <v>171</v>
      </c>
      <c r="B172" s="2">
        <v>45101</v>
      </c>
      <c r="C172" t="s">
        <v>340</v>
      </c>
      <c r="D172" t="s">
        <v>469</v>
      </c>
      <c r="E172">
        <v>1764</v>
      </c>
      <c r="F172">
        <v>49077</v>
      </c>
      <c r="G172">
        <v>223</v>
      </c>
      <c r="H172">
        <v>4135.08</v>
      </c>
      <c r="I172">
        <v>1.7</v>
      </c>
    </row>
    <row r="173" spans="1:9" x14ac:dyDescent="0.3">
      <c r="A173">
        <v>172</v>
      </c>
      <c r="B173" s="2">
        <v>45255</v>
      </c>
      <c r="C173" t="s">
        <v>349</v>
      </c>
      <c r="D173" t="s">
        <v>470</v>
      </c>
      <c r="E173">
        <v>821</v>
      </c>
      <c r="F173">
        <v>42862</v>
      </c>
      <c r="G173">
        <v>167</v>
      </c>
      <c r="H173">
        <v>2084.6999999999998</v>
      </c>
      <c r="I173">
        <v>3.01</v>
      </c>
    </row>
    <row r="174" spans="1:9" x14ac:dyDescent="0.3">
      <c r="A174">
        <v>173</v>
      </c>
      <c r="B174" s="2">
        <v>45073</v>
      </c>
      <c r="C174" t="s">
        <v>340</v>
      </c>
      <c r="D174" t="s">
        <v>359</v>
      </c>
      <c r="E174">
        <v>165</v>
      </c>
      <c r="F174">
        <v>40852</v>
      </c>
      <c r="G174">
        <v>229</v>
      </c>
      <c r="H174">
        <v>8941.59</v>
      </c>
      <c r="I174">
        <v>0.28000000000000003</v>
      </c>
    </row>
    <row r="175" spans="1:9" x14ac:dyDescent="0.3">
      <c r="A175">
        <v>174</v>
      </c>
      <c r="B175" s="2">
        <v>45115</v>
      </c>
      <c r="C175" t="s">
        <v>349</v>
      </c>
      <c r="D175" t="s">
        <v>471</v>
      </c>
      <c r="E175">
        <v>1396</v>
      </c>
      <c r="F175">
        <v>3490</v>
      </c>
      <c r="G175">
        <v>17</v>
      </c>
      <c r="H175">
        <v>9718.18</v>
      </c>
      <c r="I175">
        <v>-0.91</v>
      </c>
    </row>
    <row r="176" spans="1:9" x14ac:dyDescent="0.3">
      <c r="A176">
        <v>175</v>
      </c>
      <c r="B176" s="2">
        <v>45097</v>
      </c>
      <c r="C176" t="s">
        <v>37</v>
      </c>
      <c r="D176" t="s">
        <v>452</v>
      </c>
      <c r="E176">
        <v>769</v>
      </c>
      <c r="F176">
        <v>34905</v>
      </c>
      <c r="G176">
        <v>26</v>
      </c>
      <c r="H176">
        <v>6908.45</v>
      </c>
      <c r="I176">
        <v>-0.81</v>
      </c>
    </row>
    <row r="177" spans="1:9" x14ac:dyDescent="0.3">
      <c r="A177">
        <v>176</v>
      </c>
      <c r="B177" s="2">
        <v>45130</v>
      </c>
      <c r="C177" t="s">
        <v>340</v>
      </c>
      <c r="D177" t="s">
        <v>413</v>
      </c>
      <c r="E177">
        <v>1639</v>
      </c>
      <c r="F177">
        <v>20337</v>
      </c>
      <c r="G177">
        <v>130</v>
      </c>
      <c r="H177">
        <v>6480.26</v>
      </c>
      <c r="I177">
        <v>0</v>
      </c>
    </row>
    <row r="178" spans="1:9" x14ac:dyDescent="0.3">
      <c r="A178">
        <v>177</v>
      </c>
      <c r="B178" s="2">
        <v>45148</v>
      </c>
      <c r="C178" t="s">
        <v>342</v>
      </c>
      <c r="D178" t="s">
        <v>472</v>
      </c>
      <c r="E178">
        <v>1754</v>
      </c>
      <c r="F178">
        <v>16906</v>
      </c>
      <c r="G178">
        <v>188</v>
      </c>
      <c r="H178">
        <v>5332.92</v>
      </c>
      <c r="I178">
        <v>0.76</v>
      </c>
    </row>
    <row r="179" spans="1:9" x14ac:dyDescent="0.3">
      <c r="A179">
        <v>178</v>
      </c>
      <c r="B179" s="2">
        <v>45253</v>
      </c>
      <c r="C179" t="s">
        <v>37</v>
      </c>
      <c r="D179" t="s">
        <v>473</v>
      </c>
      <c r="E179">
        <v>1236</v>
      </c>
      <c r="F179">
        <v>13306</v>
      </c>
      <c r="G179">
        <v>268</v>
      </c>
      <c r="H179">
        <v>9947.02</v>
      </c>
      <c r="I179">
        <v>0.35</v>
      </c>
    </row>
    <row r="180" spans="1:9" x14ac:dyDescent="0.3">
      <c r="A180">
        <v>179</v>
      </c>
      <c r="B180" s="2">
        <v>44963</v>
      </c>
      <c r="C180" t="s">
        <v>342</v>
      </c>
      <c r="D180" t="s">
        <v>454</v>
      </c>
      <c r="E180">
        <v>696</v>
      </c>
      <c r="F180">
        <v>13866</v>
      </c>
      <c r="G180">
        <v>69</v>
      </c>
      <c r="H180">
        <v>3483.65</v>
      </c>
      <c r="I180">
        <v>-0.01</v>
      </c>
    </row>
    <row r="181" spans="1:9" x14ac:dyDescent="0.3">
      <c r="A181">
        <v>180</v>
      </c>
      <c r="B181" s="2">
        <v>45114</v>
      </c>
      <c r="C181" t="s">
        <v>37</v>
      </c>
      <c r="D181" t="s">
        <v>474</v>
      </c>
      <c r="E181">
        <v>960</v>
      </c>
      <c r="F181">
        <v>21620</v>
      </c>
      <c r="G181">
        <v>236</v>
      </c>
      <c r="H181">
        <v>9377.2000000000007</v>
      </c>
      <c r="I181">
        <v>0.26</v>
      </c>
    </row>
    <row r="182" spans="1:9" x14ac:dyDescent="0.3">
      <c r="A182">
        <v>181</v>
      </c>
      <c r="B182" s="2">
        <v>45117</v>
      </c>
      <c r="C182" t="s">
        <v>37</v>
      </c>
      <c r="D182" t="s">
        <v>363</v>
      </c>
      <c r="E182">
        <v>1200</v>
      </c>
      <c r="F182">
        <v>42216</v>
      </c>
      <c r="G182">
        <v>168</v>
      </c>
      <c r="H182">
        <v>7030.34</v>
      </c>
      <c r="I182">
        <v>0.19</v>
      </c>
    </row>
    <row r="183" spans="1:9" x14ac:dyDescent="0.3">
      <c r="A183">
        <v>182</v>
      </c>
      <c r="B183" s="2">
        <v>45186</v>
      </c>
      <c r="C183" t="s">
        <v>349</v>
      </c>
      <c r="D183" t="s">
        <v>475</v>
      </c>
      <c r="E183">
        <v>1608</v>
      </c>
      <c r="F183">
        <v>12528</v>
      </c>
      <c r="G183">
        <v>294</v>
      </c>
      <c r="H183">
        <v>868.73</v>
      </c>
      <c r="I183">
        <v>15.92</v>
      </c>
    </row>
    <row r="184" spans="1:9" x14ac:dyDescent="0.3">
      <c r="A184">
        <v>183</v>
      </c>
      <c r="B184" s="2">
        <v>45114</v>
      </c>
      <c r="C184" t="s">
        <v>346</v>
      </c>
      <c r="D184" t="s">
        <v>476</v>
      </c>
      <c r="E184">
        <v>1431</v>
      </c>
      <c r="F184">
        <v>2098</v>
      </c>
      <c r="G184">
        <v>76</v>
      </c>
      <c r="H184">
        <v>1198.8800000000001</v>
      </c>
      <c r="I184">
        <v>2.17</v>
      </c>
    </row>
    <row r="185" spans="1:9" x14ac:dyDescent="0.3">
      <c r="A185">
        <v>184</v>
      </c>
      <c r="B185" s="2">
        <v>45009</v>
      </c>
      <c r="C185" t="s">
        <v>349</v>
      </c>
      <c r="D185" t="s">
        <v>477</v>
      </c>
      <c r="E185">
        <v>1758</v>
      </c>
      <c r="F185">
        <v>11207</v>
      </c>
      <c r="G185">
        <v>294</v>
      </c>
      <c r="H185">
        <v>160.28</v>
      </c>
      <c r="I185">
        <v>90.71</v>
      </c>
    </row>
    <row r="186" spans="1:9" x14ac:dyDescent="0.3">
      <c r="A186">
        <v>185</v>
      </c>
      <c r="B186" s="2">
        <v>45160</v>
      </c>
      <c r="C186" t="s">
        <v>346</v>
      </c>
      <c r="D186" t="s">
        <v>458</v>
      </c>
      <c r="E186">
        <v>1601</v>
      </c>
      <c r="F186">
        <v>6185</v>
      </c>
      <c r="G186">
        <v>149</v>
      </c>
      <c r="H186">
        <v>5056.18</v>
      </c>
      <c r="I186">
        <v>0.47</v>
      </c>
    </row>
    <row r="187" spans="1:9" x14ac:dyDescent="0.3">
      <c r="A187">
        <v>186</v>
      </c>
      <c r="B187" s="2">
        <v>45216</v>
      </c>
      <c r="C187" t="s">
        <v>340</v>
      </c>
      <c r="D187" t="s">
        <v>478</v>
      </c>
      <c r="E187">
        <v>1431</v>
      </c>
      <c r="F187">
        <v>41123</v>
      </c>
      <c r="G187">
        <v>17</v>
      </c>
      <c r="H187">
        <v>6701.86</v>
      </c>
      <c r="I187">
        <v>-0.87</v>
      </c>
    </row>
    <row r="188" spans="1:9" x14ac:dyDescent="0.3">
      <c r="A188">
        <v>187</v>
      </c>
      <c r="B188" s="2">
        <v>44981</v>
      </c>
      <c r="C188" t="s">
        <v>349</v>
      </c>
      <c r="D188" t="s">
        <v>371</v>
      </c>
      <c r="E188">
        <v>1524</v>
      </c>
      <c r="F188">
        <v>3951</v>
      </c>
      <c r="G188">
        <v>219</v>
      </c>
      <c r="H188">
        <v>9299.36</v>
      </c>
      <c r="I188">
        <v>0.18</v>
      </c>
    </row>
    <row r="189" spans="1:9" x14ac:dyDescent="0.3">
      <c r="A189">
        <v>188</v>
      </c>
      <c r="B189" s="2">
        <v>45247</v>
      </c>
      <c r="C189" t="s">
        <v>346</v>
      </c>
      <c r="D189" t="s">
        <v>418</v>
      </c>
      <c r="E189">
        <v>1703</v>
      </c>
      <c r="F189">
        <v>36548</v>
      </c>
      <c r="G189">
        <v>235</v>
      </c>
      <c r="H189">
        <v>4816.7299999999996</v>
      </c>
      <c r="I189">
        <v>1.44</v>
      </c>
    </row>
    <row r="190" spans="1:9" x14ac:dyDescent="0.3">
      <c r="A190">
        <v>189</v>
      </c>
      <c r="B190" s="2">
        <v>44979</v>
      </c>
      <c r="C190" t="s">
        <v>349</v>
      </c>
      <c r="D190" t="s">
        <v>479</v>
      </c>
      <c r="E190">
        <v>1306</v>
      </c>
      <c r="F190">
        <v>23173</v>
      </c>
      <c r="G190">
        <v>273</v>
      </c>
      <c r="H190">
        <v>6074.58</v>
      </c>
      <c r="I190">
        <v>1.25</v>
      </c>
    </row>
    <row r="191" spans="1:9" x14ac:dyDescent="0.3">
      <c r="A191">
        <v>190</v>
      </c>
      <c r="B191" s="2">
        <v>44949</v>
      </c>
      <c r="C191" t="s">
        <v>346</v>
      </c>
      <c r="D191" t="s">
        <v>385</v>
      </c>
      <c r="E191">
        <v>1386</v>
      </c>
      <c r="F191">
        <v>48829</v>
      </c>
      <c r="G191">
        <v>35</v>
      </c>
      <c r="H191">
        <v>8897.7199999999993</v>
      </c>
      <c r="I191">
        <v>-0.8</v>
      </c>
    </row>
    <row r="192" spans="1:9" x14ac:dyDescent="0.3">
      <c r="A192">
        <v>191</v>
      </c>
      <c r="B192" s="2">
        <v>45086</v>
      </c>
      <c r="C192" t="s">
        <v>340</v>
      </c>
      <c r="D192" t="s">
        <v>462</v>
      </c>
      <c r="E192">
        <v>1519</v>
      </c>
      <c r="F192">
        <v>16369</v>
      </c>
      <c r="G192">
        <v>58</v>
      </c>
      <c r="H192">
        <v>810.58</v>
      </c>
      <c r="I192">
        <v>2.58</v>
      </c>
    </row>
    <row r="193" spans="1:9" x14ac:dyDescent="0.3">
      <c r="A193">
        <v>192</v>
      </c>
      <c r="B193" s="2">
        <v>44948</v>
      </c>
      <c r="C193" t="s">
        <v>37</v>
      </c>
      <c r="D193" t="s">
        <v>360</v>
      </c>
      <c r="E193">
        <v>1251</v>
      </c>
      <c r="F193">
        <v>40323</v>
      </c>
      <c r="G193">
        <v>57</v>
      </c>
      <c r="H193">
        <v>8059.19</v>
      </c>
      <c r="I193">
        <v>-0.65</v>
      </c>
    </row>
    <row r="194" spans="1:9" x14ac:dyDescent="0.3">
      <c r="A194">
        <v>193</v>
      </c>
      <c r="B194" s="2">
        <v>45190</v>
      </c>
      <c r="C194" t="s">
        <v>346</v>
      </c>
      <c r="D194" t="s">
        <v>476</v>
      </c>
      <c r="E194">
        <v>752</v>
      </c>
      <c r="F194">
        <v>19691</v>
      </c>
      <c r="G194">
        <v>209</v>
      </c>
      <c r="H194">
        <v>9176.24</v>
      </c>
      <c r="I194">
        <v>0.14000000000000001</v>
      </c>
    </row>
    <row r="195" spans="1:9" x14ac:dyDescent="0.3">
      <c r="A195">
        <v>194</v>
      </c>
      <c r="B195" s="2">
        <v>45280</v>
      </c>
      <c r="C195" t="s">
        <v>346</v>
      </c>
      <c r="D195" t="s">
        <v>453</v>
      </c>
      <c r="E195">
        <v>1085</v>
      </c>
      <c r="F195">
        <v>29278</v>
      </c>
      <c r="G195">
        <v>294</v>
      </c>
      <c r="H195">
        <v>1424.9</v>
      </c>
      <c r="I195">
        <v>9.32</v>
      </c>
    </row>
    <row r="196" spans="1:9" x14ac:dyDescent="0.3">
      <c r="A196">
        <v>195</v>
      </c>
      <c r="B196" s="2">
        <v>45167</v>
      </c>
      <c r="C196" t="s">
        <v>346</v>
      </c>
      <c r="D196" t="s">
        <v>466</v>
      </c>
      <c r="E196">
        <v>922</v>
      </c>
      <c r="F196">
        <v>15027</v>
      </c>
      <c r="G196">
        <v>53</v>
      </c>
      <c r="H196">
        <v>3244.11</v>
      </c>
      <c r="I196">
        <v>-0.18</v>
      </c>
    </row>
    <row r="197" spans="1:9" x14ac:dyDescent="0.3">
      <c r="A197">
        <v>196</v>
      </c>
      <c r="B197" s="2">
        <v>45269</v>
      </c>
      <c r="C197" t="s">
        <v>340</v>
      </c>
      <c r="D197" t="s">
        <v>480</v>
      </c>
      <c r="E197">
        <v>1227</v>
      </c>
      <c r="F197">
        <v>4167</v>
      </c>
      <c r="G197">
        <v>218</v>
      </c>
      <c r="H197">
        <v>7099.07</v>
      </c>
      <c r="I197">
        <v>0.54</v>
      </c>
    </row>
    <row r="198" spans="1:9" x14ac:dyDescent="0.3">
      <c r="A198">
        <v>197</v>
      </c>
      <c r="B198" s="2">
        <v>45047</v>
      </c>
      <c r="C198" t="s">
        <v>342</v>
      </c>
      <c r="D198" t="s">
        <v>481</v>
      </c>
      <c r="E198">
        <v>867</v>
      </c>
      <c r="F198">
        <v>15087</v>
      </c>
      <c r="G198">
        <v>161</v>
      </c>
      <c r="H198">
        <v>9315.7800000000007</v>
      </c>
      <c r="I198">
        <v>-0.14000000000000001</v>
      </c>
    </row>
    <row r="199" spans="1:9" x14ac:dyDescent="0.3">
      <c r="A199">
        <v>198</v>
      </c>
      <c r="B199" s="2">
        <v>45026</v>
      </c>
      <c r="C199" t="s">
        <v>342</v>
      </c>
      <c r="D199" t="s">
        <v>482</v>
      </c>
      <c r="E199">
        <v>1692</v>
      </c>
      <c r="F199">
        <v>33402</v>
      </c>
      <c r="G199">
        <v>141</v>
      </c>
      <c r="H199">
        <v>8442.85</v>
      </c>
      <c r="I199">
        <v>-0.16</v>
      </c>
    </row>
    <row r="200" spans="1:9" x14ac:dyDescent="0.3">
      <c r="A200">
        <v>199</v>
      </c>
      <c r="B200" s="2">
        <v>45124</v>
      </c>
      <c r="C200" t="s">
        <v>37</v>
      </c>
      <c r="D200" t="s">
        <v>348</v>
      </c>
      <c r="E200">
        <v>960</v>
      </c>
      <c r="F200">
        <v>26394</v>
      </c>
      <c r="G200">
        <v>145</v>
      </c>
      <c r="H200">
        <v>4281.6099999999997</v>
      </c>
      <c r="I200">
        <v>0.69</v>
      </c>
    </row>
    <row r="201" spans="1:9" x14ac:dyDescent="0.3">
      <c r="A201">
        <v>200</v>
      </c>
      <c r="B201" s="2">
        <v>45242</v>
      </c>
      <c r="C201" t="s">
        <v>37</v>
      </c>
      <c r="D201" t="s">
        <v>483</v>
      </c>
      <c r="E201">
        <v>1641</v>
      </c>
      <c r="F201">
        <v>45452</v>
      </c>
      <c r="G201">
        <v>190</v>
      </c>
      <c r="H201">
        <v>518.69000000000005</v>
      </c>
      <c r="I201">
        <v>17.32</v>
      </c>
    </row>
    <row r="202" spans="1:9" x14ac:dyDescent="0.3">
      <c r="A202">
        <v>201</v>
      </c>
      <c r="B202" s="2">
        <v>45161</v>
      </c>
      <c r="C202" t="s">
        <v>342</v>
      </c>
      <c r="D202" t="s">
        <v>484</v>
      </c>
      <c r="E202">
        <v>1802</v>
      </c>
      <c r="F202">
        <v>24478</v>
      </c>
      <c r="G202">
        <v>179</v>
      </c>
      <c r="H202">
        <v>1752.84</v>
      </c>
      <c r="I202">
        <v>4.1100000000000003</v>
      </c>
    </row>
    <row r="203" spans="1:9" x14ac:dyDescent="0.3">
      <c r="A203">
        <v>202</v>
      </c>
      <c r="B203" s="2">
        <v>45207</v>
      </c>
      <c r="C203" t="s">
        <v>349</v>
      </c>
      <c r="D203" t="s">
        <v>477</v>
      </c>
      <c r="E203">
        <v>1174</v>
      </c>
      <c r="F203">
        <v>25427</v>
      </c>
      <c r="G203">
        <v>15</v>
      </c>
      <c r="H203">
        <v>9512.65</v>
      </c>
      <c r="I203">
        <v>-0.92</v>
      </c>
    </row>
    <row r="204" spans="1:9" x14ac:dyDescent="0.3">
      <c r="A204">
        <v>203</v>
      </c>
      <c r="B204" s="2">
        <v>45224</v>
      </c>
      <c r="C204" t="s">
        <v>37</v>
      </c>
      <c r="D204" t="s">
        <v>485</v>
      </c>
      <c r="E204">
        <v>1786</v>
      </c>
      <c r="F204">
        <v>13820</v>
      </c>
      <c r="G204">
        <v>215</v>
      </c>
      <c r="H204">
        <v>6477.08</v>
      </c>
      <c r="I204">
        <v>0.66</v>
      </c>
    </row>
    <row r="205" spans="1:9" x14ac:dyDescent="0.3">
      <c r="A205">
        <v>204</v>
      </c>
      <c r="B205" s="2">
        <v>45281</v>
      </c>
      <c r="C205" t="s">
        <v>346</v>
      </c>
      <c r="D205" t="s">
        <v>486</v>
      </c>
      <c r="E205">
        <v>1174</v>
      </c>
      <c r="F205">
        <v>23005</v>
      </c>
      <c r="G205">
        <v>32</v>
      </c>
      <c r="H205">
        <v>8671.6200000000008</v>
      </c>
      <c r="I205">
        <v>-0.82</v>
      </c>
    </row>
    <row r="206" spans="1:9" x14ac:dyDescent="0.3">
      <c r="A206">
        <v>205</v>
      </c>
      <c r="B206" s="2">
        <v>45162</v>
      </c>
      <c r="C206" t="s">
        <v>349</v>
      </c>
      <c r="D206" t="s">
        <v>470</v>
      </c>
      <c r="E206">
        <v>1569</v>
      </c>
      <c r="F206">
        <v>23161</v>
      </c>
      <c r="G206">
        <v>260</v>
      </c>
      <c r="H206">
        <v>3750.2</v>
      </c>
      <c r="I206">
        <v>2.4700000000000002</v>
      </c>
    </row>
    <row r="207" spans="1:9" x14ac:dyDescent="0.3">
      <c r="A207">
        <v>206</v>
      </c>
      <c r="B207" s="2">
        <v>45026</v>
      </c>
      <c r="C207" t="s">
        <v>340</v>
      </c>
      <c r="D207" t="s">
        <v>487</v>
      </c>
      <c r="E207">
        <v>941</v>
      </c>
      <c r="F207">
        <v>39342</v>
      </c>
      <c r="G207">
        <v>17</v>
      </c>
      <c r="H207">
        <v>4223.3900000000003</v>
      </c>
      <c r="I207">
        <v>-0.8</v>
      </c>
    </row>
    <row r="208" spans="1:9" x14ac:dyDescent="0.3">
      <c r="A208">
        <v>207</v>
      </c>
      <c r="B208" s="2">
        <v>45236</v>
      </c>
      <c r="C208" t="s">
        <v>349</v>
      </c>
      <c r="D208" t="s">
        <v>377</v>
      </c>
      <c r="E208">
        <v>947</v>
      </c>
      <c r="F208">
        <v>16887</v>
      </c>
      <c r="G208">
        <v>141</v>
      </c>
      <c r="H208">
        <v>6607.8</v>
      </c>
      <c r="I208">
        <v>7.0000000000000007E-2</v>
      </c>
    </row>
    <row r="209" spans="1:9" x14ac:dyDescent="0.3">
      <c r="A209">
        <v>208</v>
      </c>
      <c r="B209" s="2">
        <v>45142</v>
      </c>
      <c r="C209" t="s">
        <v>342</v>
      </c>
      <c r="D209" t="s">
        <v>343</v>
      </c>
      <c r="E209">
        <v>1173</v>
      </c>
      <c r="F209">
        <v>11860</v>
      </c>
      <c r="G209">
        <v>177</v>
      </c>
      <c r="H209">
        <v>455.79</v>
      </c>
      <c r="I209">
        <v>18.420000000000002</v>
      </c>
    </row>
    <row r="210" spans="1:9" x14ac:dyDescent="0.3">
      <c r="A210">
        <v>209</v>
      </c>
      <c r="B210" s="2">
        <v>45252</v>
      </c>
      <c r="C210" t="s">
        <v>342</v>
      </c>
      <c r="D210" t="s">
        <v>425</v>
      </c>
      <c r="E210">
        <v>1336</v>
      </c>
      <c r="F210">
        <v>31499</v>
      </c>
      <c r="G210">
        <v>278</v>
      </c>
      <c r="H210">
        <v>7397.26</v>
      </c>
      <c r="I210">
        <v>0.88</v>
      </c>
    </row>
    <row r="211" spans="1:9" x14ac:dyDescent="0.3">
      <c r="A211">
        <v>210</v>
      </c>
      <c r="B211" s="2">
        <v>44991</v>
      </c>
      <c r="C211" t="s">
        <v>37</v>
      </c>
      <c r="D211" t="s">
        <v>369</v>
      </c>
      <c r="E211">
        <v>989</v>
      </c>
      <c r="F211">
        <v>20604</v>
      </c>
      <c r="G211">
        <v>32</v>
      </c>
      <c r="H211">
        <v>7160.75</v>
      </c>
      <c r="I211">
        <v>-0.78</v>
      </c>
    </row>
    <row r="212" spans="1:9" x14ac:dyDescent="0.3">
      <c r="A212">
        <v>211</v>
      </c>
      <c r="B212" s="2">
        <v>45239</v>
      </c>
      <c r="C212" t="s">
        <v>346</v>
      </c>
      <c r="D212" t="s">
        <v>411</v>
      </c>
      <c r="E212">
        <v>1606</v>
      </c>
      <c r="F212">
        <v>45283</v>
      </c>
      <c r="G212">
        <v>239</v>
      </c>
      <c r="H212">
        <v>3741.08</v>
      </c>
      <c r="I212">
        <v>2.19</v>
      </c>
    </row>
    <row r="213" spans="1:9" x14ac:dyDescent="0.3">
      <c r="A213">
        <v>212</v>
      </c>
      <c r="B213" s="2">
        <v>45229</v>
      </c>
      <c r="C213" t="s">
        <v>340</v>
      </c>
      <c r="D213" t="s">
        <v>404</v>
      </c>
      <c r="E213">
        <v>167</v>
      </c>
      <c r="F213">
        <v>11293</v>
      </c>
      <c r="G213">
        <v>142</v>
      </c>
      <c r="H213">
        <v>5483.68</v>
      </c>
      <c r="I213">
        <v>0.28999999999999998</v>
      </c>
    </row>
    <row r="214" spans="1:9" x14ac:dyDescent="0.3">
      <c r="A214">
        <v>213</v>
      </c>
      <c r="B214" s="2">
        <v>45184</v>
      </c>
      <c r="C214" t="s">
        <v>346</v>
      </c>
      <c r="D214" t="s">
        <v>405</v>
      </c>
      <c r="E214">
        <v>607</v>
      </c>
      <c r="F214">
        <v>29172</v>
      </c>
      <c r="G214">
        <v>169</v>
      </c>
      <c r="H214">
        <v>9119.58</v>
      </c>
      <c r="I214">
        <v>-7.0000000000000007E-2</v>
      </c>
    </row>
    <row r="215" spans="1:9" x14ac:dyDescent="0.3">
      <c r="A215">
        <v>214</v>
      </c>
      <c r="B215" s="2">
        <v>45037</v>
      </c>
      <c r="C215" t="s">
        <v>37</v>
      </c>
      <c r="D215" t="s">
        <v>488</v>
      </c>
      <c r="E215">
        <v>1922</v>
      </c>
      <c r="F215">
        <v>40779</v>
      </c>
      <c r="G215">
        <v>142</v>
      </c>
      <c r="H215">
        <v>411.08</v>
      </c>
      <c r="I215">
        <v>16.27</v>
      </c>
    </row>
    <row r="216" spans="1:9" x14ac:dyDescent="0.3">
      <c r="A216">
        <v>215</v>
      </c>
      <c r="B216" s="2">
        <v>45154</v>
      </c>
      <c r="C216" t="s">
        <v>37</v>
      </c>
      <c r="D216" t="s">
        <v>339</v>
      </c>
      <c r="E216">
        <v>66</v>
      </c>
      <c r="F216">
        <v>37021</v>
      </c>
      <c r="G216">
        <v>28</v>
      </c>
      <c r="H216">
        <v>7276.08</v>
      </c>
      <c r="I216">
        <v>-0.81</v>
      </c>
    </row>
    <row r="217" spans="1:9" x14ac:dyDescent="0.3">
      <c r="A217">
        <v>216</v>
      </c>
      <c r="B217" s="2">
        <v>45101</v>
      </c>
      <c r="C217" t="s">
        <v>340</v>
      </c>
      <c r="D217" t="s">
        <v>379</v>
      </c>
      <c r="E217">
        <v>279</v>
      </c>
      <c r="F217">
        <v>45864</v>
      </c>
      <c r="G217">
        <v>123</v>
      </c>
      <c r="H217">
        <v>7762.51</v>
      </c>
      <c r="I217">
        <v>-0.21</v>
      </c>
    </row>
    <row r="218" spans="1:9" x14ac:dyDescent="0.3">
      <c r="A218">
        <v>217</v>
      </c>
      <c r="B218" s="2">
        <v>45107</v>
      </c>
      <c r="C218" t="s">
        <v>342</v>
      </c>
      <c r="D218" t="s">
        <v>354</v>
      </c>
      <c r="E218">
        <v>153</v>
      </c>
      <c r="F218">
        <v>12867</v>
      </c>
      <c r="G218">
        <v>190</v>
      </c>
      <c r="H218">
        <v>8585.58</v>
      </c>
      <c r="I218">
        <v>0.11</v>
      </c>
    </row>
    <row r="219" spans="1:9" x14ac:dyDescent="0.3">
      <c r="A219">
        <v>218</v>
      </c>
      <c r="B219" s="2">
        <v>45060</v>
      </c>
      <c r="C219" t="s">
        <v>346</v>
      </c>
      <c r="D219" t="s">
        <v>374</v>
      </c>
      <c r="E219">
        <v>1772</v>
      </c>
      <c r="F219">
        <v>49861</v>
      </c>
      <c r="G219">
        <v>237</v>
      </c>
      <c r="H219">
        <v>1290.05</v>
      </c>
      <c r="I219">
        <v>8.19</v>
      </c>
    </row>
    <row r="220" spans="1:9" x14ac:dyDescent="0.3">
      <c r="A220">
        <v>219</v>
      </c>
      <c r="B220" s="2">
        <v>44933</v>
      </c>
      <c r="C220" t="s">
        <v>340</v>
      </c>
      <c r="D220" t="s">
        <v>358</v>
      </c>
      <c r="E220">
        <v>1809</v>
      </c>
      <c r="F220">
        <v>18908</v>
      </c>
      <c r="G220">
        <v>157</v>
      </c>
      <c r="H220">
        <v>7754.1</v>
      </c>
      <c r="I220">
        <v>0.01</v>
      </c>
    </row>
    <row r="221" spans="1:9" x14ac:dyDescent="0.3">
      <c r="A221">
        <v>220</v>
      </c>
      <c r="B221" s="2">
        <v>45061</v>
      </c>
      <c r="C221" t="s">
        <v>342</v>
      </c>
      <c r="D221" t="s">
        <v>416</v>
      </c>
      <c r="E221">
        <v>1601</v>
      </c>
      <c r="F221">
        <v>34487</v>
      </c>
      <c r="G221">
        <v>47</v>
      </c>
      <c r="H221">
        <v>6663.77</v>
      </c>
      <c r="I221">
        <v>-0.65</v>
      </c>
    </row>
    <row r="222" spans="1:9" x14ac:dyDescent="0.3">
      <c r="A222">
        <v>221</v>
      </c>
      <c r="B222" s="2">
        <v>45151</v>
      </c>
      <c r="C222" t="s">
        <v>340</v>
      </c>
      <c r="D222" t="s">
        <v>489</v>
      </c>
      <c r="E222">
        <v>672</v>
      </c>
      <c r="F222">
        <v>21936</v>
      </c>
      <c r="G222">
        <v>164</v>
      </c>
      <c r="H222">
        <v>8995.75</v>
      </c>
      <c r="I222">
        <v>-0.09</v>
      </c>
    </row>
    <row r="223" spans="1:9" x14ac:dyDescent="0.3">
      <c r="A223">
        <v>222</v>
      </c>
      <c r="B223" s="2">
        <v>45058</v>
      </c>
      <c r="C223" t="s">
        <v>37</v>
      </c>
      <c r="D223" t="s">
        <v>490</v>
      </c>
      <c r="E223">
        <v>778</v>
      </c>
      <c r="F223">
        <v>29151</v>
      </c>
      <c r="G223">
        <v>49</v>
      </c>
      <c r="H223">
        <v>4040.25</v>
      </c>
      <c r="I223">
        <v>-0.39</v>
      </c>
    </row>
    <row r="224" spans="1:9" x14ac:dyDescent="0.3">
      <c r="A224">
        <v>223</v>
      </c>
      <c r="B224" s="2">
        <v>45131</v>
      </c>
      <c r="C224" t="s">
        <v>37</v>
      </c>
      <c r="D224" t="s">
        <v>464</v>
      </c>
      <c r="E224">
        <v>244</v>
      </c>
      <c r="F224">
        <v>29572</v>
      </c>
      <c r="G224">
        <v>161</v>
      </c>
      <c r="H224">
        <v>2541.38</v>
      </c>
      <c r="I224">
        <v>2.17</v>
      </c>
    </row>
    <row r="225" spans="1:9" x14ac:dyDescent="0.3">
      <c r="A225">
        <v>224</v>
      </c>
      <c r="B225" s="2">
        <v>45030</v>
      </c>
      <c r="C225" t="s">
        <v>340</v>
      </c>
      <c r="D225" t="s">
        <v>408</v>
      </c>
      <c r="E225">
        <v>1197</v>
      </c>
      <c r="F225">
        <v>40382</v>
      </c>
      <c r="G225">
        <v>222</v>
      </c>
      <c r="H225">
        <v>5863.87</v>
      </c>
      <c r="I225">
        <v>0.89</v>
      </c>
    </row>
    <row r="226" spans="1:9" x14ac:dyDescent="0.3">
      <c r="A226">
        <v>225</v>
      </c>
      <c r="B226" s="2">
        <v>45257</v>
      </c>
      <c r="C226" t="s">
        <v>349</v>
      </c>
      <c r="D226" t="s">
        <v>375</v>
      </c>
      <c r="E226">
        <v>680</v>
      </c>
      <c r="F226">
        <v>12908</v>
      </c>
      <c r="G226">
        <v>100</v>
      </c>
      <c r="H226">
        <v>6544.48</v>
      </c>
      <c r="I226">
        <v>-0.24</v>
      </c>
    </row>
    <row r="227" spans="1:9" x14ac:dyDescent="0.3">
      <c r="A227">
        <v>226</v>
      </c>
      <c r="B227" s="2">
        <v>45125</v>
      </c>
      <c r="C227" t="s">
        <v>37</v>
      </c>
      <c r="D227" t="s">
        <v>491</v>
      </c>
      <c r="E227">
        <v>1873</v>
      </c>
      <c r="F227">
        <v>17616</v>
      </c>
      <c r="G227">
        <v>21</v>
      </c>
      <c r="H227">
        <v>2331.27</v>
      </c>
      <c r="I227">
        <v>-0.55000000000000004</v>
      </c>
    </row>
    <row r="228" spans="1:9" x14ac:dyDescent="0.3">
      <c r="A228">
        <v>227</v>
      </c>
      <c r="B228" s="2">
        <v>45227</v>
      </c>
      <c r="C228" t="s">
        <v>342</v>
      </c>
      <c r="D228" t="s">
        <v>372</v>
      </c>
      <c r="E228">
        <v>1514</v>
      </c>
      <c r="F228">
        <v>33793</v>
      </c>
      <c r="G228">
        <v>29</v>
      </c>
      <c r="H228">
        <v>7835.09</v>
      </c>
      <c r="I228">
        <v>-0.81</v>
      </c>
    </row>
    <row r="229" spans="1:9" x14ac:dyDescent="0.3">
      <c r="A229">
        <v>228</v>
      </c>
      <c r="B229" s="2">
        <v>44994</v>
      </c>
      <c r="C229" t="s">
        <v>346</v>
      </c>
      <c r="D229" t="s">
        <v>385</v>
      </c>
      <c r="E229">
        <v>316</v>
      </c>
      <c r="F229">
        <v>42420</v>
      </c>
      <c r="G229">
        <v>185</v>
      </c>
      <c r="H229">
        <v>5319.93</v>
      </c>
      <c r="I229">
        <v>0.74</v>
      </c>
    </row>
    <row r="230" spans="1:9" x14ac:dyDescent="0.3">
      <c r="A230">
        <v>229</v>
      </c>
      <c r="B230" s="2">
        <v>45028</v>
      </c>
      <c r="C230" t="s">
        <v>346</v>
      </c>
      <c r="D230" t="s">
        <v>387</v>
      </c>
      <c r="E230">
        <v>912</v>
      </c>
      <c r="F230">
        <v>9682</v>
      </c>
      <c r="G230">
        <v>53</v>
      </c>
      <c r="H230">
        <v>9479.2099999999991</v>
      </c>
      <c r="I230">
        <v>-0.72</v>
      </c>
    </row>
    <row r="231" spans="1:9" x14ac:dyDescent="0.3">
      <c r="A231">
        <v>230</v>
      </c>
      <c r="B231" s="2">
        <v>45100</v>
      </c>
      <c r="C231" t="s">
        <v>37</v>
      </c>
      <c r="D231" t="s">
        <v>406</v>
      </c>
      <c r="E231">
        <v>1511</v>
      </c>
      <c r="F231">
        <v>10915</v>
      </c>
      <c r="G231">
        <v>61</v>
      </c>
      <c r="H231">
        <v>8912.4</v>
      </c>
      <c r="I231">
        <v>-0.66</v>
      </c>
    </row>
    <row r="232" spans="1:9" x14ac:dyDescent="0.3">
      <c r="A232">
        <v>231</v>
      </c>
      <c r="B232" s="2">
        <v>45287</v>
      </c>
      <c r="C232" t="s">
        <v>346</v>
      </c>
      <c r="D232" t="s">
        <v>347</v>
      </c>
      <c r="E232">
        <v>1826</v>
      </c>
      <c r="F232">
        <v>17241</v>
      </c>
      <c r="G232">
        <v>9</v>
      </c>
      <c r="H232">
        <v>5023.3900000000003</v>
      </c>
      <c r="I232">
        <v>-0.91</v>
      </c>
    </row>
    <row r="233" spans="1:9" x14ac:dyDescent="0.3">
      <c r="A233">
        <v>232</v>
      </c>
      <c r="B233" s="2">
        <v>44987</v>
      </c>
      <c r="C233" t="s">
        <v>37</v>
      </c>
      <c r="D233" t="s">
        <v>410</v>
      </c>
      <c r="E233">
        <v>297</v>
      </c>
      <c r="F233">
        <v>35464</v>
      </c>
      <c r="G233">
        <v>230</v>
      </c>
      <c r="H233">
        <v>2494.7399999999998</v>
      </c>
      <c r="I233">
        <v>3.61</v>
      </c>
    </row>
    <row r="234" spans="1:9" x14ac:dyDescent="0.3">
      <c r="A234">
        <v>233</v>
      </c>
      <c r="B234" s="2">
        <v>45136</v>
      </c>
      <c r="C234" t="s">
        <v>349</v>
      </c>
      <c r="D234" t="s">
        <v>350</v>
      </c>
      <c r="E234">
        <v>1631</v>
      </c>
      <c r="F234">
        <v>28076</v>
      </c>
      <c r="G234">
        <v>298</v>
      </c>
      <c r="H234">
        <v>9293.74</v>
      </c>
      <c r="I234">
        <v>0.6</v>
      </c>
    </row>
    <row r="235" spans="1:9" x14ac:dyDescent="0.3">
      <c r="A235">
        <v>234</v>
      </c>
      <c r="B235" s="2">
        <v>44932</v>
      </c>
      <c r="C235" t="s">
        <v>342</v>
      </c>
      <c r="D235" t="s">
        <v>492</v>
      </c>
      <c r="E235">
        <v>763</v>
      </c>
      <c r="F235">
        <v>44309</v>
      </c>
      <c r="G235">
        <v>227</v>
      </c>
      <c r="H235">
        <v>534.61</v>
      </c>
      <c r="I235">
        <v>20.23</v>
      </c>
    </row>
    <row r="236" spans="1:9" x14ac:dyDescent="0.3">
      <c r="A236">
        <v>235</v>
      </c>
      <c r="B236" s="2">
        <v>45135</v>
      </c>
      <c r="C236" t="s">
        <v>340</v>
      </c>
      <c r="D236" t="s">
        <v>480</v>
      </c>
      <c r="E236">
        <v>569</v>
      </c>
      <c r="F236">
        <v>12691</v>
      </c>
      <c r="G236">
        <v>239</v>
      </c>
      <c r="H236">
        <v>6776.05</v>
      </c>
      <c r="I236">
        <v>0.76</v>
      </c>
    </row>
    <row r="237" spans="1:9" x14ac:dyDescent="0.3">
      <c r="A237">
        <v>236</v>
      </c>
      <c r="B237" s="2">
        <v>45082</v>
      </c>
      <c r="C237" t="s">
        <v>37</v>
      </c>
      <c r="D237" t="s">
        <v>483</v>
      </c>
      <c r="E237">
        <v>380</v>
      </c>
      <c r="F237">
        <v>27956</v>
      </c>
      <c r="G237">
        <v>54</v>
      </c>
      <c r="H237">
        <v>8552.4699999999993</v>
      </c>
      <c r="I237">
        <v>-0.68</v>
      </c>
    </row>
    <row r="238" spans="1:9" x14ac:dyDescent="0.3">
      <c r="A238">
        <v>237</v>
      </c>
      <c r="B238" s="2">
        <v>45178</v>
      </c>
      <c r="C238" t="s">
        <v>349</v>
      </c>
      <c r="D238" t="s">
        <v>493</v>
      </c>
      <c r="E238">
        <v>1655</v>
      </c>
      <c r="F238">
        <v>29328</v>
      </c>
      <c r="G238">
        <v>276</v>
      </c>
      <c r="H238">
        <v>6401.73</v>
      </c>
      <c r="I238">
        <v>1.1599999999999999</v>
      </c>
    </row>
    <row r="239" spans="1:9" x14ac:dyDescent="0.3">
      <c r="A239">
        <v>238</v>
      </c>
      <c r="B239" s="2">
        <v>45258</v>
      </c>
      <c r="C239" t="s">
        <v>349</v>
      </c>
      <c r="D239" t="s">
        <v>494</v>
      </c>
      <c r="E239">
        <v>745</v>
      </c>
      <c r="F239">
        <v>31527</v>
      </c>
      <c r="G239">
        <v>191</v>
      </c>
      <c r="H239">
        <v>9813.32</v>
      </c>
      <c r="I239">
        <v>-0.03</v>
      </c>
    </row>
    <row r="240" spans="1:9" x14ac:dyDescent="0.3">
      <c r="A240">
        <v>239</v>
      </c>
      <c r="B240" s="2">
        <v>45034</v>
      </c>
      <c r="C240" t="s">
        <v>37</v>
      </c>
      <c r="D240" t="s">
        <v>410</v>
      </c>
      <c r="E240">
        <v>406</v>
      </c>
      <c r="F240">
        <v>40954</v>
      </c>
      <c r="G240">
        <v>158</v>
      </c>
      <c r="H240">
        <v>240.48</v>
      </c>
      <c r="I240">
        <v>31.85</v>
      </c>
    </row>
    <row r="241" spans="1:9" x14ac:dyDescent="0.3">
      <c r="A241">
        <v>240</v>
      </c>
      <c r="B241" s="2">
        <v>45171</v>
      </c>
      <c r="C241" t="s">
        <v>346</v>
      </c>
      <c r="D241" t="s">
        <v>448</v>
      </c>
      <c r="E241">
        <v>1644</v>
      </c>
      <c r="F241">
        <v>29001</v>
      </c>
      <c r="G241">
        <v>277</v>
      </c>
      <c r="H241">
        <v>9605.34</v>
      </c>
      <c r="I241">
        <v>0.44</v>
      </c>
    </row>
    <row r="242" spans="1:9" x14ac:dyDescent="0.3">
      <c r="A242">
        <v>241</v>
      </c>
      <c r="B242" s="2">
        <v>44934</v>
      </c>
      <c r="C242" t="s">
        <v>346</v>
      </c>
      <c r="D242" t="s">
        <v>495</v>
      </c>
      <c r="E242">
        <v>499</v>
      </c>
      <c r="F242">
        <v>6366</v>
      </c>
      <c r="G242">
        <v>12</v>
      </c>
      <c r="H242">
        <v>1700.55</v>
      </c>
      <c r="I242">
        <v>-0.65</v>
      </c>
    </row>
    <row r="243" spans="1:9" x14ac:dyDescent="0.3">
      <c r="A243">
        <v>242</v>
      </c>
      <c r="B243" s="2">
        <v>44965</v>
      </c>
      <c r="C243" t="s">
        <v>37</v>
      </c>
      <c r="D243" t="s">
        <v>485</v>
      </c>
      <c r="E243">
        <v>1425</v>
      </c>
      <c r="F243">
        <v>11211</v>
      </c>
      <c r="G243">
        <v>98</v>
      </c>
      <c r="H243">
        <v>6442.09</v>
      </c>
      <c r="I243">
        <v>-0.24</v>
      </c>
    </row>
    <row r="244" spans="1:9" x14ac:dyDescent="0.3">
      <c r="A244">
        <v>243</v>
      </c>
      <c r="B244" s="2">
        <v>45019</v>
      </c>
      <c r="C244" t="s">
        <v>37</v>
      </c>
      <c r="D244" t="s">
        <v>496</v>
      </c>
      <c r="E244">
        <v>236</v>
      </c>
      <c r="F244">
        <v>37435</v>
      </c>
      <c r="G244">
        <v>92</v>
      </c>
      <c r="H244">
        <v>7659.43</v>
      </c>
      <c r="I244">
        <v>-0.4</v>
      </c>
    </row>
    <row r="245" spans="1:9" x14ac:dyDescent="0.3">
      <c r="A245">
        <v>244</v>
      </c>
      <c r="B245" s="2">
        <v>45082</v>
      </c>
      <c r="C245" t="s">
        <v>349</v>
      </c>
      <c r="D245" t="s">
        <v>497</v>
      </c>
      <c r="E245">
        <v>1117</v>
      </c>
      <c r="F245">
        <v>13424</v>
      </c>
      <c r="G245">
        <v>78</v>
      </c>
      <c r="H245">
        <v>7865.77</v>
      </c>
      <c r="I245">
        <v>-0.5</v>
      </c>
    </row>
    <row r="246" spans="1:9" x14ac:dyDescent="0.3">
      <c r="A246">
        <v>245</v>
      </c>
      <c r="B246" s="2">
        <v>45286</v>
      </c>
      <c r="C246" t="s">
        <v>340</v>
      </c>
      <c r="D246" t="s">
        <v>498</v>
      </c>
      <c r="E246">
        <v>1328</v>
      </c>
      <c r="F246">
        <v>44178</v>
      </c>
      <c r="G246">
        <v>220</v>
      </c>
      <c r="H246">
        <v>8099.98</v>
      </c>
      <c r="I246">
        <v>0.36</v>
      </c>
    </row>
    <row r="247" spans="1:9" x14ac:dyDescent="0.3">
      <c r="A247">
        <v>246</v>
      </c>
      <c r="B247" s="2">
        <v>45081</v>
      </c>
      <c r="C247" t="s">
        <v>340</v>
      </c>
      <c r="D247" t="s">
        <v>499</v>
      </c>
      <c r="E247">
        <v>1640</v>
      </c>
      <c r="F247">
        <v>44463</v>
      </c>
      <c r="G247">
        <v>95</v>
      </c>
      <c r="H247">
        <v>2612.83</v>
      </c>
      <c r="I247">
        <v>0.82</v>
      </c>
    </row>
    <row r="248" spans="1:9" x14ac:dyDescent="0.3">
      <c r="A248">
        <v>247</v>
      </c>
      <c r="B248" s="2">
        <v>45154</v>
      </c>
      <c r="C248" t="s">
        <v>346</v>
      </c>
      <c r="D248" t="s">
        <v>448</v>
      </c>
      <c r="E248">
        <v>1524</v>
      </c>
      <c r="F248">
        <v>21331</v>
      </c>
      <c r="G248">
        <v>145</v>
      </c>
      <c r="H248">
        <v>104.38</v>
      </c>
      <c r="I248">
        <v>68.459999999999994</v>
      </c>
    </row>
    <row r="249" spans="1:9" x14ac:dyDescent="0.3">
      <c r="A249">
        <v>248</v>
      </c>
      <c r="B249" s="2">
        <v>45055</v>
      </c>
      <c r="C249" t="s">
        <v>346</v>
      </c>
      <c r="D249" t="s">
        <v>449</v>
      </c>
      <c r="E249">
        <v>1511</v>
      </c>
      <c r="F249">
        <v>41695</v>
      </c>
      <c r="G249">
        <v>251</v>
      </c>
      <c r="H249">
        <v>9203.36</v>
      </c>
      <c r="I249">
        <v>0.36</v>
      </c>
    </row>
    <row r="250" spans="1:9" x14ac:dyDescent="0.3">
      <c r="A250">
        <v>249</v>
      </c>
      <c r="B250" s="2">
        <v>45043</v>
      </c>
      <c r="C250" t="s">
        <v>37</v>
      </c>
      <c r="D250" t="s">
        <v>361</v>
      </c>
      <c r="E250">
        <v>650</v>
      </c>
      <c r="F250">
        <v>28228</v>
      </c>
      <c r="G250">
        <v>245</v>
      </c>
      <c r="H250">
        <v>6390.89</v>
      </c>
      <c r="I250">
        <v>0.92</v>
      </c>
    </row>
    <row r="251" spans="1:9" x14ac:dyDescent="0.3">
      <c r="A251">
        <v>250</v>
      </c>
      <c r="B251" s="2">
        <v>45272</v>
      </c>
      <c r="C251" t="s">
        <v>346</v>
      </c>
      <c r="D251" t="s">
        <v>476</v>
      </c>
      <c r="E251">
        <v>1748</v>
      </c>
      <c r="F251">
        <v>41546</v>
      </c>
      <c r="G251">
        <v>117</v>
      </c>
      <c r="H251">
        <v>4499.22</v>
      </c>
      <c r="I251">
        <v>0.3</v>
      </c>
    </row>
    <row r="252" spans="1:9" x14ac:dyDescent="0.3">
      <c r="A252">
        <v>251</v>
      </c>
      <c r="B252" s="2">
        <v>45107</v>
      </c>
      <c r="C252" t="s">
        <v>342</v>
      </c>
      <c r="D252" t="s">
        <v>492</v>
      </c>
      <c r="E252">
        <v>1090</v>
      </c>
      <c r="F252">
        <v>46740</v>
      </c>
      <c r="G252">
        <v>120</v>
      </c>
      <c r="H252">
        <v>3924.6</v>
      </c>
      <c r="I252">
        <v>0.53</v>
      </c>
    </row>
    <row r="253" spans="1:9" x14ac:dyDescent="0.3">
      <c r="A253">
        <v>252</v>
      </c>
      <c r="B253" s="2">
        <v>45042</v>
      </c>
      <c r="C253" t="s">
        <v>346</v>
      </c>
      <c r="D253" t="s">
        <v>418</v>
      </c>
      <c r="E253">
        <v>1155</v>
      </c>
      <c r="F253">
        <v>16417</v>
      </c>
      <c r="G253">
        <v>158</v>
      </c>
      <c r="H253">
        <v>9190.57</v>
      </c>
      <c r="I253">
        <v>-0.14000000000000001</v>
      </c>
    </row>
    <row r="254" spans="1:9" x14ac:dyDescent="0.3">
      <c r="A254">
        <v>253</v>
      </c>
      <c r="B254" s="2">
        <v>45119</v>
      </c>
      <c r="C254" t="s">
        <v>342</v>
      </c>
      <c r="D254" t="s">
        <v>500</v>
      </c>
      <c r="E254">
        <v>1339</v>
      </c>
      <c r="F254">
        <v>13602</v>
      </c>
      <c r="G254">
        <v>207</v>
      </c>
      <c r="H254">
        <v>7542.54</v>
      </c>
      <c r="I254">
        <v>0.37</v>
      </c>
    </row>
    <row r="255" spans="1:9" x14ac:dyDescent="0.3">
      <c r="A255">
        <v>254</v>
      </c>
      <c r="B255" s="2">
        <v>44994</v>
      </c>
      <c r="C255" t="s">
        <v>340</v>
      </c>
      <c r="D255" t="s">
        <v>469</v>
      </c>
      <c r="E255">
        <v>1351</v>
      </c>
      <c r="F255">
        <v>44361</v>
      </c>
      <c r="G255">
        <v>241</v>
      </c>
      <c r="H255">
        <v>2326.41</v>
      </c>
      <c r="I255">
        <v>4.18</v>
      </c>
    </row>
    <row r="256" spans="1:9" x14ac:dyDescent="0.3">
      <c r="A256">
        <v>255</v>
      </c>
      <c r="B256" s="2">
        <v>45208</v>
      </c>
      <c r="C256" t="s">
        <v>346</v>
      </c>
      <c r="D256" t="s">
        <v>422</v>
      </c>
      <c r="E256">
        <v>1329</v>
      </c>
      <c r="F256">
        <v>3871</v>
      </c>
      <c r="G256">
        <v>153</v>
      </c>
      <c r="H256">
        <v>5215.3100000000004</v>
      </c>
      <c r="I256">
        <v>0.47</v>
      </c>
    </row>
    <row r="257" spans="1:9" x14ac:dyDescent="0.3">
      <c r="A257">
        <v>256</v>
      </c>
      <c r="B257" s="2">
        <v>45253</v>
      </c>
      <c r="C257" t="s">
        <v>346</v>
      </c>
      <c r="D257" t="s">
        <v>385</v>
      </c>
      <c r="E257">
        <v>1182</v>
      </c>
      <c r="F257">
        <v>34467</v>
      </c>
      <c r="G257">
        <v>203</v>
      </c>
      <c r="H257">
        <v>8951.5300000000007</v>
      </c>
      <c r="I257">
        <v>0.13</v>
      </c>
    </row>
    <row r="258" spans="1:9" x14ac:dyDescent="0.3">
      <c r="A258">
        <v>257</v>
      </c>
      <c r="B258" s="2">
        <v>45010</v>
      </c>
      <c r="C258" t="s">
        <v>37</v>
      </c>
      <c r="D258" t="s">
        <v>468</v>
      </c>
      <c r="E258">
        <v>601</v>
      </c>
      <c r="F258">
        <v>8812</v>
      </c>
      <c r="G258">
        <v>136</v>
      </c>
      <c r="H258">
        <v>8249.2900000000009</v>
      </c>
      <c r="I258">
        <v>-0.18</v>
      </c>
    </row>
    <row r="259" spans="1:9" x14ac:dyDescent="0.3">
      <c r="A259">
        <v>258</v>
      </c>
      <c r="B259" s="2">
        <v>45073</v>
      </c>
      <c r="C259" t="s">
        <v>342</v>
      </c>
      <c r="D259" t="s">
        <v>501</v>
      </c>
      <c r="E259">
        <v>803</v>
      </c>
      <c r="F259">
        <v>36948</v>
      </c>
      <c r="G259">
        <v>225</v>
      </c>
      <c r="H259">
        <v>2627.56</v>
      </c>
      <c r="I259">
        <v>3.28</v>
      </c>
    </row>
    <row r="260" spans="1:9" x14ac:dyDescent="0.3">
      <c r="A260">
        <v>259</v>
      </c>
      <c r="B260" s="2">
        <v>45121</v>
      </c>
      <c r="C260" t="s">
        <v>349</v>
      </c>
      <c r="D260" t="s">
        <v>494</v>
      </c>
      <c r="E260">
        <v>664</v>
      </c>
      <c r="F260">
        <v>14869</v>
      </c>
      <c r="G260">
        <v>275</v>
      </c>
      <c r="H260">
        <v>8807.02</v>
      </c>
      <c r="I260">
        <v>0.56000000000000005</v>
      </c>
    </row>
    <row r="261" spans="1:9" x14ac:dyDescent="0.3">
      <c r="A261">
        <v>260</v>
      </c>
      <c r="B261" s="2">
        <v>45090</v>
      </c>
      <c r="C261" t="s">
        <v>340</v>
      </c>
      <c r="D261" t="s">
        <v>378</v>
      </c>
      <c r="E261">
        <v>1353</v>
      </c>
      <c r="F261">
        <v>45314</v>
      </c>
      <c r="G261">
        <v>44</v>
      </c>
      <c r="H261">
        <v>571.65</v>
      </c>
      <c r="I261">
        <v>2.85</v>
      </c>
    </row>
    <row r="262" spans="1:9" x14ac:dyDescent="0.3">
      <c r="A262">
        <v>261</v>
      </c>
      <c r="B262" s="2">
        <v>45107</v>
      </c>
      <c r="C262" t="s">
        <v>349</v>
      </c>
      <c r="D262" t="s">
        <v>403</v>
      </c>
      <c r="E262">
        <v>1609</v>
      </c>
      <c r="F262">
        <v>11775</v>
      </c>
      <c r="G262">
        <v>8</v>
      </c>
      <c r="H262">
        <v>1600.79</v>
      </c>
      <c r="I262">
        <v>-0.75</v>
      </c>
    </row>
    <row r="263" spans="1:9" x14ac:dyDescent="0.3">
      <c r="A263">
        <v>262</v>
      </c>
      <c r="B263" s="2">
        <v>45095</v>
      </c>
      <c r="C263" t="s">
        <v>346</v>
      </c>
      <c r="D263" t="s">
        <v>502</v>
      </c>
      <c r="E263">
        <v>926</v>
      </c>
      <c r="F263">
        <v>17964</v>
      </c>
      <c r="G263">
        <v>258</v>
      </c>
      <c r="H263">
        <v>5512.34</v>
      </c>
      <c r="I263">
        <v>1.34</v>
      </c>
    </row>
    <row r="264" spans="1:9" x14ac:dyDescent="0.3">
      <c r="A264">
        <v>263</v>
      </c>
      <c r="B264" s="2">
        <v>45011</v>
      </c>
      <c r="C264" t="s">
        <v>342</v>
      </c>
      <c r="D264" t="s">
        <v>503</v>
      </c>
      <c r="E264">
        <v>1430</v>
      </c>
      <c r="F264">
        <v>43633</v>
      </c>
      <c r="G264">
        <v>172</v>
      </c>
      <c r="H264">
        <v>2338.64</v>
      </c>
      <c r="I264">
        <v>2.68</v>
      </c>
    </row>
    <row r="265" spans="1:9" x14ac:dyDescent="0.3">
      <c r="A265">
        <v>264</v>
      </c>
      <c r="B265" s="2">
        <v>45165</v>
      </c>
      <c r="C265" t="s">
        <v>346</v>
      </c>
      <c r="D265" t="s">
        <v>419</v>
      </c>
      <c r="E265">
        <v>1588</v>
      </c>
      <c r="F265">
        <v>39578</v>
      </c>
      <c r="G265">
        <v>42</v>
      </c>
      <c r="H265">
        <v>7344.07</v>
      </c>
      <c r="I265">
        <v>-0.71</v>
      </c>
    </row>
    <row r="266" spans="1:9" x14ac:dyDescent="0.3">
      <c r="A266">
        <v>265</v>
      </c>
      <c r="B266" s="2">
        <v>44951</v>
      </c>
      <c r="C266" t="s">
        <v>346</v>
      </c>
      <c r="D266" t="s">
        <v>467</v>
      </c>
      <c r="E266">
        <v>1982</v>
      </c>
      <c r="F266">
        <v>28990</v>
      </c>
      <c r="G266">
        <v>34</v>
      </c>
      <c r="H266">
        <v>3320.42</v>
      </c>
      <c r="I266">
        <v>-0.49</v>
      </c>
    </row>
    <row r="267" spans="1:9" x14ac:dyDescent="0.3">
      <c r="A267">
        <v>266</v>
      </c>
      <c r="B267" s="2">
        <v>44973</v>
      </c>
      <c r="C267" t="s">
        <v>340</v>
      </c>
      <c r="D267" t="s">
        <v>504</v>
      </c>
      <c r="E267">
        <v>1484</v>
      </c>
      <c r="F267">
        <v>17589</v>
      </c>
      <c r="G267">
        <v>189</v>
      </c>
      <c r="H267">
        <v>3772.32</v>
      </c>
      <c r="I267">
        <v>1.51</v>
      </c>
    </row>
    <row r="268" spans="1:9" x14ac:dyDescent="0.3">
      <c r="A268">
        <v>267</v>
      </c>
      <c r="B268" s="2">
        <v>45075</v>
      </c>
      <c r="C268" t="s">
        <v>342</v>
      </c>
      <c r="D268" t="s">
        <v>505</v>
      </c>
      <c r="E268">
        <v>1624</v>
      </c>
      <c r="F268">
        <v>28127</v>
      </c>
      <c r="G268">
        <v>26</v>
      </c>
      <c r="H268">
        <v>3992.63</v>
      </c>
      <c r="I268">
        <v>-0.67</v>
      </c>
    </row>
    <row r="269" spans="1:9" x14ac:dyDescent="0.3">
      <c r="A269">
        <v>268</v>
      </c>
      <c r="B269" s="2">
        <v>44958</v>
      </c>
      <c r="C269" t="s">
        <v>340</v>
      </c>
      <c r="D269" t="s">
        <v>359</v>
      </c>
      <c r="E269">
        <v>802</v>
      </c>
      <c r="F269">
        <v>45602</v>
      </c>
      <c r="G269">
        <v>291</v>
      </c>
      <c r="H269">
        <v>7562.91</v>
      </c>
      <c r="I269">
        <v>0.92</v>
      </c>
    </row>
    <row r="270" spans="1:9" x14ac:dyDescent="0.3">
      <c r="A270">
        <v>269</v>
      </c>
      <c r="B270" s="2">
        <v>44936</v>
      </c>
      <c r="C270" t="s">
        <v>37</v>
      </c>
      <c r="D270" t="s">
        <v>353</v>
      </c>
      <c r="E270">
        <v>816</v>
      </c>
      <c r="F270">
        <v>13541</v>
      </c>
      <c r="G270">
        <v>13</v>
      </c>
      <c r="H270">
        <v>2761.58</v>
      </c>
      <c r="I270">
        <v>-0.76</v>
      </c>
    </row>
    <row r="271" spans="1:9" x14ac:dyDescent="0.3">
      <c r="A271">
        <v>270</v>
      </c>
      <c r="B271" s="2">
        <v>45079</v>
      </c>
      <c r="C271" t="s">
        <v>346</v>
      </c>
      <c r="D271" t="s">
        <v>364</v>
      </c>
      <c r="E271">
        <v>554</v>
      </c>
      <c r="F271">
        <v>3832</v>
      </c>
      <c r="G271">
        <v>52</v>
      </c>
      <c r="H271">
        <v>3035.94</v>
      </c>
      <c r="I271">
        <v>-0.14000000000000001</v>
      </c>
    </row>
    <row r="272" spans="1:9" x14ac:dyDescent="0.3">
      <c r="A272">
        <v>271</v>
      </c>
      <c r="B272" s="2">
        <v>45143</v>
      </c>
      <c r="C272" t="s">
        <v>342</v>
      </c>
      <c r="D272" t="s">
        <v>368</v>
      </c>
      <c r="E272">
        <v>918</v>
      </c>
      <c r="F272">
        <v>32845</v>
      </c>
      <c r="G272">
        <v>245</v>
      </c>
      <c r="H272">
        <v>5187.16</v>
      </c>
      <c r="I272">
        <v>1.36</v>
      </c>
    </row>
    <row r="273" spans="1:9" x14ac:dyDescent="0.3">
      <c r="A273">
        <v>272</v>
      </c>
      <c r="B273" s="2">
        <v>45197</v>
      </c>
      <c r="C273" t="s">
        <v>342</v>
      </c>
      <c r="D273" t="s">
        <v>505</v>
      </c>
      <c r="E273">
        <v>1154</v>
      </c>
      <c r="F273">
        <v>11728</v>
      </c>
      <c r="G273">
        <v>92</v>
      </c>
      <c r="H273">
        <v>1674.35</v>
      </c>
      <c r="I273">
        <v>1.75</v>
      </c>
    </row>
    <row r="274" spans="1:9" x14ac:dyDescent="0.3">
      <c r="A274">
        <v>273</v>
      </c>
      <c r="B274" s="2">
        <v>45093</v>
      </c>
      <c r="C274" t="s">
        <v>349</v>
      </c>
      <c r="D274" t="s">
        <v>506</v>
      </c>
      <c r="E274">
        <v>1496</v>
      </c>
      <c r="F274">
        <v>2914</v>
      </c>
      <c r="G274">
        <v>202</v>
      </c>
      <c r="H274">
        <v>9217.85</v>
      </c>
      <c r="I274">
        <v>0.1</v>
      </c>
    </row>
    <row r="275" spans="1:9" x14ac:dyDescent="0.3">
      <c r="A275">
        <v>274</v>
      </c>
      <c r="B275" s="2">
        <v>45067</v>
      </c>
      <c r="C275" t="s">
        <v>340</v>
      </c>
      <c r="D275" t="s">
        <v>469</v>
      </c>
      <c r="E275">
        <v>1491</v>
      </c>
      <c r="F275">
        <v>14050</v>
      </c>
      <c r="G275">
        <v>173</v>
      </c>
      <c r="H275">
        <v>2032.88</v>
      </c>
      <c r="I275">
        <v>3.26</v>
      </c>
    </row>
    <row r="276" spans="1:9" x14ac:dyDescent="0.3">
      <c r="A276">
        <v>275</v>
      </c>
      <c r="B276" s="2">
        <v>44989</v>
      </c>
      <c r="C276" t="s">
        <v>37</v>
      </c>
      <c r="D276" t="s">
        <v>507</v>
      </c>
      <c r="E276">
        <v>311</v>
      </c>
      <c r="F276">
        <v>2363</v>
      </c>
      <c r="G276">
        <v>249</v>
      </c>
      <c r="H276">
        <v>8579.7199999999993</v>
      </c>
      <c r="I276">
        <v>0.45</v>
      </c>
    </row>
    <row r="277" spans="1:9" x14ac:dyDescent="0.3">
      <c r="A277">
        <v>276</v>
      </c>
      <c r="B277" s="2">
        <v>45118</v>
      </c>
      <c r="C277" t="s">
        <v>37</v>
      </c>
      <c r="D277" t="s">
        <v>508</v>
      </c>
      <c r="E277">
        <v>1149</v>
      </c>
      <c r="F277">
        <v>19287</v>
      </c>
      <c r="G277">
        <v>179</v>
      </c>
      <c r="H277">
        <v>4409.71</v>
      </c>
      <c r="I277">
        <v>1.03</v>
      </c>
    </row>
    <row r="278" spans="1:9" x14ac:dyDescent="0.3">
      <c r="A278">
        <v>277</v>
      </c>
      <c r="B278" s="2">
        <v>45278</v>
      </c>
      <c r="C278" t="s">
        <v>346</v>
      </c>
      <c r="D278" t="s">
        <v>439</v>
      </c>
      <c r="E278">
        <v>1922</v>
      </c>
      <c r="F278">
        <v>40874</v>
      </c>
      <c r="G278">
        <v>275</v>
      </c>
      <c r="H278">
        <v>5116.0600000000004</v>
      </c>
      <c r="I278">
        <v>1.69</v>
      </c>
    </row>
    <row r="279" spans="1:9" x14ac:dyDescent="0.3">
      <c r="A279">
        <v>278</v>
      </c>
      <c r="B279" s="2">
        <v>45004</v>
      </c>
      <c r="C279" t="s">
        <v>37</v>
      </c>
      <c r="D279" t="s">
        <v>463</v>
      </c>
      <c r="E279">
        <v>1987</v>
      </c>
      <c r="F279">
        <v>42328</v>
      </c>
      <c r="G279">
        <v>47</v>
      </c>
      <c r="H279">
        <v>8406.07</v>
      </c>
      <c r="I279">
        <v>-0.72</v>
      </c>
    </row>
    <row r="280" spans="1:9" x14ac:dyDescent="0.3">
      <c r="A280">
        <v>279</v>
      </c>
      <c r="B280" s="2">
        <v>45142</v>
      </c>
      <c r="C280" t="s">
        <v>342</v>
      </c>
      <c r="D280" t="s">
        <v>509</v>
      </c>
      <c r="E280">
        <v>1343</v>
      </c>
      <c r="F280">
        <v>5769</v>
      </c>
      <c r="G280">
        <v>193</v>
      </c>
      <c r="H280">
        <v>1065.3900000000001</v>
      </c>
      <c r="I280">
        <v>8.06</v>
      </c>
    </row>
    <row r="281" spans="1:9" x14ac:dyDescent="0.3">
      <c r="A281">
        <v>280</v>
      </c>
      <c r="B281" s="2">
        <v>45119</v>
      </c>
      <c r="C281" t="s">
        <v>37</v>
      </c>
      <c r="D281" t="s">
        <v>510</v>
      </c>
      <c r="E281">
        <v>1924</v>
      </c>
      <c r="F281">
        <v>5997</v>
      </c>
      <c r="G281">
        <v>172</v>
      </c>
      <c r="H281">
        <v>611.52</v>
      </c>
      <c r="I281">
        <v>13.06</v>
      </c>
    </row>
    <row r="282" spans="1:9" x14ac:dyDescent="0.3">
      <c r="A282">
        <v>281</v>
      </c>
      <c r="B282" s="2">
        <v>45073</v>
      </c>
      <c r="C282" t="s">
        <v>346</v>
      </c>
      <c r="D282" t="s">
        <v>422</v>
      </c>
      <c r="E282">
        <v>332</v>
      </c>
      <c r="F282">
        <v>45367</v>
      </c>
      <c r="G282">
        <v>17</v>
      </c>
      <c r="H282">
        <v>9618.98</v>
      </c>
      <c r="I282">
        <v>-0.91</v>
      </c>
    </row>
    <row r="283" spans="1:9" x14ac:dyDescent="0.3">
      <c r="A283">
        <v>282</v>
      </c>
      <c r="B283" s="2">
        <v>45074</v>
      </c>
      <c r="C283" t="s">
        <v>349</v>
      </c>
      <c r="D283" t="s">
        <v>421</v>
      </c>
      <c r="E283">
        <v>1665</v>
      </c>
      <c r="F283">
        <v>5986</v>
      </c>
      <c r="G283">
        <v>47</v>
      </c>
      <c r="H283">
        <v>8666.43</v>
      </c>
      <c r="I283">
        <v>-0.73</v>
      </c>
    </row>
    <row r="284" spans="1:9" x14ac:dyDescent="0.3">
      <c r="A284">
        <v>283</v>
      </c>
      <c r="B284" s="2">
        <v>45239</v>
      </c>
      <c r="C284" t="s">
        <v>37</v>
      </c>
      <c r="D284" t="s">
        <v>452</v>
      </c>
      <c r="E284">
        <v>501</v>
      </c>
      <c r="F284">
        <v>28798</v>
      </c>
      <c r="G284">
        <v>6</v>
      </c>
      <c r="H284">
        <v>8727</v>
      </c>
      <c r="I284">
        <v>-0.97</v>
      </c>
    </row>
    <row r="285" spans="1:9" x14ac:dyDescent="0.3">
      <c r="A285">
        <v>284</v>
      </c>
      <c r="B285" s="2">
        <v>45040</v>
      </c>
      <c r="C285" t="s">
        <v>340</v>
      </c>
      <c r="D285" t="s">
        <v>511</v>
      </c>
      <c r="E285">
        <v>889</v>
      </c>
      <c r="F285">
        <v>44526</v>
      </c>
      <c r="G285">
        <v>210</v>
      </c>
      <c r="H285">
        <v>6286.25</v>
      </c>
      <c r="I285">
        <v>0.67</v>
      </c>
    </row>
    <row r="286" spans="1:9" x14ac:dyDescent="0.3">
      <c r="A286">
        <v>285</v>
      </c>
      <c r="B286" s="2">
        <v>45254</v>
      </c>
      <c r="C286" t="s">
        <v>340</v>
      </c>
      <c r="D286" t="s">
        <v>478</v>
      </c>
      <c r="E286">
        <v>1064</v>
      </c>
      <c r="F286">
        <v>22074</v>
      </c>
      <c r="G286">
        <v>183</v>
      </c>
      <c r="H286">
        <v>220.35</v>
      </c>
      <c r="I286">
        <v>40.520000000000003</v>
      </c>
    </row>
    <row r="287" spans="1:9" x14ac:dyDescent="0.3">
      <c r="A287">
        <v>286</v>
      </c>
      <c r="B287" s="2">
        <v>45209</v>
      </c>
      <c r="C287" t="s">
        <v>340</v>
      </c>
      <c r="D287" t="s">
        <v>512</v>
      </c>
      <c r="E287">
        <v>162</v>
      </c>
      <c r="F287">
        <v>22515</v>
      </c>
      <c r="G287">
        <v>130</v>
      </c>
      <c r="H287">
        <v>3967.75</v>
      </c>
      <c r="I287">
        <v>0.64</v>
      </c>
    </row>
    <row r="288" spans="1:9" x14ac:dyDescent="0.3">
      <c r="A288">
        <v>287</v>
      </c>
      <c r="B288" s="2">
        <v>45260</v>
      </c>
      <c r="C288" t="s">
        <v>37</v>
      </c>
      <c r="D288" t="s">
        <v>384</v>
      </c>
      <c r="E288">
        <v>1474</v>
      </c>
      <c r="F288">
        <v>20552</v>
      </c>
      <c r="G288">
        <v>9</v>
      </c>
      <c r="H288">
        <v>7353.72</v>
      </c>
      <c r="I288">
        <v>-0.94</v>
      </c>
    </row>
    <row r="289" spans="1:9" x14ac:dyDescent="0.3">
      <c r="A289">
        <v>288</v>
      </c>
      <c r="B289" s="2">
        <v>44976</v>
      </c>
      <c r="C289" t="s">
        <v>340</v>
      </c>
      <c r="D289" t="s">
        <v>513</v>
      </c>
      <c r="E289">
        <v>167</v>
      </c>
      <c r="F289">
        <v>1887</v>
      </c>
      <c r="G289">
        <v>63</v>
      </c>
      <c r="H289">
        <v>3622.96</v>
      </c>
      <c r="I289">
        <v>-0.13</v>
      </c>
    </row>
    <row r="290" spans="1:9" x14ac:dyDescent="0.3">
      <c r="A290">
        <v>289</v>
      </c>
      <c r="B290" s="2">
        <v>44973</v>
      </c>
      <c r="C290" t="s">
        <v>349</v>
      </c>
      <c r="D290" t="s">
        <v>494</v>
      </c>
      <c r="E290">
        <v>1562</v>
      </c>
      <c r="F290">
        <v>17402</v>
      </c>
      <c r="G290">
        <v>218</v>
      </c>
      <c r="H290">
        <v>3391.32</v>
      </c>
      <c r="I290">
        <v>2.21</v>
      </c>
    </row>
    <row r="291" spans="1:9" x14ac:dyDescent="0.3">
      <c r="A291">
        <v>290</v>
      </c>
      <c r="B291" s="2">
        <v>45005</v>
      </c>
      <c r="C291" t="s">
        <v>340</v>
      </c>
      <c r="D291" t="s">
        <v>366</v>
      </c>
      <c r="E291">
        <v>501</v>
      </c>
      <c r="F291">
        <v>40200</v>
      </c>
      <c r="G291">
        <v>145</v>
      </c>
      <c r="H291">
        <v>7870.13</v>
      </c>
      <c r="I291">
        <v>-0.08</v>
      </c>
    </row>
    <row r="292" spans="1:9" x14ac:dyDescent="0.3">
      <c r="A292">
        <v>291</v>
      </c>
      <c r="B292" s="2">
        <v>45174</v>
      </c>
      <c r="C292" t="s">
        <v>349</v>
      </c>
      <c r="D292" t="s">
        <v>514</v>
      </c>
      <c r="E292">
        <v>1599</v>
      </c>
      <c r="F292">
        <v>23742</v>
      </c>
      <c r="G292">
        <v>132</v>
      </c>
      <c r="H292">
        <v>7534.3</v>
      </c>
      <c r="I292">
        <v>-0.12</v>
      </c>
    </row>
    <row r="293" spans="1:9" x14ac:dyDescent="0.3">
      <c r="A293">
        <v>292</v>
      </c>
      <c r="B293" s="2">
        <v>45144</v>
      </c>
      <c r="C293" t="s">
        <v>37</v>
      </c>
      <c r="D293" t="s">
        <v>515</v>
      </c>
      <c r="E293">
        <v>1102</v>
      </c>
      <c r="F293">
        <v>16166</v>
      </c>
      <c r="G293">
        <v>206</v>
      </c>
      <c r="H293">
        <v>9155.84</v>
      </c>
      <c r="I293">
        <v>0.12</v>
      </c>
    </row>
    <row r="294" spans="1:9" x14ac:dyDescent="0.3">
      <c r="A294">
        <v>293</v>
      </c>
      <c r="B294" s="2">
        <v>45244</v>
      </c>
      <c r="C294" t="s">
        <v>346</v>
      </c>
      <c r="D294" t="s">
        <v>448</v>
      </c>
      <c r="E294">
        <v>251</v>
      </c>
      <c r="F294">
        <v>11561</v>
      </c>
      <c r="G294">
        <v>10</v>
      </c>
      <c r="H294">
        <v>5523.07</v>
      </c>
      <c r="I294">
        <v>-0.91</v>
      </c>
    </row>
    <row r="295" spans="1:9" x14ac:dyDescent="0.3">
      <c r="A295">
        <v>294</v>
      </c>
      <c r="B295" s="2">
        <v>44997</v>
      </c>
      <c r="C295" t="s">
        <v>340</v>
      </c>
      <c r="D295" t="s">
        <v>487</v>
      </c>
      <c r="E295">
        <v>1155</v>
      </c>
      <c r="F295">
        <v>45505</v>
      </c>
      <c r="G295">
        <v>223</v>
      </c>
      <c r="H295">
        <v>5245.07</v>
      </c>
      <c r="I295">
        <v>1.1299999999999999</v>
      </c>
    </row>
    <row r="296" spans="1:9" x14ac:dyDescent="0.3">
      <c r="A296">
        <v>295</v>
      </c>
      <c r="B296" s="2">
        <v>45050</v>
      </c>
      <c r="C296" t="s">
        <v>37</v>
      </c>
      <c r="D296" t="s">
        <v>381</v>
      </c>
      <c r="E296">
        <v>827</v>
      </c>
      <c r="F296">
        <v>23625</v>
      </c>
      <c r="G296">
        <v>295</v>
      </c>
      <c r="H296">
        <v>2758.48</v>
      </c>
      <c r="I296">
        <v>4.3499999999999996</v>
      </c>
    </row>
    <row r="297" spans="1:9" x14ac:dyDescent="0.3">
      <c r="A297">
        <v>296</v>
      </c>
      <c r="B297" s="2">
        <v>45221</v>
      </c>
      <c r="C297" t="s">
        <v>340</v>
      </c>
      <c r="D297" t="s">
        <v>399</v>
      </c>
      <c r="E297">
        <v>635</v>
      </c>
      <c r="F297">
        <v>23693</v>
      </c>
      <c r="G297">
        <v>26</v>
      </c>
      <c r="H297">
        <v>1525.02</v>
      </c>
      <c r="I297">
        <v>-0.15</v>
      </c>
    </row>
    <row r="298" spans="1:9" x14ac:dyDescent="0.3">
      <c r="A298">
        <v>297</v>
      </c>
      <c r="B298" s="2">
        <v>44967</v>
      </c>
      <c r="C298" t="s">
        <v>37</v>
      </c>
      <c r="D298" t="s">
        <v>516</v>
      </c>
      <c r="E298">
        <v>718</v>
      </c>
      <c r="F298">
        <v>2518</v>
      </c>
      <c r="G298">
        <v>234</v>
      </c>
      <c r="H298">
        <v>776.51</v>
      </c>
      <c r="I298">
        <v>14.07</v>
      </c>
    </row>
    <row r="299" spans="1:9" x14ac:dyDescent="0.3">
      <c r="A299">
        <v>298</v>
      </c>
      <c r="B299" s="2">
        <v>45060</v>
      </c>
      <c r="C299" t="s">
        <v>342</v>
      </c>
      <c r="D299" t="s">
        <v>423</v>
      </c>
      <c r="E299">
        <v>1181</v>
      </c>
      <c r="F299">
        <v>30267</v>
      </c>
      <c r="G299">
        <v>294</v>
      </c>
      <c r="H299">
        <v>7067.54</v>
      </c>
      <c r="I299">
        <v>1.08</v>
      </c>
    </row>
    <row r="300" spans="1:9" x14ac:dyDescent="0.3">
      <c r="A300">
        <v>299</v>
      </c>
      <c r="B300" s="2">
        <v>44974</v>
      </c>
      <c r="C300" t="s">
        <v>346</v>
      </c>
      <c r="D300" t="s">
        <v>517</v>
      </c>
      <c r="E300">
        <v>1356</v>
      </c>
      <c r="F300">
        <v>4849</v>
      </c>
      <c r="G300">
        <v>77</v>
      </c>
      <c r="H300">
        <v>7095.64</v>
      </c>
      <c r="I300">
        <v>-0.46</v>
      </c>
    </row>
    <row r="301" spans="1:9" x14ac:dyDescent="0.3">
      <c r="A301">
        <v>300</v>
      </c>
      <c r="B301" s="2">
        <v>44991</v>
      </c>
      <c r="C301" t="s">
        <v>342</v>
      </c>
      <c r="D301" t="s">
        <v>503</v>
      </c>
      <c r="E301">
        <v>794</v>
      </c>
      <c r="F301">
        <v>37963</v>
      </c>
      <c r="G301">
        <v>63</v>
      </c>
      <c r="H301">
        <v>6016.92</v>
      </c>
      <c r="I301">
        <v>-0.48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Instructions</vt:lpstr>
      <vt:lpstr>Sales Data</vt:lpstr>
      <vt:lpstr>Reference</vt:lpstr>
      <vt:lpstr>Price</vt:lpstr>
      <vt:lpstr>HR Data</vt:lpstr>
      <vt:lpstr>Data Management</vt:lpstr>
      <vt:lpstr>Marketing Data</vt:lpstr>
      <vt:lpstr>Price_A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Fakhrul Syahmi</cp:lastModifiedBy>
  <dcterms:created xsi:type="dcterms:W3CDTF">2025-08-19T01:33:03Z</dcterms:created>
  <dcterms:modified xsi:type="dcterms:W3CDTF">2025-10-06T06:58:43Z</dcterms:modified>
</cp:coreProperties>
</file>