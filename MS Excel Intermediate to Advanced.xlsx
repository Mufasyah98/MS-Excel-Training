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8_{8FF5BA1A-4894-48AF-BE4C-444C37393831}" xr6:coauthVersionLast="47" xr6:coauthVersionMax="47" xr10:uidLastSave="{00000000-0000-0000-0000-000000000000}"/>
  <bookViews>
    <workbookView xWindow="-108" yWindow="-108" windowWidth="23256" windowHeight="12456" firstSheet="5" activeTab="7" xr2:uid="{411674EF-BBF2-414D-93E9-8F28ACB202DD}"/>
  </bookViews>
  <sheets>
    <sheet name="1. Table of Contents" sheetId="1" r:id="rId1"/>
    <sheet name="2. Intermediate Formulas" sheetId="2" r:id="rId2"/>
    <sheet name="3. Advanced Formulas" sheetId="3" r:id="rId3"/>
    <sheet name="4. Data Analysis Tools" sheetId="4" r:id="rId4"/>
    <sheet name="5. Advanced Features" sheetId="5" r:id="rId5"/>
    <sheet name="6. Case Study - Data" sheetId="6" r:id="rId6"/>
    <sheet name="7. Case Study - Analysis" sheetId="7" r:id="rId7"/>
    <sheet name="8. Practice Exercis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62" i="8" l="1"/>
  <c r="B63" i="8"/>
  <c r="B64" i="8"/>
  <c r="H29" i="8" a="1"/>
  <c r="H29" i="8" s="1"/>
  <c r="H27" i="8"/>
  <c r="H25" i="8" a="1"/>
  <c r="H25" i="8" s="1"/>
  <c r="H22" i="8" a="1"/>
  <c r="H22" i="8" s="1"/>
  <c r="H21" i="8"/>
  <c r="H20" i="8"/>
  <c r="H19" i="8"/>
  <c r="H14" i="8"/>
  <c r="H13" i="8"/>
  <c r="H12" i="8"/>
  <c r="H11" i="8"/>
  <c r="H10" i="8"/>
  <c r="H9" i="8"/>
  <c r="H8" i="8"/>
  <c r="H7" i="8"/>
  <c r="C49" i="7"/>
  <c r="C48" i="7"/>
  <c r="C47" i="7"/>
  <c r="D41" i="7"/>
  <c r="D40" i="7"/>
  <c r="C41" i="7"/>
  <c r="C40" i="7"/>
  <c r="C39" i="7"/>
  <c r="B41" i="7"/>
  <c r="B40" i="7"/>
  <c r="B39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D18" i="7"/>
  <c r="D17" i="7"/>
  <c r="C18" i="7"/>
  <c r="C17" i="7"/>
  <c r="B18" i="7"/>
  <c r="B17" i="7"/>
  <c r="D11" i="7"/>
  <c r="C11" i="7"/>
  <c r="B11" i="7"/>
  <c r="D10" i="7"/>
  <c r="D9" i="7"/>
  <c r="D8" i="7"/>
  <c r="D7" i="7"/>
  <c r="C10" i="7"/>
  <c r="C9" i="7"/>
  <c r="C8" i="7"/>
  <c r="C7" i="7"/>
  <c r="B10" i="7"/>
  <c r="B9" i="7"/>
  <c r="B8" i="7"/>
  <c r="B7" i="7"/>
  <c r="K16" i="6"/>
  <c r="K15" i="6"/>
  <c r="K14" i="6"/>
  <c r="K13" i="6"/>
  <c r="K12" i="6"/>
  <c r="K11" i="6"/>
  <c r="H31" i="6"/>
  <c r="H32" i="6"/>
  <c r="H33" i="6"/>
  <c r="H34" i="6"/>
  <c r="H35" i="6"/>
  <c r="H36" i="6"/>
  <c r="H37" i="6"/>
  <c r="H38" i="6"/>
  <c r="H39" i="6"/>
  <c r="H40" i="6"/>
  <c r="H21" i="6"/>
  <c r="H22" i="6"/>
  <c r="H23" i="6"/>
  <c r="H24" i="6"/>
  <c r="H25" i="6"/>
  <c r="H26" i="6"/>
  <c r="H27" i="6"/>
  <c r="H28" i="6"/>
  <c r="H29" i="6"/>
  <c r="H30" i="6"/>
  <c r="H11" i="6"/>
  <c r="H12" i="6"/>
  <c r="H13" i="6"/>
  <c r="H14" i="6"/>
  <c r="H15" i="6"/>
  <c r="H16" i="6"/>
  <c r="H17" i="6"/>
  <c r="H18" i="6"/>
  <c r="H19" i="6"/>
  <c r="H20" i="6"/>
  <c r="C82" i="3"/>
  <c r="C81" i="3"/>
  <c r="C80" i="3" a="1"/>
  <c r="C80" i="3" s="1"/>
  <c r="C79" i="3" a="1"/>
  <c r="C79" i="3" s="1"/>
  <c r="C73" i="3" a="1"/>
  <c r="C73" i="3" s="1"/>
  <c r="C65" i="3"/>
  <c r="C64" i="3"/>
  <c r="H47" i="3" a="1"/>
  <c r="H47" i="3" s="1"/>
  <c r="H41" i="3" a="1"/>
  <c r="H41" i="3" s="1"/>
  <c r="H38" i="3" a="1"/>
  <c r="H38" i="3" s="1"/>
  <c r="H35" i="3" a="1"/>
  <c r="H35" i="3" s="1"/>
  <c r="I18" i="3" a="1"/>
  <c r="I18" i="3" s="1"/>
  <c r="I17" i="3"/>
  <c r="I16" i="3"/>
  <c r="I15" i="3"/>
  <c r="D53" i="2"/>
  <c r="D52" i="2"/>
  <c r="D51" i="2"/>
  <c r="D50" i="2"/>
  <c r="D49" i="2"/>
  <c r="D48" i="2"/>
  <c r="D47" i="2"/>
  <c r="D46" i="2"/>
  <c r="D45" i="2"/>
  <c r="D44" i="2"/>
  <c r="D43" i="2"/>
  <c r="H37" i="2"/>
  <c r="H36" i="2"/>
  <c r="H35" i="2"/>
  <c r="H34" i="2"/>
  <c r="H20" i="2"/>
  <c r="H19" i="2"/>
  <c r="H18" i="2"/>
  <c r="H17" i="2"/>
  <c r="H16" i="2"/>
  <c r="H15" i="2"/>
  <c r="B6" i="2" a="1"/>
  <c r="B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<sst xmlns="http://schemas.openxmlformats.org/spreadsheetml/2006/main" count="765" uniqueCount="569">
  <si>
    <t>📚 MICROSOFT EXCEL TRAINING MATERIAL: INTERMEDIATE TO ADVANCED</t>
  </si>
  <si>
    <t>Complete Training Guide with Practical Case Study</t>
  </si>
  <si>
    <t>📋 TABLE OF CONTENTS</t>
  </si>
  <si>
    <t>Sheet #</t>
  </si>
  <si>
    <t>Topic</t>
  </si>
  <si>
    <t>Level</t>
  </si>
  <si>
    <t>Description</t>
  </si>
  <si>
    <t>Table of Contents</t>
  </si>
  <si>
    <t>—</t>
  </si>
  <si>
    <t>Overview of training materials</t>
  </si>
  <si>
    <t>Intermediate Formulas</t>
  </si>
  <si>
    <t>Intermediate</t>
  </si>
  <si>
    <t>SUMIFS, COUNTIFS, INDEX-MATCH, TEXT functions</t>
  </si>
  <si>
    <t>Advanced Formulas</t>
  </si>
  <si>
    <t>Advanced</t>
  </si>
  <si>
    <t>XLOOKUP, Dynamic Arrays, LET, LAMBDA</t>
  </si>
  <si>
    <t>Data Analysis Tools</t>
  </si>
  <si>
    <t>Pivot Tables, Data Validation, Conditional Formatting</t>
  </si>
  <si>
    <t>Advanced Features</t>
  </si>
  <si>
    <t>Power Query basics, Named Ranges, Data Models</t>
  </si>
  <si>
    <t>Case Study - Data</t>
  </si>
  <si>
    <t>Practical</t>
  </si>
  <si>
    <t>Sales dataset for hands-on practice</t>
  </si>
  <si>
    <t>Case Study - Analysis</t>
  </si>
  <si>
    <t>Step-by-step analysis walkthrough</t>
  </si>
  <si>
    <t>Practice Exercises</t>
  </si>
  <si>
    <t>All Levels</t>
  </si>
  <si>
    <t>Exercises to reinforce learning</t>
  </si>
  <si>
    <t>💡 Learning Objectives:</t>
  </si>
  <si>
    <t>• Master intermediate and advanced Excel formulas</t>
  </si>
  <si>
    <t>• Build complex data analysis solutions</t>
  </si>
  <si>
    <t>• Apply skills to real-world business scenarios</t>
  </si>
  <si>
    <t>• Develop problem-solving approaches using Excel</t>
  </si>
  <si>
    <t>• Create dynamic reports and dashboards</t>
  </si>
  <si>
    <t>📊 INTERMEDIATE EXCEL FORMULAS</t>
  </si>
  <si>
    <t>🔹 SECTION 1: CONDITIONAL AGGREGATION FUNCTIONS</t>
  </si>
  <si>
    <t>Function</t>
  </si>
  <si>
    <t>Syntax</t>
  </si>
  <si>
    <t>SUMIF</t>
  </si>
  <si>
    <t>Sum cells meeting ONE condition</t>
  </si>
  <si>
    <t>SUMIFS</t>
  </si>
  <si>
    <t>SUMIF(range, criteria, sum_range)</t>
  </si>
  <si>
    <t>SUMIFS(sum_range, range1, criteria1, ...)</t>
  </si>
  <si>
    <t>Sum cells meeting MULTIPLE conditions</t>
  </si>
  <si>
    <t>COUNTIF</t>
  </si>
  <si>
    <t>COUNTIF(range, criteria)</t>
  </si>
  <si>
    <t>Count cells meeting ONE condition</t>
  </si>
  <si>
    <t>COUNTIFS</t>
  </si>
  <si>
    <t>COUNTIFS(range1, criteria1, range2, criteria2)</t>
  </si>
  <si>
    <t>Count cells meeting MULTIPLE conditions</t>
  </si>
  <si>
    <t>AVERAGEIF</t>
  </si>
  <si>
    <t>AVERAGEIF(range, criteria, average_range)</t>
  </si>
  <si>
    <t>Average cells meeting ONE condition</t>
  </si>
  <si>
    <t>AVERAGEIFS</t>
  </si>
  <si>
    <t>AVERAGEIFS(avg_range, range1, criteria1, ...)</t>
  </si>
  <si>
    <t>Average cells meeting MULTIPLE conditions</t>
  </si>
  <si>
    <t>📋 Practice Data:</t>
  </si>
  <si>
    <t>Product</t>
  </si>
  <si>
    <t>Region</t>
  </si>
  <si>
    <t>Sales</t>
  </si>
  <si>
    <t>Quantity</t>
  </si>
  <si>
    <t>Apple</t>
  </si>
  <si>
    <t>North</t>
  </si>
  <si>
    <t>Orange</t>
  </si>
  <si>
    <t>South</t>
  </si>
  <si>
    <t>Banana</t>
  </si>
  <si>
    <t>📝 Formula Examples (with live results):</t>
  </si>
  <si>
    <t>Formula</t>
  </si>
  <si>
    <t>Sum all Apple sales</t>
  </si>
  <si>
    <t>SUMIF(A15:A21,"Apple",C15:C21)</t>
  </si>
  <si>
    <t>Sum Apple sales in North</t>
  </si>
  <si>
    <t>SUMIFS(C15:C21,A15:A21,"Apple",B15:B21,"North")</t>
  </si>
  <si>
    <t>Count Apple products</t>
  </si>
  <si>
    <t>COUNTIF(A15:A21,"Apple")</t>
  </si>
  <si>
    <t>Count Apple in North</t>
  </si>
  <si>
    <t>COUNTIFS(A15:A21,"Apple",B15:B21,"North")</t>
  </si>
  <si>
    <t>Average Apple sales</t>
  </si>
  <si>
    <t>AVERAGEIF(A15:A21,"Apple",C15:C21)</t>
  </si>
  <si>
    <t>Sum sales where Qty&gt;50</t>
  </si>
  <si>
    <t>SUMIFS(C15:C21,D15:D21,"&gt;50")</t>
  </si>
  <si>
    <t>Result</t>
  </si>
  <si>
    <t>🔹 SECTION 2: INDEX-MATCH (Powerful Lookup Alternative)</t>
  </si>
  <si>
    <t>Why INDEX-MATCH over VLOOKUP?</t>
  </si>
  <si>
    <t>• Can look up values to the LEFT (VLOOKUP cannot)</t>
  </si>
  <si>
    <t>• More flexible and efficient for large datasets</t>
  </si>
  <si>
    <t>• Does not break when columns are inserted/deleted</t>
  </si>
  <si>
    <t>• Can perform two-way lookups (row and column)</t>
  </si>
  <si>
    <t>Syntax: INDEX(return_range, MATCH(lookup_value, lookup_range, 0))</t>
  </si>
  <si>
    <t>Employee ID</t>
  </si>
  <si>
    <t>Name</t>
  </si>
  <si>
    <t>Department</t>
  </si>
  <si>
    <t>Salary</t>
  </si>
  <si>
    <t>E001</t>
  </si>
  <si>
    <t>John Smith</t>
  </si>
  <si>
    <t>E002</t>
  </si>
  <si>
    <t>Jane Doe</t>
  </si>
  <si>
    <t>Marketing</t>
  </si>
  <si>
    <t>E003</t>
  </si>
  <si>
    <t>Bob Wilson</t>
  </si>
  <si>
    <t>IT</t>
  </si>
  <si>
    <t>E004</t>
  </si>
  <si>
    <t>Alice Brown</t>
  </si>
  <si>
    <t>HR</t>
  </si>
  <si>
    <t>E005</t>
  </si>
  <si>
    <t>Mike Johnson</t>
  </si>
  <si>
    <t>Finance</t>
  </si>
  <si>
    <t>Lookup Examples:</t>
  </si>
  <si>
    <t>Find Name for E003:</t>
  </si>
  <si>
    <t>Find Salary for Jane Doe:</t>
  </si>
  <si>
    <t>Find Dept for E004:</t>
  </si>
  <si>
    <t>Find ID for IT dept:</t>
  </si>
  <si>
    <t>🔹 SECTION 3: TEXT FUNCTIONS</t>
  </si>
  <si>
    <t>Example Input</t>
  </si>
  <si>
    <t>LEFT(text, num_chars)</t>
  </si>
  <si>
    <t>Extract characters from left</t>
  </si>
  <si>
    <t>RIGHT(text, num_chars)</t>
  </si>
  <si>
    <t>Extract characters from right</t>
  </si>
  <si>
    <t>MID(text, start, num_chars)</t>
  </si>
  <si>
    <t>Extract from middle</t>
  </si>
  <si>
    <t>LEN(text)</t>
  </si>
  <si>
    <t>Count characters</t>
  </si>
  <si>
    <t>Excel Training</t>
  </si>
  <si>
    <t>TRIM(text)</t>
  </si>
  <si>
    <t>Remove extra spaces</t>
  </si>
  <si>
    <t xml:space="preserve">  Hello   World  </t>
  </si>
  <si>
    <t>UPPER(text)</t>
  </si>
  <si>
    <t>Convert to uppercase</t>
  </si>
  <si>
    <t>excel</t>
  </si>
  <si>
    <t>LOWER(text)</t>
  </si>
  <si>
    <t>Convert to lowercase</t>
  </si>
  <si>
    <t>EXCEL</t>
  </si>
  <si>
    <t>PROPER(text)</t>
  </si>
  <si>
    <t>Capitalize first letters</t>
  </si>
  <si>
    <t>john smith</t>
  </si>
  <si>
    <t>CONCAT(text1, text2, ...)</t>
  </si>
  <si>
    <t>Join text strings</t>
  </si>
  <si>
    <t>Hello + World</t>
  </si>
  <si>
    <t>TEXTJOIN(delimiter, ignore_empty, text...)</t>
  </si>
  <si>
    <t>Join with delimiter</t>
  </si>
  <si>
    <t>A, B, C with dash</t>
  </si>
  <si>
    <t>TEXT(value, format)</t>
  </si>
  <si>
    <t>Format number as text</t>
  </si>
  <si>
    <t>1234.5 as currency</t>
  </si>
  <si>
    <t>🚀 ADVANCED EXCEL FORMULAS</t>
  </si>
  <si>
    <t>🔹 SECTION 1: XLOOKUP (Modern Lookup Function)</t>
  </si>
  <si>
    <t>Syntax: XLOOKUP(lookup_value, lookup_array, return_array, [if_not_found], [match_mode], [search_mode])</t>
  </si>
  <si>
    <t>Advantages over VLOOKUP:</t>
  </si>
  <si>
    <t>• Default exact match (no need for FALSE/0)</t>
  </si>
  <si>
    <t>• Can look left or right</t>
  </si>
  <si>
    <t>• Can return multiple columns</t>
  </si>
  <si>
    <t>• Built-in error handling with if_not_found</t>
  </si>
  <si>
    <t>• Supports wildcards and approximate matching</t>
  </si>
  <si>
    <t>Product ID</t>
  </si>
  <si>
    <t>Product Name</t>
  </si>
  <si>
    <t>Category</t>
  </si>
  <si>
    <t>Price</t>
  </si>
  <si>
    <t>Stock</t>
  </si>
  <si>
    <t>P001</t>
  </si>
  <si>
    <t>Laptop</t>
  </si>
  <si>
    <t>Electronics</t>
  </si>
  <si>
    <t>P002</t>
  </si>
  <si>
    <t>Mouse</t>
  </si>
  <si>
    <t>P003</t>
  </si>
  <si>
    <t>Desk Chair</t>
  </si>
  <si>
    <t>Furniture</t>
  </si>
  <si>
    <t>P004</t>
  </si>
  <si>
    <t>Monitor</t>
  </si>
  <si>
    <t>P005</t>
  </si>
  <si>
    <t>Keyboard</t>
  </si>
  <si>
    <t>XLOOKUP Examples:</t>
  </si>
  <si>
    <t>Find name for P003:</t>
  </si>
  <si>
    <t>Find price of Mouse:</t>
  </si>
  <si>
    <t>With error handling:</t>
  </si>
  <si>
    <t>Return multiple cols:</t>
  </si>
  <si>
    <t>🔹 SECTION 2: DYNAMIC ARRAY FUNCTIONS</t>
  </si>
  <si>
    <t>Dynamic arrays automatically spill results into adjacent cells</t>
  </si>
  <si>
    <t>Use the # symbol to reference the entire spill range</t>
  </si>
  <si>
    <t>Example</t>
  </si>
  <si>
    <t>FILTER</t>
  </si>
  <si>
    <t>Filter data based on criteria</t>
  </si>
  <si>
    <t>FILTER(range, criteria)</t>
  </si>
  <si>
    <t>SORT</t>
  </si>
  <si>
    <t>Sort data by specified column</t>
  </si>
  <si>
    <t>SORT(range, sort_index, order)</t>
  </si>
  <si>
    <t>SORTBY</t>
  </si>
  <si>
    <t>Sort by separate column/range</t>
  </si>
  <si>
    <t>SORTBY(range, by_array, order)</t>
  </si>
  <si>
    <t>UNIQUE</t>
  </si>
  <si>
    <t>Return unique values</t>
  </si>
  <si>
    <t>UNIQUE(range)</t>
  </si>
  <si>
    <t>SEQUENCE</t>
  </si>
  <si>
    <t>Generate sequence of numbers</t>
  </si>
  <si>
    <t>SEQUENCE(rows, cols, start, step)</t>
  </si>
  <si>
    <t>RANDARRAY</t>
  </si>
  <si>
    <t>Generate random numbers</t>
  </si>
  <si>
    <t>RANDARRAY(rows, cols, min, max)</t>
  </si>
  <si>
    <t>Years</t>
  </si>
  <si>
    <t>Anna</t>
  </si>
  <si>
    <t>Brian</t>
  </si>
  <si>
    <t>Carol</t>
  </si>
  <si>
    <t>David</t>
  </si>
  <si>
    <t>Emma</t>
  </si>
  <si>
    <t>Frank</t>
  </si>
  <si>
    <t>Dynamic Array Examples:</t>
  </si>
  <si>
    <t>UNIQUE departments:</t>
  </si>
  <si>
    <t>Filter IT staff:</t>
  </si>
  <si>
    <t>Sort by Salary (desc):</t>
  </si>
  <si>
    <t>Sequence 1-5:</t>
  </si>
  <si>
    <t>🔹 SECTION 3: LET AND LAMBDA FUNCTIONS</t>
  </si>
  <si>
    <t>LET Function - Assign names to calculation results</t>
  </si>
  <si>
    <t>Syntax: LET(name1, value1, [name2, value2, ...], calculation)</t>
  </si>
  <si>
    <t>Benefits:</t>
  </si>
  <si>
    <t>• Improves formula readability</t>
  </si>
  <si>
    <t>• Reduces repetition in complex formulas</t>
  </si>
  <si>
    <t>• Can improve performance by calculating values once</t>
  </si>
  <si>
    <t>Formula (concept)</t>
  </si>
  <si>
    <t>Calculate tax with named variables</t>
  </si>
  <si>
    <t>LET(price,100,rate,0.08,price*rate)</t>
  </si>
  <si>
    <t>Sum then multiply</t>
  </si>
  <si>
    <t>LET(total,SUM(10,20,30),total*2)</t>
  </si>
  <si>
    <t>LAMBDA Function - Create custom functions</t>
  </si>
  <si>
    <t>Syntax: LAMBDA(parameter1, [parameter2, ...], calculation)</t>
  </si>
  <si>
    <t>• Create reusable custom functions</t>
  </si>
  <si>
    <t>• Can be named via Name Manager for repeated use</t>
  </si>
  <si>
    <t>LAMBDA Example (inline):</t>
  </si>
  <si>
    <t>Multiply two numbers</t>
  </si>
  <si>
    <t>🔹 SECTION 4: OTHER ADVANCED FUNCTIONS</t>
  </si>
  <si>
    <t>Example Result</t>
  </si>
  <si>
    <t>IFS</t>
  </si>
  <si>
    <t>Multiple IF conditions</t>
  </si>
  <si>
    <t>SWITCH</t>
  </si>
  <si>
    <t>Match value to result</t>
  </si>
  <si>
    <t>MAXIFS</t>
  </si>
  <si>
    <t>Max with conditions</t>
  </si>
  <si>
    <t>MINIFS</t>
  </si>
  <si>
    <t>Min with conditions</t>
  </si>
  <si>
    <t>📈 DATA ANALYSIS TOOLS</t>
  </si>
  <si>
    <t>🔹 SECTION 1: PIVOT TABLES</t>
  </si>
  <si>
    <t>Pivot Tables - Summarize and analyze large datasets</t>
  </si>
  <si>
    <t>Key Concepts:</t>
  </si>
  <si>
    <t>• Rows: Categories to group data vertically</t>
  </si>
  <si>
    <t>• Columns: Categories to group data horizontally</t>
  </si>
  <si>
    <t>• Values: Data to summarize (SUM, COUNT, AVG, etc.)</t>
  </si>
  <si>
    <t>• Filters: Criteria to filter the entire pivot table</t>
  </si>
  <si>
    <t>Steps to Create a Pivot Table:</t>
  </si>
  <si>
    <t>1. Select your data range (including headers)</t>
  </si>
  <si>
    <t>2. Insert &gt; PivotTable</t>
  </si>
  <si>
    <t>3. Choose where to place the pivot table</t>
  </si>
  <si>
    <t>4. Drag fields to Rows, Columns, Values, Filters areas</t>
  </si>
  <si>
    <t>Best Practices:</t>
  </si>
  <si>
    <t>• Ensure data has no blank rows/columns</t>
  </si>
  <si>
    <t>• Use clear, consistent column headers</t>
  </si>
  <si>
    <t>• Convert range to Table for automatic expansion</t>
  </si>
  <si>
    <t>• Refresh pivot table after source data changes</t>
  </si>
  <si>
    <t>🔹 SECTION 2: DATA VALIDATION</t>
  </si>
  <si>
    <t>Data Validation - Control what users can enter in cells</t>
  </si>
  <si>
    <t>Access: Data tab &gt; Data Validation</t>
  </si>
  <si>
    <t>Validation Types:</t>
  </si>
  <si>
    <t>Type</t>
  </si>
  <si>
    <t>Use Case</t>
  </si>
  <si>
    <t>List</t>
  </si>
  <si>
    <t>Dropdown list of values</t>
  </si>
  <si>
    <t>Select from predefined options</t>
  </si>
  <si>
    <t>Whole Number</t>
  </si>
  <si>
    <t>Integer within range</t>
  </si>
  <si>
    <t>Age, quantity, count</t>
  </si>
  <si>
    <t>Decimal</t>
  </si>
  <si>
    <t>Decimal within range</t>
  </si>
  <si>
    <t>Price, percentage</t>
  </si>
  <si>
    <t>Date</t>
  </si>
  <si>
    <t>Date within range</t>
  </si>
  <si>
    <t>Start/end dates</t>
  </si>
  <si>
    <t>Time</t>
  </si>
  <si>
    <t>Time within range</t>
  </si>
  <si>
    <t>Working hours</t>
  </si>
  <si>
    <t>Text Length</t>
  </si>
  <si>
    <t>Limit character count</t>
  </si>
  <si>
    <t>Codes, abbreviations</t>
  </si>
  <si>
    <t>Custom</t>
  </si>
  <si>
    <t>Formula-based validation</t>
  </si>
  <si>
    <t>Complex business rules</t>
  </si>
  <si>
    <t>🔹 SECTION 3: CONDITIONAL FORMATTING</t>
  </si>
  <si>
    <t>Conditional Formatting - Automatically format cells based on values</t>
  </si>
  <si>
    <t>Access: Home tab &gt; Conditional Formatting</t>
  </si>
  <si>
    <t>Common Formatting Rules:</t>
  </si>
  <si>
    <t>Rule Type</t>
  </si>
  <si>
    <t>Highlight Cell Rules</t>
  </si>
  <si>
    <t>Format cells &gt;, &lt;, =, between, containing text</t>
  </si>
  <si>
    <t>Top/Bottom Rules</t>
  </si>
  <si>
    <t>Format top/bottom N values or percentages</t>
  </si>
  <si>
    <t>Data Bars</t>
  </si>
  <si>
    <t>Show bars proportional to cell values</t>
  </si>
  <si>
    <t>Color Scales</t>
  </si>
  <si>
    <t>Gradient colors based on value range</t>
  </si>
  <si>
    <t>Icon Sets</t>
  </si>
  <si>
    <t>Symbols indicating value categories</t>
  </si>
  <si>
    <t>Custom Formula</t>
  </si>
  <si>
    <t>Format based on any formula returning TRUE</t>
  </si>
  <si>
    <t>Example - Color Scale:</t>
  </si>
  <si>
    <t>Score</t>
  </si>
  <si>
    <t>⚡ ADVANCED EXCEL FEATURES</t>
  </si>
  <si>
    <t>🔹 SECTION 1: NAMED RANGES</t>
  </si>
  <si>
    <t>Named Ranges - Give meaningful names to cell references</t>
  </si>
  <si>
    <t>• Make formulas more readable: =SUM(Sales) vs =SUM(B2:B100)</t>
  </si>
  <si>
    <t>• Easier to maintain - update range in one place</t>
  </si>
  <si>
    <t>• Auto-expand with dynamic named ranges</t>
  </si>
  <si>
    <t>How to Create:</t>
  </si>
  <si>
    <t>Method 1: Select cells &gt; Name Box (left of formula bar) &gt; Type name</t>
  </si>
  <si>
    <t>Method 2: Formulas tab &gt; Define Name</t>
  </si>
  <si>
    <t>Method 3: Create from Selection (use headers as names)</t>
  </si>
  <si>
    <t>Naming Rules:</t>
  </si>
  <si>
    <t>• Must start with letter or underscore</t>
  </si>
  <si>
    <t>• No spaces (use underscores)</t>
  </si>
  <si>
    <t>• Cannot be cell references (A1, R1C1)</t>
  </si>
  <si>
    <t>• Max 255 characters</t>
  </si>
  <si>
    <t>🔹 SECTION 2: EXCEL TABLES</t>
  </si>
  <si>
    <t>Excel Tables (Ctrl+T) - Structured data management</t>
  </si>
  <si>
    <t>• Auto-expand when adding data</t>
  </si>
  <si>
    <t>• Structured references: =SUM(Table1[Sales])</t>
  </si>
  <si>
    <t>• Built-in filtering and sorting</t>
  </si>
  <si>
    <t>• Automatic formatting</t>
  </si>
  <si>
    <t>• Total row with various functions</t>
  </si>
  <si>
    <t>Table Features:</t>
  </si>
  <si>
    <t>• Filter dropdowns on headers</t>
  </si>
  <si>
    <t>• Banded rows for readability</t>
  </si>
  <si>
    <t>• Table styles for quick formatting</t>
  </si>
  <si>
    <t>• Slicers for interactive filtering</t>
  </si>
  <si>
    <t>🔹 SECTION 3: POWER QUERY BASICS</t>
  </si>
  <si>
    <t>Power Query - ETL tool for data transformation</t>
  </si>
  <si>
    <t>Access: Data tab &gt; Get Data / Get &amp; Transform</t>
  </si>
  <si>
    <t>Key Capabilities:</t>
  </si>
  <si>
    <t>• Import from multiple sources (files, databases, web)</t>
  </si>
  <si>
    <t>• Clean and transform data</t>
  </si>
  <si>
    <t>• Merge (join) multiple tables</t>
  </si>
  <si>
    <t>• Append (union) tables</t>
  </si>
  <si>
    <t>• Unpivot columns</t>
  </si>
  <si>
    <t>• Create calculated columns</t>
  </si>
  <si>
    <t>• Automate data refresh</t>
  </si>
  <si>
    <t>Common Transformations:</t>
  </si>
  <si>
    <t>Transformation</t>
  </si>
  <si>
    <t>Remove Columns</t>
  </si>
  <si>
    <t>Delete unwanted columns</t>
  </si>
  <si>
    <t>Filter Rows</t>
  </si>
  <si>
    <t>Keep/remove rows based on criteria</t>
  </si>
  <si>
    <t>Change Type</t>
  </si>
  <si>
    <t>Convert data types</t>
  </si>
  <si>
    <t>Replace Values</t>
  </si>
  <si>
    <t>Find and replace in columns</t>
  </si>
  <si>
    <t>Split Column</t>
  </si>
  <si>
    <t>Divide by delimiter or characters</t>
  </si>
  <si>
    <t>Merge Columns</t>
  </si>
  <si>
    <t>Combine multiple columns</t>
  </si>
  <si>
    <t>Pivot/Unpivot</t>
  </si>
  <si>
    <t>Reshape data structure</t>
  </si>
  <si>
    <t>Group By</t>
  </si>
  <si>
    <t>Aggregate data by categories</t>
  </si>
  <si>
    <t>📊 CASE STUDY: REGIONAL SALES ANALYSIS</t>
  </si>
  <si>
    <t>📋 SCENARIO</t>
  </si>
  <si>
    <t>You are a data analyst at TechMart, a retail company selling electronics and office supplies.</t>
  </si>
  <si>
    <t>Your manager has asked you to analyze Q1 2024 sales data to identify trends and insights.</t>
  </si>
  <si>
    <t>Use the dataset below to complete the analysis tasks on the next sheet.</t>
  </si>
  <si>
    <t>📦 SALES DATASET (Q1 2024)</t>
  </si>
  <si>
    <t>Order_ID</t>
  </si>
  <si>
    <t>Unit_Price</t>
  </si>
  <si>
    <t>Total_Sales</t>
  </si>
  <si>
    <t>ORD001</t>
  </si>
  <si>
    <t>ORD002</t>
  </si>
  <si>
    <t>Office</t>
  </si>
  <si>
    <t>ORD003</t>
  </si>
  <si>
    <t>East</t>
  </si>
  <si>
    <t>ORD004</t>
  </si>
  <si>
    <t>West</t>
  </si>
  <si>
    <t>Printer</t>
  </si>
  <si>
    <t>ORD005</t>
  </si>
  <si>
    <t>ORD006</t>
  </si>
  <si>
    <t>ORD007</t>
  </si>
  <si>
    <t>Desk</t>
  </si>
  <si>
    <t>ORD008</t>
  </si>
  <si>
    <t>Headphones</t>
  </si>
  <si>
    <t>ORD009</t>
  </si>
  <si>
    <t>Filing Cabinet</t>
  </si>
  <si>
    <t>ORD010</t>
  </si>
  <si>
    <t>ORD011</t>
  </si>
  <si>
    <t>ORD012</t>
  </si>
  <si>
    <t>ORD013</t>
  </si>
  <si>
    <t>Tablet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</si>
  <si>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</si>
  <si>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</si>
  <si>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</si>
  <si>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</si>
  <si>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</si>
  <si>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</si>
  <si>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</si>
  <si>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</si>
  <si>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</si>
  <si>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</si>
  <si>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</si>
  <si>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</si>
  <si>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</si>
  <si>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</si>
  <si>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</si>
  <si>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</si>
  <si>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</si>
  <si>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📊 Summary Reference</t>
  </si>
  <si>
    <t>Metric</t>
  </si>
  <si>
    <t>Value</t>
  </si>
  <si>
    <t>Total Orders</t>
  </si>
  <si>
    <t>Total Revenue</t>
  </si>
  <si>
    <t>Avg Order Value</t>
  </si>
  <si>
    <t>Total Quantity</t>
  </si>
  <si>
    <t>Unique Products</t>
  </si>
  <si>
    <t>Regions</t>
  </si>
  <si>
    <t>📊 CASE STUDY: ANALYSIS WALKTHROUGH</t>
  </si>
  <si>
    <t>📝 TASK 1: Analyze Sales by Region</t>
  </si>
  <si>
    <t>Use SUMIFS to calculate total sales per region</t>
  </si>
  <si>
    <t>Total Sales</t>
  </si>
  <si>
    <t>Order Count</t>
  </si>
  <si>
    <t>TOTAL</t>
  </si>
  <si>
    <t>📝 TASK 2: Analyze Sales by Category</t>
  </si>
  <si>
    <t>Compare Electronics vs Office supplies performance</t>
  </si>
  <si>
    <t>% of Total</t>
  </si>
  <si>
    <t>Qty Sold</t>
  </si>
  <si>
    <t>📝 TASK 3: Identify Top-Selling Products</t>
  </si>
  <si>
    <t>Find total sales for each product using SUMIF</t>
  </si>
  <si>
    <t>Quantity Sold</t>
  </si>
  <si>
    <t>📝 TASK 4: Monthly Sales Trend</t>
  </si>
  <si>
    <t>Analyze sales by month to identify trends</t>
  </si>
  <si>
    <t>Month</t>
  </si>
  <si>
    <t>Orders</t>
  </si>
  <si>
    <t>Growth %</t>
  </si>
  <si>
    <t>January</t>
  </si>
  <si>
    <t>February</t>
  </si>
  <si>
    <t>March</t>
  </si>
  <si>
    <t>📝 TASK 5: Advanced Analysis with XLOOKUP &amp; INDEX-MATCH</t>
  </si>
  <si>
    <t>Analysis Question</t>
  </si>
  <si>
    <t>Formula Used</t>
  </si>
  <si>
    <t>Highest single sale amount</t>
  </si>
  <si>
    <t>Product with highest total sales</t>
  </si>
  <si>
    <t>INDEX/MATCH with MAX</t>
  </si>
  <si>
    <t>Region with most orders</t>
  </si>
  <si>
    <t>Average Electronics sale</t>
  </si>
  <si>
    <t>💡 KEY INSIGHTS &amp; RECOMMENDATIONS</t>
  </si>
  <si>
    <t>Based on your analysis, document insights here:</t>
  </si>
  <si>
    <t>1. Regional Performance:</t>
  </si>
  <si>
    <t xml:space="preserve">   - Which region has the highest sales?</t>
  </si>
  <si>
    <t xml:space="preserve">   - Which region has the highest average order value?</t>
  </si>
  <si>
    <t>2. Category Analysis:</t>
  </si>
  <si>
    <t xml:space="preserve">   - Electronics vs Office - which dominates?</t>
  </si>
  <si>
    <t xml:space="preserve">   - What percentage of sales comes from each?</t>
  </si>
  <si>
    <t>3. Product Insights:</t>
  </si>
  <si>
    <t xml:space="preserve">   - Top 3 best-selling products by revenue</t>
  </si>
  <si>
    <t xml:space="preserve">   - Products that may need promotion</t>
  </si>
  <si>
    <t>4. Monthly Trends:</t>
  </si>
  <si>
    <t xml:space="preserve">   - Is sales growing month over month?</t>
  </si>
  <si>
    <t xml:space="preserve">   - Any seasonal patterns visible?</t>
  </si>
  <si>
    <t>✏️ PRACTICE EXERCISES</t>
  </si>
  <si>
    <t>Test your skills with these practice exercises. Enter your answers in the yellow cells.</t>
  </si>
  <si>
    <t>📘 EXERCISE 1: INTERMEDIATE FORMULAS</t>
  </si>
  <si>
    <t>Employee</t>
  </si>
  <si>
    <t>Alice</t>
  </si>
  <si>
    <t>Bob</t>
  </si>
  <si>
    <t>Grace</t>
  </si>
  <si>
    <t>Henry</t>
  </si>
  <si>
    <t>Question</t>
  </si>
  <si>
    <t>Your Answer</t>
  </si>
  <si>
    <t>1. Total salary of Sales dept:</t>
  </si>
  <si>
    <t>2. Count of IT employees:</t>
  </si>
  <si>
    <t>3. Average salary in HR:</t>
  </si>
  <si>
    <t>4. Sum salary where Years &gt; 4:</t>
  </si>
  <si>
    <t>5. Count employees with salary &gt; 55000:</t>
  </si>
  <si>
    <t>6. Max salary in IT:</t>
  </si>
  <si>
    <t>7. Min years in Sales:</t>
  </si>
  <si>
    <t>8. Find dept for Emma (INDEX-MATCH):</t>
  </si>
  <si>
    <t>Expected</t>
  </si>
  <si>
    <t>📗 EXERCISE 2: ADVANCED FORMULAS</t>
  </si>
  <si>
    <t>Product_ID</t>
  </si>
  <si>
    <t>P101</t>
  </si>
  <si>
    <t>Widget A</t>
  </si>
  <si>
    <t>Tools</t>
  </si>
  <si>
    <t>P102</t>
  </si>
  <si>
    <t>Widget B</t>
  </si>
  <si>
    <t>P103</t>
  </si>
  <si>
    <t>Gadget X</t>
  </si>
  <si>
    <t>P104</t>
  </si>
  <si>
    <t>Gadget Y</t>
  </si>
  <si>
    <t>P105</t>
  </si>
  <si>
    <t>Supply Z</t>
  </si>
  <si>
    <t>1. XLOOKUP price for P103:</t>
  </si>
  <si>
    <t>2. XLOOKUP category for Widget B:</t>
  </si>
  <si>
    <t>3. XLOOKUP P999 with error msg:</t>
  </si>
  <si>
    <t>4. UNIQUE categories:</t>
  </si>
  <si>
    <t>5. FILTER Electronics only:</t>
  </si>
  <si>
    <t>6. LET: calc 15% tax on 100:</t>
  </si>
  <si>
    <t>7. SEQUENCE 1 to 5:</t>
  </si>
  <si>
    <t>📙 EXERCISE 3: CASE STUDY CHALLENGE</t>
  </si>
  <si>
    <t>Using the Case Study data (Sheet 6), answer the following:</t>
  </si>
  <si>
    <t>Challenge Question</t>
  </si>
  <si>
    <t>Your Formula/Answer</t>
  </si>
  <si>
    <t>1. What is the total revenue from Laptops?</t>
  </si>
  <si>
    <t>2. How many orders were placed in the West region?</t>
  </si>
  <si>
    <t>3. What is the average quantity per order for Electronics?</t>
  </si>
  <si>
    <t>4. Which product generated the LEAST revenue?</t>
  </si>
  <si>
    <t>5. What percentage of total orders came from the North region?</t>
  </si>
  <si>
    <t>6. Find the highest priced item sold</t>
  </si>
  <si>
    <t>7. How many unique products were sold?</t>
  </si>
  <si>
    <t>8. What is the total revenue for orders with quantity &gt;= 10?</t>
  </si>
  <si>
    <t>9. Which month had the highest total sales?</t>
  </si>
  <si>
    <t>10. Create a formula to find sales for ANY product entered in C49</t>
  </si>
  <si>
    <t>(Enter product name above)</t>
  </si>
  <si>
    <t>💡 TIPS FOR SUCCESS</t>
  </si>
  <si>
    <t>• Always start with understanding the data structure</t>
  </si>
  <si>
    <t>• Break complex problems into smaller steps</t>
  </si>
  <si>
    <t>• Use named ranges to make formulas more readable</t>
  </si>
  <si>
    <t>• Test formulas with known values first</t>
  </si>
  <si>
    <t>• Use F9 to evaluate parts of a formula</t>
  </si>
  <si>
    <t>• Document your formulas with comments</t>
  </si>
  <si>
    <t>• Practice regularly to build muscle memory</t>
  </si>
  <si>
    <t>📋 ANSWER KEY (Exercise 3) - Try before checking!</t>
  </si>
  <si>
    <t>1. Total Laptop revenue</t>
  </si>
  <si>
    <t>2. West region orders</t>
  </si>
  <si>
    <t>3. Avg qty Electronics</t>
  </si>
  <si>
    <t>4. Least revenue product</t>
  </si>
  <si>
    <t>Use INDEX-MATCH with MIN on product summary</t>
  </si>
  <si>
    <t>5. North % of orders</t>
  </si>
  <si>
    <t>Hint/Approach</t>
  </si>
  <si>
    <t>SUMIFS with Product=Laptop</t>
  </si>
  <si>
    <t>COUNTIF with Region=West</t>
  </si>
  <si>
    <t>AVERAGEIFS on Quantity where Category=Electronics</t>
  </si>
  <si>
    <t>INDEX-MATCH with MIN on product totals</t>
  </si>
  <si>
    <t>COUNTIF North / Total orders</t>
  </si>
  <si>
    <t>6. Highest priced item</t>
  </si>
  <si>
    <t>MAX on Unit_Price column</t>
  </si>
  <si>
    <t>7. Unique products</t>
  </si>
  <si>
    <t>COUNTA(UNIQUE(Product range))</t>
  </si>
  <si>
    <t>8. Revenue qty&gt;=10</t>
  </si>
  <si>
    <t>SUMIFS with Quantity&gt;=10</t>
  </si>
  <si>
    <t>9. Highest month</t>
  </si>
  <si>
    <t>Compare monthly SUMIFS or use MAX</t>
  </si>
  <si>
    <t>10. Dynamic lookup</t>
  </si>
  <si>
    <t>SUMIFS referencing the input cell</t>
  </si>
  <si>
    <t>⌨️ Essential Keyboard Shortcuts:</t>
  </si>
  <si>
    <t>Shortcut</t>
  </si>
  <si>
    <t>Action</t>
  </si>
  <si>
    <t>Ctrl + C/V/X</t>
  </si>
  <si>
    <t>Copy/Paste/Cut</t>
  </si>
  <si>
    <t>Ctrl + Z/Y</t>
  </si>
  <si>
    <t>Undo/Redo</t>
  </si>
  <si>
    <t>Ctrl + S</t>
  </si>
  <si>
    <t>Save</t>
  </si>
  <si>
    <t>Ctrl + T</t>
  </si>
  <si>
    <t>Create Table</t>
  </si>
  <si>
    <t>Ctrl + Shift + L</t>
  </si>
  <si>
    <t>Toggle Filters</t>
  </si>
  <si>
    <t>F2</t>
  </si>
  <si>
    <t>Edit Cell</t>
  </si>
  <si>
    <t>F4</t>
  </si>
  <si>
    <t>Toggle Absolute Reference ($)</t>
  </si>
  <si>
    <t>Alt + Enter</t>
  </si>
  <si>
    <t>New Line in Cell</t>
  </si>
  <si>
    <t>Ctrl + ;</t>
  </si>
  <si>
    <t>Insert Today's Date</t>
  </si>
  <si>
    <t>Ctrl + Shift + ;</t>
  </si>
  <si>
    <t>Insert Current Time</t>
  </si>
  <si>
    <t>Ctrl + `</t>
  </si>
  <si>
    <t>Show/Hide Formulas</t>
  </si>
  <si>
    <t>Ctrl + Home</t>
  </si>
  <si>
    <t>Go to Beginning</t>
  </si>
  <si>
    <t>Ctrl + End</t>
  </si>
  <si>
    <t>Go to Last Used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</si>
</sst>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yyyy\-mm\-dd"/>
    <numFmt numFmtId="166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/>
    <xf numFmtId="0" fontId="4" fillId="4" borderId="0" xfId="0" applyFont="1" applyFill="1"/>
    <xf numFmtId="0" fontId="1" fillId="5" borderId="0" xfId="0" applyFont="1" applyFill="1"/>
    <xf numFmtId="0" fontId="5" fillId="0" borderId="0" xfId="0" applyFont="1"/>
    <xf numFmtId="0" fontId="6" fillId="2" borderId="0" xfId="0" applyFont="1" applyFill="1"/>
    <xf numFmtId="0" fontId="7" fillId="4" borderId="0" xfId="0" applyFont="1" applyFill="1"/>
    <xf numFmtId="0" fontId="1" fillId="6" borderId="0" xfId="0" applyFont="1" applyFill="1"/>
    <xf numFmtId="0" fontId="1" fillId="7" borderId="0" xfId="0" applyFont="1" applyFill="1"/>
    <xf numFmtId="0" fontId="8" fillId="4" borderId="0" xfId="0" applyFont="1" applyFill="1"/>
    <xf numFmtId="0" fontId="8" fillId="8" borderId="0" xfId="0" applyFont="1" applyFill="1"/>
    <xf numFmtId="164" fontId="0" fillId="0" borderId="0" xfId="0" applyNumberFormat="1"/>
    <xf numFmtId="165" fontId="0" fillId="0" borderId="0" xfId="0" applyNumberFormat="1"/>
    <xf numFmtId="0" fontId="1" fillId="9" borderId="0" xfId="0" applyFont="1" applyFill="1"/>
    <xf numFmtId="164" fontId="0" fillId="7" borderId="0" xfId="0" applyNumberFormat="1" applyFill="1"/>
    <xf numFmtId="166" fontId="0" fillId="0" borderId="0" xfId="0" applyNumberFormat="1"/>
    <xf numFmtId="0" fontId="0" fillId="10" borderId="0" xfId="0" applyFill="1"/>
    <xf numFmtId="0" fontId="1" fillId="11" borderId="0" xfId="0" applyFont="1" applyFill="1"/>
    <xf numFmtId="0" fontId="8" fillId="12" borderId="0" xfId="0" applyFont="1" applyFill="1"/>
    <xf numFmtId="0" fontId="0" fillId="6" borderId="0" xfId="0" applyFill="1"/>
    <xf numFmtId="0" fontId="9" fillId="0" borderId="0" xfId="0" applyFont="1"/>
    <xf numFmtId="0" fontId="1" fillId="11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C3B7-21A9-40B3-8812-A05E8738723D}">
  <dimension ref="A1:H37"/>
  <sheetViews>
    <sheetView workbookViewId="0">
      <selection sqref="A1:H1"/>
    </sheetView>
  </sheetViews>
  <sheetFormatPr defaultRowHeight="14.4" x14ac:dyDescent="0.3"/>
  <sheetData>
    <row r="1" spans="1:8" ht="40.049999999999997" customHeight="1" x14ac:dyDescent="0.45">
      <c r="A1" s="2" t="s">
        <v>0</v>
      </c>
      <c r="B1" s="1"/>
      <c r="C1" s="1"/>
      <c r="D1" s="1"/>
      <c r="E1" s="1"/>
      <c r="F1" s="1"/>
      <c r="G1" s="1"/>
      <c r="H1" s="1"/>
    </row>
    <row r="2" spans="1:8" ht="15.6" x14ac:dyDescent="0.3">
      <c r="A2" s="3" t="s">
        <v>1</v>
      </c>
      <c r="B2" s="1"/>
      <c r="C2" s="1"/>
      <c r="D2" s="1"/>
      <c r="E2" s="1"/>
      <c r="F2" s="1"/>
      <c r="G2" s="1"/>
      <c r="H2" s="1"/>
    </row>
    <row r="4" spans="1:8" ht="18" x14ac:dyDescent="0.35">
      <c r="A4" s="5" t="s">
        <v>2</v>
      </c>
    </row>
    <row r="6" spans="1:8" x14ac:dyDescent="0.3">
      <c r="A6" s="6" t="s">
        <v>3</v>
      </c>
      <c r="B6" s="6" t="s">
        <v>4</v>
      </c>
      <c r="C6" s="6" t="s">
        <v>5</v>
      </c>
      <c r="D6" s="6" t="s">
        <v>6</v>
      </c>
    </row>
    <row r="7" spans="1:8" x14ac:dyDescent="0.3">
      <c r="A7">
        <v>1</v>
      </c>
      <c r="B7" t="s">
        <v>7</v>
      </c>
      <c r="C7" t="s">
        <v>8</v>
      </c>
      <c r="D7" t="s">
        <v>9</v>
      </c>
    </row>
    <row r="8" spans="1:8" x14ac:dyDescent="0.3">
      <c r="A8">
        <v>2</v>
      </c>
      <c r="B8" t="s">
        <v>10</v>
      </c>
      <c r="C8" t="s">
        <v>11</v>
      </c>
      <c r="D8" t="s">
        <v>12</v>
      </c>
    </row>
    <row r="9" spans="1:8" x14ac:dyDescent="0.3">
      <c r="A9">
        <v>3</v>
      </c>
      <c r="B9" t="s">
        <v>13</v>
      </c>
      <c r="C9" t="s">
        <v>14</v>
      </c>
      <c r="D9" t="s">
        <v>15</v>
      </c>
    </row>
    <row r="10" spans="1:8" x14ac:dyDescent="0.3">
      <c r="A10">
        <v>4</v>
      </c>
      <c r="B10" t="s">
        <v>16</v>
      </c>
      <c r="C10" t="s">
        <v>11</v>
      </c>
      <c r="D10" t="s">
        <v>17</v>
      </c>
    </row>
    <row r="11" spans="1:8" x14ac:dyDescent="0.3">
      <c r="A11">
        <v>5</v>
      </c>
      <c r="B11" t="s">
        <v>18</v>
      </c>
      <c r="C11" t="s">
        <v>14</v>
      </c>
      <c r="D11" t="s">
        <v>19</v>
      </c>
    </row>
    <row r="12" spans="1:8" x14ac:dyDescent="0.3">
      <c r="A12">
        <v>6</v>
      </c>
      <c r="B12" t="s">
        <v>20</v>
      </c>
      <c r="C12" t="s">
        <v>21</v>
      </c>
      <c r="D12" t="s">
        <v>22</v>
      </c>
    </row>
    <row r="13" spans="1:8" x14ac:dyDescent="0.3">
      <c r="A13">
        <v>7</v>
      </c>
      <c r="B13" t="s">
        <v>23</v>
      </c>
      <c r="C13" t="s">
        <v>21</v>
      </c>
      <c r="D13" t="s">
        <v>24</v>
      </c>
    </row>
    <row r="14" spans="1:8" x14ac:dyDescent="0.3">
      <c r="A14">
        <v>8</v>
      </c>
      <c r="B14" t="s">
        <v>25</v>
      </c>
      <c r="C14" t="s">
        <v>26</v>
      </c>
      <c r="D14" t="s">
        <v>27</v>
      </c>
    </row>
    <row r="16" spans="1:8" ht="15.6" x14ac:dyDescent="0.3">
      <c r="A16" s="7" t="s">
        <v>28</v>
      </c>
    </row>
    <row r="17" spans="1:2" x14ac:dyDescent="0.3">
      <c r="A17" t="s">
        <v>29</v>
      </c>
    </row>
    <row r="18" spans="1:2" x14ac:dyDescent="0.3">
      <c r="A18" t="s">
        <v>30</v>
      </c>
    </row>
    <row r="19" spans="1:2" x14ac:dyDescent="0.3">
      <c r="A19" t="s">
        <v>31</v>
      </c>
    </row>
    <row r="20" spans="1:2" x14ac:dyDescent="0.3">
      <c r="A20" t="s">
        <v>32</v>
      </c>
    </row>
    <row r="21" spans="1:2" x14ac:dyDescent="0.3">
      <c r="A21" t="s">
        <v>33</v>
      </c>
    </row>
    <row r="23" spans="1:2" ht="15.6" x14ac:dyDescent="0.3">
      <c r="A23" s="7" t="s">
        <v>540</v>
      </c>
    </row>
    <row r="24" spans="1:2" x14ac:dyDescent="0.3">
      <c r="A24" s="6" t="s">
        <v>541</v>
      </c>
      <c r="B24" s="6" t="s">
        <v>542</v>
      </c>
    </row>
    <row r="25" spans="1:2" x14ac:dyDescent="0.3">
      <c r="A25" t="s">
        <v>543</v>
      </c>
      <c r="B25" t="s">
        <v>544</v>
      </c>
    </row>
    <row r="26" spans="1:2" x14ac:dyDescent="0.3">
      <c r="A26" t="s">
        <v>545</v>
      </c>
      <c r="B26" t="s">
        <v>546</v>
      </c>
    </row>
    <row r="27" spans="1:2" x14ac:dyDescent="0.3">
      <c r="A27" t="s">
        <v>547</v>
      </c>
      <c r="B27" t="s">
        <v>548</v>
      </c>
    </row>
    <row r="28" spans="1:2" x14ac:dyDescent="0.3">
      <c r="A28" t="s">
        <v>549</v>
      </c>
      <c r="B28" t="s">
        <v>550</v>
      </c>
    </row>
    <row r="29" spans="1:2" x14ac:dyDescent="0.3">
      <c r="A29" t="s">
        <v>551</v>
      </c>
      <c r="B29" t="s">
        <v>552</v>
      </c>
    </row>
    <row r="30" spans="1:2" x14ac:dyDescent="0.3">
      <c r="A30" t="s">
        <v>553</v>
      </c>
      <c r="B30" t="s">
        <v>554</v>
      </c>
    </row>
    <row r="31" spans="1:2" x14ac:dyDescent="0.3">
      <c r="A31" t="s">
        <v>555</v>
      </c>
      <c r="B31" t="s">
        <v>556</v>
      </c>
    </row>
    <row r="32" spans="1:2" x14ac:dyDescent="0.3">
      <c r="A32" t="s">
        <v>557</v>
      </c>
      <c r="B32" t="s">
        <v>558</v>
      </c>
    </row>
    <row r="33" spans="1:2" x14ac:dyDescent="0.3">
      <c r="A33" t="s">
        <v>559</v>
      </c>
      <c r="B33" t="s">
        <v>560</v>
      </c>
    </row>
    <row r="34" spans="1:2" x14ac:dyDescent="0.3">
      <c r="A34" t="s">
        <v>561</v>
      </c>
      <c r="B34" t="s">
        <v>562</v>
      </c>
    </row>
    <row r="35" spans="1:2" x14ac:dyDescent="0.3">
      <c r="A35" t="s">
        <v>563</v>
      </c>
      <c r="B35" t="s">
        <v>564</v>
      </c>
    </row>
    <row r="36" spans="1:2" x14ac:dyDescent="0.3">
      <c r="A36" t="s">
        <v>565</v>
      </c>
      <c r="B36" t="s">
        <v>566</v>
      </c>
    </row>
    <row r="37" spans="1:2" x14ac:dyDescent="0.3">
      <c r="A37" t="s">
        <v>567</v>
      </c>
      <c r="B37" t="s">
        <v>568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55C4-49E2-4B0A-AB3E-F704C65E085F}">
  <dimension ref="A1:H53"/>
  <sheetViews>
    <sheetView topLeftCell="A14" workbookViewId="0">
      <selection activeCell="D44" sqref="D44"/>
    </sheetView>
  </sheetViews>
  <sheetFormatPr defaultRowHeight="14.4" x14ac:dyDescent="0.3"/>
  <cols>
    <col min="1" max="2" width="18.5546875" customWidth="1"/>
    <col min="3" max="3" width="59.21875" customWidth="1"/>
    <col min="4" max="4" width="14.77734375" customWidth="1"/>
    <col min="6" max="6" width="37" customWidth="1"/>
    <col min="7" max="7" width="64.77734375" customWidth="1"/>
    <col min="8" max="8" width="14.77734375" customWidth="1"/>
  </cols>
  <sheetData>
    <row r="1" spans="1:8" ht="34.950000000000003" customHeight="1" x14ac:dyDescent="0.4">
      <c r="A1" s="8" t="s">
        <v>34</v>
      </c>
      <c r="B1" s="1"/>
      <c r="C1" s="1"/>
      <c r="D1" s="1"/>
      <c r="E1" s="1"/>
      <c r="F1" s="1"/>
    </row>
    <row r="3" spans="1:8" ht="15.6" x14ac:dyDescent="0.3">
      <c r="A3" s="9" t="s">
        <v>35</v>
      </c>
      <c r="B3" s="1"/>
      <c r="C3" s="1"/>
      <c r="D3" s="1"/>
      <c r="E3" s="1"/>
      <c r="F3" s="1"/>
    </row>
    <row r="5" spans="1:8" x14ac:dyDescent="0.3">
      <c r="A5" s="6" t="s">
        <v>36</v>
      </c>
      <c r="B5" s="6" t="s">
        <v>37</v>
      </c>
      <c r="C5" s="6" t="s">
        <v>6</v>
      </c>
    </row>
    <row r="6" spans="1:8" x14ac:dyDescent="0.3">
      <c r="A6" t="s">
        <v>38</v>
      </c>
      <c r="B6" t="s">
        <v>41</v>
      </c>
      <c r="C6" t="s">
        <v>39</v>
      </c>
    </row>
    <row r="7" spans="1:8" x14ac:dyDescent="0.3">
      <c r="A7" t="s">
        <v>40</v>
      </c>
      <c r="B7" t="s">
        <v>42</v>
      </c>
      <c r="C7" t="s">
        <v>43</v>
      </c>
    </row>
    <row r="8" spans="1:8" x14ac:dyDescent="0.3">
      <c r="A8" t="s">
        <v>44</v>
      </c>
      <c r="B8" t="s">
        <v>45</v>
      </c>
      <c r="C8" t="s">
        <v>46</v>
      </c>
    </row>
    <row r="9" spans="1:8" x14ac:dyDescent="0.3">
      <c r="A9" t="s">
        <v>47</v>
      </c>
      <c r="B9" t="s">
        <v>48</v>
      </c>
      <c r="C9" t="s">
        <v>49</v>
      </c>
    </row>
    <row r="10" spans="1:8" x14ac:dyDescent="0.3">
      <c r="A10" t="s">
        <v>50</v>
      </c>
      <c r="B10" t="s">
        <v>51</v>
      </c>
      <c r="C10" t="s">
        <v>52</v>
      </c>
    </row>
    <row r="11" spans="1:8" x14ac:dyDescent="0.3">
      <c r="A11" t="s">
        <v>53</v>
      </c>
      <c r="B11" t="s">
        <v>54</v>
      </c>
      <c r="C11" t="s">
        <v>55</v>
      </c>
    </row>
    <row r="13" spans="1:8" x14ac:dyDescent="0.3">
      <c r="A13" s="4" t="s">
        <v>56</v>
      </c>
      <c r="F13" s="4" t="s">
        <v>66</v>
      </c>
    </row>
    <row r="14" spans="1:8" x14ac:dyDescent="0.3">
      <c r="A14" s="10" t="s">
        <v>57</v>
      </c>
      <c r="B14" s="10" t="s">
        <v>58</v>
      </c>
      <c r="C14" s="10" t="s">
        <v>59</v>
      </c>
      <c r="D14" s="10" t="s">
        <v>60</v>
      </c>
      <c r="F14" s="11" t="s">
        <v>6</v>
      </c>
      <c r="G14" s="11" t="s">
        <v>67</v>
      </c>
      <c r="H14" s="11" t="s">
        <v>80</v>
      </c>
    </row>
    <row r="15" spans="1:8" x14ac:dyDescent="0.3">
      <c r="A15" t="s">
        <v>61</v>
      </c>
      <c r="B15" t="s">
        <v>62</v>
      </c>
      <c r="C15">
        <v>150</v>
      </c>
      <c r="D15">
        <v>60</v>
      </c>
      <c r="F15" t="s">
        <v>68</v>
      </c>
      <c r="G15" t="s">
        <v>69</v>
      </c>
      <c r="H15">
        <f>SUMIF(A15:A21,"Apple",C15:C21)</f>
        <v>420</v>
      </c>
    </row>
    <row r="16" spans="1:8" x14ac:dyDescent="0.3">
      <c r="A16" t="s">
        <v>63</v>
      </c>
      <c r="B16" t="s">
        <v>64</v>
      </c>
      <c r="C16">
        <v>200</v>
      </c>
      <c r="D16">
        <v>45</v>
      </c>
      <c r="F16" t="s">
        <v>70</v>
      </c>
      <c r="G16" t="s">
        <v>71</v>
      </c>
      <c r="H16">
        <f>SUMIFS(C15:C21,A15:A21,"Apple",B15:B21,"North")</f>
        <v>240</v>
      </c>
    </row>
    <row r="17" spans="1:8" x14ac:dyDescent="0.3">
      <c r="A17" t="s">
        <v>61</v>
      </c>
      <c r="B17" t="s">
        <v>64</v>
      </c>
      <c r="C17">
        <v>180</v>
      </c>
      <c r="D17">
        <v>70</v>
      </c>
      <c r="F17" t="s">
        <v>72</v>
      </c>
      <c r="G17" t="s">
        <v>73</v>
      </c>
      <c r="H17">
        <f>COUNTIF(A15:A21,"Apple")</f>
        <v>3</v>
      </c>
    </row>
    <row r="18" spans="1:8" x14ac:dyDescent="0.3">
      <c r="A18" t="s">
        <v>65</v>
      </c>
      <c r="B18" t="s">
        <v>62</v>
      </c>
      <c r="C18">
        <v>120</v>
      </c>
      <c r="D18">
        <v>30</v>
      </c>
      <c r="F18" t="s">
        <v>74</v>
      </c>
      <c r="G18" t="s">
        <v>75</v>
      </c>
      <c r="H18">
        <f>COUNTIFS(A15:A21,"Apple",B15:B21,"North")</f>
        <v>2</v>
      </c>
    </row>
    <row r="19" spans="1:8" x14ac:dyDescent="0.3">
      <c r="A19" t="s">
        <v>61</v>
      </c>
      <c r="B19" t="s">
        <v>62</v>
      </c>
      <c r="C19">
        <v>90</v>
      </c>
      <c r="D19">
        <v>55</v>
      </c>
      <c r="F19" t="s">
        <v>76</v>
      </c>
      <c r="G19" t="s">
        <v>77</v>
      </c>
      <c r="H19">
        <f>AVERAGEIF(A15:A21,"Apple",C15:C21)</f>
        <v>140</v>
      </c>
    </row>
    <row r="20" spans="1:8" x14ac:dyDescent="0.3">
      <c r="A20" t="s">
        <v>63</v>
      </c>
      <c r="B20" t="s">
        <v>62</v>
      </c>
      <c r="C20">
        <v>160</v>
      </c>
      <c r="D20">
        <v>40</v>
      </c>
      <c r="F20" t="s">
        <v>78</v>
      </c>
      <c r="G20" t="s">
        <v>79</v>
      </c>
      <c r="H20">
        <f>SUMIFS(C15:C21,D15:D21,"&gt;50")</f>
        <v>420</v>
      </c>
    </row>
    <row r="21" spans="1:8" x14ac:dyDescent="0.3">
      <c r="A21" t="s">
        <v>65</v>
      </c>
      <c r="B21" t="s">
        <v>64</v>
      </c>
      <c r="C21">
        <v>140</v>
      </c>
      <c r="D21">
        <v>35</v>
      </c>
    </row>
    <row r="23" spans="1:8" ht="15.6" x14ac:dyDescent="0.3">
      <c r="A23" s="9" t="s">
        <v>81</v>
      </c>
      <c r="B23" s="1"/>
      <c r="C23" s="1"/>
      <c r="D23" s="1"/>
      <c r="E23" s="1"/>
      <c r="F23" s="1"/>
    </row>
    <row r="25" spans="1:8" x14ac:dyDescent="0.3">
      <c r="A25" s="4" t="s">
        <v>82</v>
      </c>
    </row>
    <row r="26" spans="1:8" x14ac:dyDescent="0.3">
      <c r="A26" t="s">
        <v>83</v>
      </c>
    </row>
    <row r="27" spans="1:8" x14ac:dyDescent="0.3">
      <c r="A27" t="s">
        <v>84</v>
      </c>
    </row>
    <row r="28" spans="1:8" x14ac:dyDescent="0.3">
      <c r="A28" t="s">
        <v>85</v>
      </c>
    </row>
    <row r="29" spans="1:8" x14ac:dyDescent="0.3">
      <c r="A29" t="s">
        <v>86</v>
      </c>
    </row>
    <row r="31" spans="1:8" x14ac:dyDescent="0.3">
      <c r="A31" t="s">
        <v>87</v>
      </c>
    </row>
    <row r="33" spans="1:8" x14ac:dyDescent="0.3">
      <c r="A33" s="10" t="s">
        <v>88</v>
      </c>
      <c r="B33" s="10" t="s">
        <v>89</v>
      </c>
      <c r="C33" s="10" t="s">
        <v>90</v>
      </c>
      <c r="D33" s="10" t="s">
        <v>91</v>
      </c>
      <c r="F33" s="4" t="s">
        <v>106</v>
      </c>
    </row>
    <row r="34" spans="1:8" x14ac:dyDescent="0.3">
      <c r="A34" t="s">
        <v>92</v>
      </c>
      <c r="B34" t="s">
        <v>93</v>
      </c>
      <c r="C34" t="s">
        <v>59</v>
      </c>
      <c r="D34">
        <v>55000</v>
      </c>
      <c r="F34" t="s">
        <v>107</v>
      </c>
      <c r="H34" t="str">
        <f>INDEX(B34:B38,MATCH("E003",A34:A38,0))</f>
        <v>Bob Wilson</v>
      </c>
    </row>
    <row r="35" spans="1:8" x14ac:dyDescent="0.3">
      <c r="A35" t="s">
        <v>94</v>
      </c>
      <c r="B35" t="s">
        <v>95</v>
      </c>
      <c r="C35" t="s">
        <v>96</v>
      </c>
      <c r="D35">
        <v>62000</v>
      </c>
      <c r="F35" t="s">
        <v>108</v>
      </c>
      <c r="H35">
        <f>INDEX(D34:D38,MATCH("Jane Doe",B34:B38,0))</f>
        <v>62000</v>
      </c>
    </row>
    <row r="36" spans="1:8" x14ac:dyDescent="0.3">
      <c r="A36" t="s">
        <v>97</v>
      </c>
      <c r="B36" t="s">
        <v>98</v>
      </c>
      <c r="C36" t="s">
        <v>99</v>
      </c>
      <c r="D36">
        <v>75000</v>
      </c>
      <c r="F36" t="s">
        <v>109</v>
      </c>
      <c r="H36" t="str">
        <f>INDEX(C34:C38,MATCH("E004",A34:A38,0))</f>
        <v>HR</v>
      </c>
    </row>
    <row r="37" spans="1:8" x14ac:dyDescent="0.3">
      <c r="A37" t="s">
        <v>100</v>
      </c>
      <c r="B37" t="s">
        <v>101</v>
      </c>
      <c r="C37" t="s">
        <v>102</v>
      </c>
      <c r="D37">
        <v>58000</v>
      </c>
      <c r="F37" t="s">
        <v>110</v>
      </c>
      <c r="H37" t="str">
        <f>INDEX(A34:A38,MATCH("IT",C34:C38,0))</f>
        <v>E003</v>
      </c>
    </row>
    <row r="38" spans="1:8" x14ac:dyDescent="0.3">
      <c r="A38" t="s">
        <v>103</v>
      </c>
      <c r="B38" t="s">
        <v>104</v>
      </c>
      <c r="C38" t="s">
        <v>105</v>
      </c>
      <c r="D38">
        <v>68000</v>
      </c>
    </row>
    <row r="40" spans="1:8" ht="15.6" x14ac:dyDescent="0.3">
      <c r="A40" s="9" t="s">
        <v>111</v>
      </c>
      <c r="B40" s="1"/>
      <c r="C40" s="1"/>
      <c r="D40" s="1"/>
      <c r="E40" s="1"/>
      <c r="F40" s="1"/>
    </row>
    <row r="42" spans="1:8" x14ac:dyDescent="0.3">
      <c r="A42" s="6" t="s">
        <v>36</v>
      </c>
      <c r="B42" s="6" t="s">
        <v>6</v>
      </c>
      <c r="C42" s="6" t="s">
        <v>112</v>
      </c>
      <c r="D42" s="6" t="s">
        <v>80</v>
      </c>
    </row>
    <row r="43" spans="1:8" x14ac:dyDescent="0.3">
      <c r="A43" t="s">
        <v>113</v>
      </c>
      <c r="B43" t="s">
        <v>114</v>
      </c>
      <c r="C43" t="s">
        <v>93</v>
      </c>
      <c r="D43" t="str">
        <f>LEFT("John Smith",4)</f>
        <v>John</v>
      </c>
    </row>
    <row r="44" spans="1:8" x14ac:dyDescent="0.3">
      <c r="A44" t="s">
        <v>115</v>
      </c>
      <c r="B44" t="s">
        <v>116</v>
      </c>
      <c r="C44" t="s">
        <v>93</v>
      </c>
      <c r="D44" t="str">
        <f>RIGHT("John Smith",5)</f>
        <v>Smith</v>
      </c>
    </row>
    <row r="45" spans="1:8" x14ac:dyDescent="0.3">
      <c r="A45" t="s">
        <v>117</v>
      </c>
      <c r="B45" t="s">
        <v>118</v>
      </c>
      <c r="C45" t="s">
        <v>93</v>
      </c>
      <c r="D45" t="str">
        <f>MID("John Smith",6,5)</f>
        <v>Smith</v>
      </c>
    </row>
    <row r="46" spans="1:8" x14ac:dyDescent="0.3">
      <c r="A46" t="s">
        <v>119</v>
      </c>
      <c r="B46" t="s">
        <v>120</v>
      </c>
      <c r="C46" t="s">
        <v>121</v>
      </c>
      <c r="D46">
        <f>LEN("Excel Training")</f>
        <v>14</v>
      </c>
    </row>
    <row r="47" spans="1:8" x14ac:dyDescent="0.3">
      <c r="A47" t="s">
        <v>122</v>
      </c>
      <c r="B47" t="s">
        <v>123</v>
      </c>
      <c r="C47" t="s">
        <v>124</v>
      </c>
      <c r="D47" t="str">
        <f>TRIM("  Hello   World  ")</f>
        <v>Hello World</v>
      </c>
    </row>
    <row r="48" spans="1:8" x14ac:dyDescent="0.3">
      <c r="A48" t="s">
        <v>125</v>
      </c>
      <c r="B48" t="s">
        <v>126</v>
      </c>
      <c r="C48" t="s">
        <v>127</v>
      </c>
      <c r="D48" t="str">
        <f>UPPER("excel")</f>
        <v>EXCEL</v>
      </c>
    </row>
    <row r="49" spans="1:4" x14ac:dyDescent="0.3">
      <c r="A49" t="s">
        <v>128</v>
      </c>
      <c r="B49" t="s">
        <v>129</v>
      </c>
      <c r="C49" t="s">
        <v>130</v>
      </c>
      <c r="D49" t="str">
        <f>LOWER("EXCEL")</f>
        <v>excel</v>
      </c>
    </row>
    <row r="50" spans="1:4" x14ac:dyDescent="0.3">
      <c r="A50" t="s">
        <v>131</v>
      </c>
      <c r="B50" t="s">
        <v>132</v>
      </c>
      <c r="C50" t="s">
        <v>133</v>
      </c>
      <c r="D50" t="str">
        <f>PROPER("john smith")</f>
        <v>John Smith</v>
      </c>
    </row>
    <row r="51" spans="1:4" x14ac:dyDescent="0.3">
      <c r="A51" t="s">
        <v>134</v>
      </c>
      <c r="B51" t="s">
        <v>135</v>
      </c>
      <c r="C51" t="s">
        <v>136</v>
      </c>
      <c r="D51" t="str">
        <f>_xlfn.CONCAT("Hello"," ","World")</f>
        <v>Hello World</v>
      </c>
    </row>
    <row r="52" spans="1:4" x14ac:dyDescent="0.3">
      <c r="A52" t="s">
        <v>137</v>
      </c>
      <c r="B52" t="s">
        <v>138</v>
      </c>
      <c r="C52" t="s">
        <v>139</v>
      </c>
      <c r="D52" t="str">
        <f>_xlfn.TEXTJOIN("-",TRUE,"A","B","C")</f>
        <v>A-B-C</v>
      </c>
    </row>
    <row r="53" spans="1:4" x14ac:dyDescent="0.3">
      <c r="A53" t="s">
        <v>140</v>
      </c>
      <c r="B53" t="s">
        <v>141</v>
      </c>
      <c r="C53" t="s">
        <v>142</v>
      </c>
      <c r="D53" t="str">
        <f>TEXT(1234.5,"$#,##0.00")</f>
        <v>$1,234.50</v>
      </c>
    </row>
  </sheetData>
  <mergeCells count="4">
    <mergeCell ref="A1:F1"/>
    <mergeCell ref="A3:F3"/>
    <mergeCell ref="A23:F23"/>
    <mergeCell ref="A40: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D484-1FB6-42C7-86E9-1EA55126E229}">
  <dimension ref="A1:L82"/>
  <sheetViews>
    <sheetView topLeftCell="A29" workbookViewId="0">
      <selection sqref="A1:H1"/>
    </sheetView>
  </sheetViews>
  <sheetFormatPr defaultRowHeight="14.4" x14ac:dyDescent="0.3"/>
  <cols>
    <col min="1" max="1" width="46.33203125" customWidth="1"/>
    <col min="2" max="2" width="51.88671875" customWidth="1"/>
    <col min="3" max="3" width="22.21875" customWidth="1"/>
    <col min="4" max="5" width="14.77734375" customWidth="1"/>
    <col min="6" max="6" width="27.77734375" customWidth="1"/>
    <col min="7" max="7" width="33.33203125" customWidth="1"/>
    <col min="8" max="9" width="18.5546875" customWidth="1"/>
  </cols>
  <sheetData>
    <row r="1" spans="1:9" ht="34.950000000000003" customHeight="1" x14ac:dyDescent="0.4">
      <c r="A1" s="8" t="s">
        <v>143</v>
      </c>
      <c r="B1" s="1"/>
      <c r="C1" s="1"/>
      <c r="D1" s="1"/>
      <c r="E1" s="1"/>
      <c r="F1" s="1"/>
    </row>
    <row r="3" spans="1:9" ht="15.6" x14ac:dyDescent="0.3">
      <c r="A3" s="9" t="s">
        <v>144</v>
      </c>
      <c r="B3" s="1"/>
      <c r="C3" s="1"/>
      <c r="D3" s="1"/>
      <c r="E3" s="1"/>
      <c r="F3" s="1"/>
    </row>
    <row r="5" spans="1:9" x14ac:dyDescent="0.3">
      <c r="A5" s="4" t="s">
        <v>145</v>
      </c>
    </row>
    <row r="7" spans="1:9" x14ac:dyDescent="0.3">
      <c r="A7" s="4" t="s">
        <v>146</v>
      </c>
    </row>
    <row r="8" spans="1:9" x14ac:dyDescent="0.3">
      <c r="A8" t="s">
        <v>147</v>
      </c>
    </row>
    <row r="9" spans="1:9" x14ac:dyDescent="0.3">
      <c r="A9" t="s">
        <v>148</v>
      </c>
    </row>
    <row r="10" spans="1:9" x14ac:dyDescent="0.3">
      <c r="A10" t="s">
        <v>149</v>
      </c>
    </row>
    <row r="11" spans="1:9" x14ac:dyDescent="0.3">
      <c r="A11" t="s">
        <v>150</v>
      </c>
    </row>
    <row r="12" spans="1:9" x14ac:dyDescent="0.3">
      <c r="A12" t="s">
        <v>151</v>
      </c>
    </row>
    <row r="14" spans="1:9" x14ac:dyDescent="0.3">
      <c r="A14" s="10" t="s">
        <v>152</v>
      </c>
      <c r="B14" s="10" t="s">
        <v>153</v>
      </c>
      <c r="C14" s="10" t="s">
        <v>154</v>
      </c>
      <c r="D14" s="10" t="s">
        <v>155</v>
      </c>
      <c r="E14" s="10" t="s">
        <v>156</v>
      </c>
      <c r="G14" s="11" t="s">
        <v>169</v>
      </c>
    </row>
    <row r="15" spans="1:9" x14ac:dyDescent="0.3">
      <c r="A15" t="s">
        <v>157</v>
      </c>
      <c r="B15" t="s">
        <v>158</v>
      </c>
      <c r="C15" t="s">
        <v>159</v>
      </c>
      <c r="D15">
        <v>999.99</v>
      </c>
      <c r="E15">
        <v>45</v>
      </c>
      <c r="G15" t="s">
        <v>170</v>
      </c>
      <c r="I15" t="str">
        <f>_xlfn.XLOOKUP("P003",A15:A19,B15:B19)</f>
        <v>Desk Chair</v>
      </c>
    </row>
    <row r="16" spans="1:9" x14ac:dyDescent="0.3">
      <c r="A16" t="s">
        <v>160</v>
      </c>
      <c r="B16" t="s">
        <v>161</v>
      </c>
      <c r="C16" t="s">
        <v>159</v>
      </c>
      <c r="D16">
        <v>29.99</v>
      </c>
      <c r="E16">
        <v>150</v>
      </c>
      <c r="G16" t="s">
        <v>171</v>
      </c>
      <c r="I16">
        <f>_xlfn.XLOOKUP("Mouse",B15:B19,D15:D19)</f>
        <v>29.99</v>
      </c>
    </row>
    <row r="17" spans="1:12" x14ac:dyDescent="0.3">
      <c r="A17" t="s">
        <v>162</v>
      </c>
      <c r="B17" t="s">
        <v>163</v>
      </c>
      <c r="C17" t="s">
        <v>164</v>
      </c>
      <c r="D17">
        <v>249.99</v>
      </c>
      <c r="E17">
        <v>30</v>
      </c>
      <c r="G17" t="s">
        <v>172</v>
      </c>
      <c r="I17" t="str">
        <f>_xlfn.XLOOKUP("P999",A15:A19,B15:B19,"Not Found")</f>
        <v>Not Found</v>
      </c>
    </row>
    <row r="18" spans="1:12" x14ac:dyDescent="0.3">
      <c r="A18" t="s">
        <v>165</v>
      </c>
      <c r="B18" t="s">
        <v>166</v>
      </c>
      <c r="C18" t="s">
        <v>159</v>
      </c>
      <c r="D18">
        <v>349.99</v>
      </c>
      <c r="E18">
        <v>60</v>
      </c>
      <c r="G18" t="s">
        <v>173</v>
      </c>
      <c r="I18" t="str" cm="1">
        <f t="array" ref="I18:L18">_xlfn.XLOOKUP("P002",A15:A19,B15:E19)</f>
        <v>Mouse</v>
      </c>
      <c r="J18" t="str">
        <v>Electronics</v>
      </c>
      <c r="K18">
        <v>29.99</v>
      </c>
      <c r="L18">
        <v>150</v>
      </c>
    </row>
    <row r="19" spans="1:12" x14ac:dyDescent="0.3">
      <c r="A19" t="s">
        <v>167</v>
      </c>
      <c r="B19" t="s">
        <v>168</v>
      </c>
      <c r="C19" t="s">
        <v>159</v>
      </c>
      <c r="D19">
        <v>79.989999999999995</v>
      </c>
      <c r="E19">
        <v>100</v>
      </c>
    </row>
    <row r="21" spans="1:12" ht="15.6" x14ac:dyDescent="0.3">
      <c r="A21" s="9" t="s">
        <v>174</v>
      </c>
      <c r="B21" s="1"/>
      <c r="C21" s="1"/>
      <c r="D21" s="1"/>
      <c r="E21" s="1"/>
      <c r="F21" s="1"/>
    </row>
    <row r="23" spans="1:12" x14ac:dyDescent="0.3">
      <c r="A23" t="s">
        <v>175</v>
      </c>
    </row>
    <row r="24" spans="1:12" x14ac:dyDescent="0.3">
      <c r="A24" t="s">
        <v>176</v>
      </c>
    </row>
    <row r="26" spans="1:12" x14ac:dyDescent="0.3">
      <c r="A26" s="6" t="s">
        <v>36</v>
      </c>
      <c r="B26" s="6" t="s">
        <v>6</v>
      </c>
      <c r="C26" s="6" t="s">
        <v>177</v>
      </c>
    </row>
    <row r="27" spans="1:12" x14ac:dyDescent="0.3">
      <c r="A27" t="s">
        <v>178</v>
      </c>
      <c r="B27" t="s">
        <v>179</v>
      </c>
      <c r="C27" t="s">
        <v>180</v>
      </c>
    </row>
    <row r="28" spans="1:12" x14ac:dyDescent="0.3">
      <c r="A28" t="s">
        <v>181</v>
      </c>
      <c r="B28" t="s">
        <v>182</v>
      </c>
      <c r="C28" t="s">
        <v>183</v>
      </c>
    </row>
    <row r="29" spans="1:12" x14ac:dyDescent="0.3">
      <c r="A29" t="s">
        <v>184</v>
      </c>
      <c r="B29" t="s">
        <v>185</v>
      </c>
      <c r="C29" t="s">
        <v>186</v>
      </c>
    </row>
    <row r="30" spans="1:12" x14ac:dyDescent="0.3">
      <c r="A30" t="s">
        <v>187</v>
      </c>
      <c r="B30" t="s">
        <v>188</v>
      </c>
      <c r="C30" t="s">
        <v>189</v>
      </c>
    </row>
    <row r="31" spans="1:12" x14ac:dyDescent="0.3">
      <c r="A31" t="s">
        <v>190</v>
      </c>
      <c r="B31" t="s">
        <v>191</v>
      </c>
      <c r="C31" t="s">
        <v>192</v>
      </c>
    </row>
    <row r="32" spans="1:12" x14ac:dyDescent="0.3">
      <c r="A32" t="s">
        <v>193</v>
      </c>
      <c r="B32" t="s">
        <v>194</v>
      </c>
      <c r="C32" t="s">
        <v>195</v>
      </c>
    </row>
    <row r="34" spans="1:11" x14ac:dyDescent="0.3">
      <c r="A34" s="10" t="s">
        <v>89</v>
      </c>
      <c r="B34" s="10" t="s">
        <v>90</v>
      </c>
      <c r="C34" s="10" t="s">
        <v>91</v>
      </c>
      <c r="D34" s="10" t="s">
        <v>196</v>
      </c>
      <c r="F34" s="11" t="s">
        <v>203</v>
      </c>
    </row>
    <row r="35" spans="1:11" x14ac:dyDescent="0.3">
      <c r="A35" t="s">
        <v>197</v>
      </c>
      <c r="B35" t="s">
        <v>59</v>
      </c>
      <c r="C35">
        <v>52000</v>
      </c>
      <c r="D35">
        <v>3</v>
      </c>
      <c r="F35" t="s">
        <v>204</v>
      </c>
      <c r="H35" t="str" cm="1">
        <f t="array" ref="H35:H37">_xlfn.UNIQUE(B35:B40)</f>
        <v>Sales</v>
      </c>
    </row>
    <row r="36" spans="1:11" x14ac:dyDescent="0.3">
      <c r="A36" t="s">
        <v>198</v>
      </c>
      <c r="B36" t="s">
        <v>99</v>
      </c>
      <c r="C36">
        <v>68000</v>
      </c>
      <c r="D36">
        <v>5</v>
      </c>
      <c r="H36" t="str">
        <v>IT</v>
      </c>
    </row>
    <row r="37" spans="1:11" x14ac:dyDescent="0.3">
      <c r="A37" t="s">
        <v>199</v>
      </c>
      <c r="B37" t="s">
        <v>59</v>
      </c>
      <c r="C37">
        <v>55000</v>
      </c>
      <c r="D37">
        <v>4</v>
      </c>
      <c r="H37" t="str">
        <v>HR</v>
      </c>
    </row>
    <row r="38" spans="1:11" x14ac:dyDescent="0.3">
      <c r="A38" t="s">
        <v>200</v>
      </c>
      <c r="B38" t="s">
        <v>102</v>
      </c>
      <c r="C38">
        <v>48000</v>
      </c>
      <c r="D38">
        <v>2</v>
      </c>
      <c r="F38" t="s">
        <v>205</v>
      </c>
      <c r="H38" t="str" cm="1">
        <f t="array" ref="H38:K39">_xlfn._xlws.FILTER(A35:D40,B35:B40="IT")</f>
        <v>Brian</v>
      </c>
      <c r="I38" t="str">
        <v>IT</v>
      </c>
      <c r="J38">
        <v>68000</v>
      </c>
      <c r="K38">
        <v>5</v>
      </c>
    </row>
    <row r="39" spans="1:11" x14ac:dyDescent="0.3">
      <c r="A39" t="s">
        <v>201</v>
      </c>
      <c r="B39" t="s">
        <v>99</v>
      </c>
      <c r="C39">
        <v>72000</v>
      </c>
      <c r="D39">
        <v>6</v>
      </c>
      <c r="H39" t="str">
        <v>Emma</v>
      </c>
      <c r="I39" t="str">
        <v>IT</v>
      </c>
      <c r="J39">
        <v>72000</v>
      </c>
      <c r="K39">
        <v>6</v>
      </c>
    </row>
    <row r="40" spans="1:11" x14ac:dyDescent="0.3">
      <c r="A40" t="s">
        <v>202</v>
      </c>
      <c r="B40" t="s">
        <v>59</v>
      </c>
      <c r="C40">
        <v>58000</v>
      </c>
      <c r="D40">
        <v>5</v>
      </c>
    </row>
    <row r="41" spans="1:11" x14ac:dyDescent="0.3">
      <c r="F41" t="s">
        <v>206</v>
      </c>
      <c r="H41" t="str" cm="1">
        <f t="array" ref="H41:K46">_xlfn._xlws.SORT(A35:D40,3,-1)</f>
        <v>Emma</v>
      </c>
      <c r="I41" t="str">
        <v>IT</v>
      </c>
      <c r="J41">
        <v>72000</v>
      </c>
      <c r="K41">
        <v>6</v>
      </c>
    </row>
    <row r="42" spans="1:11" x14ac:dyDescent="0.3">
      <c r="H42" t="str">
        <v>Brian</v>
      </c>
      <c r="I42" t="str">
        <v>IT</v>
      </c>
      <c r="J42">
        <v>68000</v>
      </c>
      <c r="K42">
        <v>5</v>
      </c>
    </row>
    <row r="43" spans="1:11" x14ac:dyDescent="0.3">
      <c r="H43" t="str">
        <v>Frank</v>
      </c>
      <c r="I43" t="str">
        <v>Sales</v>
      </c>
      <c r="J43">
        <v>58000</v>
      </c>
      <c r="K43">
        <v>5</v>
      </c>
    </row>
    <row r="44" spans="1:11" x14ac:dyDescent="0.3">
      <c r="H44" t="str">
        <v>Carol</v>
      </c>
      <c r="I44" t="str">
        <v>Sales</v>
      </c>
      <c r="J44">
        <v>55000</v>
      </c>
      <c r="K44">
        <v>4</v>
      </c>
    </row>
    <row r="45" spans="1:11" x14ac:dyDescent="0.3">
      <c r="H45" t="str">
        <v>Anna</v>
      </c>
      <c r="I45" t="str">
        <v>Sales</v>
      </c>
      <c r="J45">
        <v>52000</v>
      </c>
      <c r="K45">
        <v>3</v>
      </c>
    </row>
    <row r="46" spans="1:11" x14ac:dyDescent="0.3">
      <c r="H46" t="str">
        <v>David</v>
      </c>
      <c r="I46" t="str">
        <v>HR</v>
      </c>
      <c r="J46">
        <v>48000</v>
      </c>
      <c r="K46">
        <v>2</v>
      </c>
    </row>
    <row r="47" spans="1:11" x14ac:dyDescent="0.3">
      <c r="F47" t="s">
        <v>207</v>
      </c>
      <c r="H47" cm="1">
        <f t="array" ref="H47:H51">_xlfn.SEQUENCE(5,1,1,1)</f>
        <v>1</v>
      </c>
    </row>
    <row r="48" spans="1:11" x14ac:dyDescent="0.3">
      <c r="H48">
        <v>2</v>
      </c>
    </row>
    <row r="49" spans="1:8" x14ac:dyDescent="0.3">
      <c r="H49">
        <v>3</v>
      </c>
    </row>
    <row r="50" spans="1:8" x14ac:dyDescent="0.3">
      <c r="H50">
        <v>4</v>
      </c>
    </row>
    <row r="51" spans="1:8" x14ac:dyDescent="0.3">
      <c r="H51">
        <v>5</v>
      </c>
    </row>
    <row r="53" spans="1:8" ht="15.6" x14ac:dyDescent="0.3">
      <c r="A53" s="9" t="s">
        <v>208</v>
      </c>
      <c r="B53" s="1"/>
      <c r="C53" s="1"/>
      <c r="D53" s="1"/>
      <c r="E53" s="1"/>
      <c r="F53" s="1"/>
    </row>
    <row r="55" spans="1:8" x14ac:dyDescent="0.3">
      <c r="A55" s="4" t="s">
        <v>209</v>
      </c>
    </row>
    <row r="56" spans="1:8" x14ac:dyDescent="0.3">
      <c r="A56" t="s">
        <v>210</v>
      </c>
    </row>
    <row r="58" spans="1:8" x14ac:dyDescent="0.3">
      <c r="A58" t="s">
        <v>211</v>
      </c>
    </row>
    <row r="59" spans="1:8" x14ac:dyDescent="0.3">
      <c r="A59" t="s">
        <v>212</v>
      </c>
    </row>
    <row r="60" spans="1:8" x14ac:dyDescent="0.3">
      <c r="A60" t="s">
        <v>213</v>
      </c>
    </row>
    <row r="61" spans="1:8" x14ac:dyDescent="0.3">
      <c r="A61" t="s">
        <v>214</v>
      </c>
    </row>
    <row r="63" spans="1:8" x14ac:dyDescent="0.3">
      <c r="A63" s="6" t="s">
        <v>177</v>
      </c>
      <c r="B63" s="6" t="s">
        <v>215</v>
      </c>
      <c r="C63" s="6" t="s">
        <v>80</v>
      </c>
    </row>
    <row r="64" spans="1:8" x14ac:dyDescent="0.3">
      <c r="A64" t="s">
        <v>216</v>
      </c>
      <c r="B64" t="s">
        <v>217</v>
      </c>
      <c r="C64">
        <f>_xlfn.LET(_xlpm.price,100,_xlpm.rate,0.08,_xlpm.price*_xlpm.rate)</f>
        <v>8</v>
      </c>
    </row>
    <row r="65" spans="1:6" x14ac:dyDescent="0.3">
      <c r="A65" t="s">
        <v>218</v>
      </c>
      <c r="B65" t="s">
        <v>219</v>
      </c>
      <c r="C65">
        <f>_xlfn.LET(_xlpm.total,SUM(10,20,30),_xlpm.total*2)</f>
        <v>120</v>
      </c>
    </row>
    <row r="68" spans="1:6" x14ac:dyDescent="0.3">
      <c r="A68" s="4" t="s">
        <v>220</v>
      </c>
    </row>
    <row r="69" spans="1:6" x14ac:dyDescent="0.3">
      <c r="A69" t="s">
        <v>221</v>
      </c>
    </row>
    <row r="70" spans="1:6" x14ac:dyDescent="0.3">
      <c r="A70" t="s">
        <v>222</v>
      </c>
    </row>
    <row r="71" spans="1:6" x14ac:dyDescent="0.3">
      <c r="A71" t="s">
        <v>223</v>
      </c>
    </row>
    <row r="73" spans="1:6" x14ac:dyDescent="0.3">
      <c r="A73" t="s">
        <v>224</v>
      </c>
      <c r="B73" t="s">
        <v>225</v>
      </c>
      <c r="C73" cm="1">
        <f t="array" ref="C73">_xlfn.LAMBDA(_xlpm.x,_xlpm.y,_xlpm.x*_xlpm.y)(5,10)</f>
        <v>50</v>
      </c>
    </row>
    <row r="76" spans="1:6" ht="15.6" x14ac:dyDescent="0.3">
      <c r="A76" s="9" t="s">
        <v>226</v>
      </c>
      <c r="B76" s="1"/>
      <c r="C76" s="1"/>
      <c r="D76" s="1"/>
      <c r="E76" s="1"/>
      <c r="F76" s="1"/>
    </row>
    <row r="78" spans="1:6" x14ac:dyDescent="0.3">
      <c r="A78" s="6" t="s">
        <v>36</v>
      </c>
      <c r="B78" s="6" t="s">
        <v>6</v>
      </c>
      <c r="C78" s="6" t="s">
        <v>227</v>
      </c>
    </row>
    <row r="79" spans="1:6" x14ac:dyDescent="0.3">
      <c r="A79" t="s">
        <v>228</v>
      </c>
      <c r="B79" t="s">
        <v>229</v>
      </c>
      <c r="C79" t="str" cm="1">
        <f t="array" ref="C79">_xlfn.IFS(85&gt;=90,"A",85&gt;=80,"B",85&gt;=70,"C",TRUE,"F")</f>
        <v>B</v>
      </c>
    </row>
    <row r="80" spans="1:6" x14ac:dyDescent="0.3">
      <c r="A80" t="s">
        <v>230</v>
      </c>
      <c r="B80" t="s">
        <v>231</v>
      </c>
      <c r="C80" t="str" cm="1">
        <f t="array" ref="C80">_xlfn.SWITCH(2,1,"Jan",2,"Feb",3,"Mar","Unknown")</f>
        <v>Feb</v>
      </c>
    </row>
    <row r="81" spans="1:3" x14ac:dyDescent="0.3">
      <c r="A81" t="s">
        <v>232</v>
      </c>
      <c r="B81" t="s">
        <v>233</v>
      </c>
      <c r="C81">
        <f>_xlfn.MAXIFS(C35:C40,B35:B40,"Sales")</f>
        <v>58000</v>
      </c>
    </row>
    <row r="82" spans="1:3" x14ac:dyDescent="0.3">
      <c r="A82" t="s">
        <v>234</v>
      </c>
      <c r="B82" t="s">
        <v>235</v>
      </c>
      <c r="C82">
        <f>_xlfn.MINIFS(C35:C40,B35:B40,"IT")</f>
        <v>68000</v>
      </c>
    </row>
  </sheetData>
  <mergeCells count="5">
    <mergeCell ref="A1:F1"/>
    <mergeCell ref="A3:F3"/>
    <mergeCell ref="A21:F21"/>
    <mergeCell ref="A53:F53"/>
    <mergeCell ref="A76:F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A6E5-1E37-4A41-9CDC-A13AC74196C6}">
  <dimension ref="A1:H54"/>
  <sheetViews>
    <sheetView workbookViewId="0">
      <selection sqref="A1:H1"/>
    </sheetView>
  </sheetViews>
  <sheetFormatPr defaultRowHeight="14.4" x14ac:dyDescent="0.3"/>
  <cols>
    <col min="1" max="1" width="33.33203125" customWidth="1"/>
    <col min="2" max="2" width="64.77734375" customWidth="1"/>
    <col min="3" max="3" width="37" customWidth="1"/>
    <col min="4" max="4" width="18.5546875" customWidth="1"/>
  </cols>
  <sheetData>
    <row r="1" spans="1:8" ht="34.950000000000003" customHeight="1" x14ac:dyDescent="0.4">
      <c r="A1" s="8" t="s">
        <v>236</v>
      </c>
      <c r="B1" s="1"/>
      <c r="C1" s="1"/>
      <c r="D1" s="1"/>
      <c r="E1" s="1"/>
      <c r="F1" s="1"/>
      <c r="G1" s="1"/>
      <c r="H1" s="1"/>
    </row>
    <row r="3" spans="1:8" ht="15.6" x14ac:dyDescent="0.3">
      <c r="A3" s="9" t="s">
        <v>237</v>
      </c>
      <c r="B3" s="1"/>
      <c r="C3" s="1"/>
      <c r="D3" s="1"/>
      <c r="E3" s="1"/>
      <c r="F3" s="1"/>
      <c r="G3" s="1"/>
      <c r="H3" s="1"/>
    </row>
    <row r="5" spans="1:8" x14ac:dyDescent="0.3">
      <c r="A5" s="4" t="s">
        <v>238</v>
      </c>
    </row>
    <row r="7" spans="1:8" x14ac:dyDescent="0.3">
      <c r="A7" s="4" t="s">
        <v>239</v>
      </c>
    </row>
    <row r="8" spans="1:8" x14ac:dyDescent="0.3">
      <c r="A8" t="s">
        <v>240</v>
      </c>
    </row>
    <row r="9" spans="1:8" x14ac:dyDescent="0.3">
      <c r="A9" t="s">
        <v>241</v>
      </c>
    </row>
    <row r="10" spans="1:8" x14ac:dyDescent="0.3">
      <c r="A10" t="s">
        <v>242</v>
      </c>
    </row>
    <row r="11" spans="1:8" x14ac:dyDescent="0.3">
      <c r="A11" t="s">
        <v>243</v>
      </c>
    </row>
    <row r="13" spans="1:8" x14ac:dyDescent="0.3">
      <c r="A13" s="4" t="s">
        <v>244</v>
      </c>
    </row>
    <row r="14" spans="1:8" x14ac:dyDescent="0.3">
      <c r="A14" t="s">
        <v>245</v>
      </c>
    </row>
    <row r="15" spans="1:8" x14ac:dyDescent="0.3">
      <c r="A15" t="s">
        <v>246</v>
      </c>
    </row>
    <row r="16" spans="1:8" x14ac:dyDescent="0.3">
      <c r="A16" t="s">
        <v>247</v>
      </c>
    </row>
    <row r="17" spans="1:8" x14ac:dyDescent="0.3">
      <c r="A17" t="s">
        <v>248</v>
      </c>
    </row>
    <row r="19" spans="1:8" x14ac:dyDescent="0.3">
      <c r="A19" s="4" t="s">
        <v>249</v>
      </c>
    </row>
    <row r="20" spans="1:8" x14ac:dyDescent="0.3">
      <c r="A20" t="s">
        <v>250</v>
      </c>
    </row>
    <row r="21" spans="1:8" x14ac:dyDescent="0.3">
      <c r="A21" t="s">
        <v>251</v>
      </c>
    </row>
    <row r="22" spans="1:8" x14ac:dyDescent="0.3">
      <c r="A22" t="s">
        <v>252</v>
      </c>
    </row>
    <row r="23" spans="1:8" x14ac:dyDescent="0.3">
      <c r="A23" t="s">
        <v>253</v>
      </c>
    </row>
    <row r="25" spans="1:8" ht="15.6" x14ac:dyDescent="0.3">
      <c r="A25" s="9" t="s">
        <v>254</v>
      </c>
      <c r="B25" s="1"/>
      <c r="C25" s="1"/>
      <c r="D25" s="1"/>
      <c r="E25" s="1"/>
      <c r="F25" s="1"/>
      <c r="G25" s="1"/>
      <c r="H25" s="1"/>
    </row>
    <row r="27" spans="1:8" x14ac:dyDescent="0.3">
      <c r="A27" s="4" t="s">
        <v>255</v>
      </c>
    </row>
    <row r="29" spans="1:8" x14ac:dyDescent="0.3">
      <c r="A29" t="s">
        <v>256</v>
      </c>
    </row>
    <row r="31" spans="1:8" x14ac:dyDescent="0.3">
      <c r="A31" s="4" t="s">
        <v>257</v>
      </c>
    </row>
    <row r="32" spans="1:8" x14ac:dyDescent="0.3">
      <c r="A32" s="6" t="s">
        <v>258</v>
      </c>
      <c r="B32" s="6" t="s">
        <v>6</v>
      </c>
      <c r="C32" s="6" t="s">
        <v>259</v>
      </c>
    </row>
    <row r="33" spans="1:8" x14ac:dyDescent="0.3">
      <c r="A33" t="s">
        <v>260</v>
      </c>
      <c r="B33" t="s">
        <v>261</v>
      </c>
      <c r="C33" t="s">
        <v>262</v>
      </c>
    </row>
    <row r="34" spans="1:8" x14ac:dyDescent="0.3">
      <c r="A34" t="s">
        <v>263</v>
      </c>
      <c r="B34" t="s">
        <v>264</v>
      </c>
      <c r="C34" t="s">
        <v>265</v>
      </c>
    </row>
    <row r="35" spans="1:8" x14ac:dyDescent="0.3">
      <c r="A35" t="s">
        <v>266</v>
      </c>
      <c r="B35" t="s">
        <v>267</v>
      </c>
      <c r="C35" t="s">
        <v>268</v>
      </c>
    </row>
    <row r="36" spans="1:8" x14ac:dyDescent="0.3">
      <c r="A36" t="s">
        <v>269</v>
      </c>
      <c r="B36" t="s">
        <v>270</v>
      </c>
      <c r="C36" t="s">
        <v>271</v>
      </c>
    </row>
    <row r="37" spans="1:8" x14ac:dyDescent="0.3">
      <c r="A37" t="s">
        <v>272</v>
      </c>
      <c r="B37" t="s">
        <v>273</v>
      </c>
      <c r="C37" t="s">
        <v>274</v>
      </c>
    </row>
    <row r="38" spans="1:8" x14ac:dyDescent="0.3">
      <c r="A38" t="s">
        <v>275</v>
      </c>
      <c r="B38" t="s">
        <v>276</v>
      </c>
      <c r="C38" t="s">
        <v>277</v>
      </c>
    </row>
    <row r="39" spans="1:8" x14ac:dyDescent="0.3">
      <c r="A39" t="s">
        <v>278</v>
      </c>
      <c r="B39" t="s">
        <v>279</v>
      </c>
      <c r="C39" t="s">
        <v>280</v>
      </c>
    </row>
    <row r="41" spans="1:8" ht="15.6" x14ac:dyDescent="0.3">
      <c r="A41" s="9" t="s">
        <v>281</v>
      </c>
      <c r="B41" s="1"/>
      <c r="C41" s="1"/>
      <c r="D41" s="1"/>
      <c r="E41" s="1"/>
      <c r="F41" s="1"/>
      <c r="G41" s="1"/>
      <c r="H41" s="1"/>
    </row>
    <row r="43" spans="1:8" x14ac:dyDescent="0.3">
      <c r="A43" s="4" t="s">
        <v>282</v>
      </c>
      <c r="D43" s="4" t="s">
        <v>298</v>
      </c>
    </row>
    <row r="44" spans="1:8" x14ac:dyDescent="0.3">
      <c r="D44" s="10" t="s">
        <v>299</v>
      </c>
    </row>
    <row r="45" spans="1:8" x14ac:dyDescent="0.3">
      <c r="A45" t="s">
        <v>283</v>
      </c>
      <c r="D45">
        <v>95</v>
      </c>
    </row>
    <row r="46" spans="1:8" x14ac:dyDescent="0.3">
      <c r="D46">
        <v>78</v>
      </c>
    </row>
    <row r="47" spans="1:8" x14ac:dyDescent="0.3">
      <c r="A47" s="4" t="s">
        <v>284</v>
      </c>
      <c r="D47">
        <v>62</v>
      </c>
    </row>
    <row r="48" spans="1:8" x14ac:dyDescent="0.3">
      <c r="A48" s="6" t="s">
        <v>285</v>
      </c>
      <c r="B48" s="6" t="s">
        <v>6</v>
      </c>
      <c r="D48">
        <v>88</v>
      </c>
    </row>
    <row r="49" spans="1:4" x14ac:dyDescent="0.3">
      <c r="A49" t="s">
        <v>286</v>
      </c>
      <c r="B49" t="s">
        <v>287</v>
      </c>
      <c r="D49">
        <v>45</v>
      </c>
    </row>
    <row r="50" spans="1:4" x14ac:dyDescent="0.3">
      <c r="A50" t="s">
        <v>288</v>
      </c>
      <c r="B50" t="s">
        <v>289</v>
      </c>
      <c r="D50">
        <v>91</v>
      </c>
    </row>
    <row r="51" spans="1:4" x14ac:dyDescent="0.3">
      <c r="A51" t="s">
        <v>290</v>
      </c>
      <c r="B51" t="s">
        <v>291</v>
      </c>
    </row>
    <row r="52" spans="1:4" x14ac:dyDescent="0.3">
      <c r="A52" t="s">
        <v>292</v>
      </c>
      <c r="B52" t="s">
        <v>293</v>
      </c>
    </row>
    <row r="53" spans="1:4" x14ac:dyDescent="0.3">
      <c r="A53" t="s">
        <v>294</v>
      </c>
      <c r="B53" t="s">
        <v>295</v>
      </c>
    </row>
    <row r="54" spans="1:4" x14ac:dyDescent="0.3">
      <c r="A54" t="s">
        <v>296</v>
      </c>
      <c r="B54" t="s">
        <v>297</v>
      </c>
    </row>
  </sheetData>
  <mergeCells count="4">
    <mergeCell ref="A1:H1"/>
    <mergeCell ref="A3:H3"/>
    <mergeCell ref="A25:H25"/>
    <mergeCell ref="A41:H41"/>
  </mergeCells>
  <conditionalFormatting sqref="D45:D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24FC-E863-4479-AE8F-728465536E02}">
  <dimension ref="A1:H63"/>
  <sheetViews>
    <sheetView workbookViewId="0">
      <selection sqref="A1:H1"/>
    </sheetView>
  </sheetViews>
  <sheetFormatPr defaultRowHeight="14.4" x14ac:dyDescent="0.3"/>
  <cols>
    <col min="1" max="1" width="55.5546875" customWidth="1"/>
    <col min="2" max="2" width="46.33203125" customWidth="1"/>
  </cols>
  <sheetData>
    <row r="1" spans="1:8" ht="34.950000000000003" customHeight="1" x14ac:dyDescent="0.4">
      <c r="A1" s="8" t="s">
        <v>300</v>
      </c>
      <c r="B1" s="1"/>
      <c r="C1" s="1"/>
      <c r="D1" s="1"/>
      <c r="E1" s="1"/>
      <c r="F1" s="1"/>
      <c r="G1" s="1"/>
      <c r="H1" s="1"/>
    </row>
    <row r="3" spans="1:8" ht="15.6" x14ac:dyDescent="0.3">
      <c r="A3" s="9" t="s">
        <v>301</v>
      </c>
      <c r="B3" s="1"/>
      <c r="C3" s="1"/>
      <c r="D3" s="1"/>
      <c r="E3" s="1"/>
      <c r="F3" s="1"/>
      <c r="G3" s="1"/>
      <c r="H3" s="1"/>
    </row>
    <row r="5" spans="1:8" x14ac:dyDescent="0.3">
      <c r="A5" s="4" t="s">
        <v>302</v>
      </c>
    </row>
    <row r="7" spans="1:8" x14ac:dyDescent="0.3">
      <c r="A7" s="4" t="s">
        <v>211</v>
      </c>
    </row>
    <row r="8" spans="1:8" x14ac:dyDescent="0.3">
      <c r="A8" t="s">
        <v>303</v>
      </c>
    </row>
    <row r="9" spans="1:8" x14ac:dyDescent="0.3">
      <c r="A9" t="s">
        <v>304</v>
      </c>
    </row>
    <row r="10" spans="1:8" x14ac:dyDescent="0.3">
      <c r="A10" t="s">
        <v>305</v>
      </c>
    </row>
    <row r="12" spans="1:8" x14ac:dyDescent="0.3">
      <c r="A12" s="4" t="s">
        <v>306</v>
      </c>
    </row>
    <row r="13" spans="1:8" x14ac:dyDescent="0.3">
      <c r="A13" t="s">
        <v>307</v>
      </c>
    </row>
    <row r="14" spans="1:8" x14ac:dyDescent="0.3">
      <c r="A14" t="s">
        <v>308</v>
      </c>
    </row>
    <row r="15" spans="1:8" x14ac:dyDescent="0.3">
      <c r="A15" t="s">
        <v>309</v>
      </c>
    </row>
    <row r="17" spans="1:8" x14ac:dyDescent="0.3">
      <c r="A17" s="4" t="s">
        <v>310</v>
      </c>
    </row>
    <row r="18" spans="1:8" x14ac:dyDescent="0.3">
      <c r="A18" t="s">
        <v>311</v>
      </c>
    </row>
    <row r="19" spans="1:8" x14ac:dyDescent="0.3">
      <c r="A19" t="s">
        <v>312</v>
      </c>
    </row>
    <row r="20" spans="1:8" x14ac:dyDescent="0.3">
      <c r="A20" t="s">
        <v>313</v>
      </c>
    </row>
    <row r="21" spans="1:8" x14ac:dyDescent="0.3">
      <c r="A21" t="s">
        <v>314</v>
      </c>
    </row>
    <row r="23" spans="1:8" ht="15.6" x14ac:dyDescent="0.3">
      <c r="A23" s="9" t="s">
        <v>315</v>
      </c>
      <c r="B23" s="1"/>
      <c r="C23" s="1"/>
      <c r="D23" s="1"/>
      <c r="E23" s="1"/>
      <c r="F23" s="1"/>
      <c r="G23" s="1"/>
      <c r="H23" s="1"/>
    </row>
    <row r="25" spans="1:8" x14ac:dyDescent="0.3">
      <c r="A25" s="4" t="s">
        <v>316</v>
      </c>
    </row>
    <row r="27" spans="1:8" x14ac:dyDescent="0.3">
      <c r="A27" s="4" t="s">
        <v>211</v>
      </c>
    </row>
    <row r="28" spans="1:8" x14ac:dyDescent="0.3">
      <c r="A28" t="s">
        <v>317</v>
      </c>
    </row>
    <row r="29" spans="1:8" x14ac:dyDescent="0.3">
      <c r="A29" t="s">
        <v>318</v>
      </c>
    </row>
    <row r="30" spans="1:8" x14ac:dyDescent="0.3">
      <c r="A30" t="s">
        <v>319</v>
      </c>
    </row>
    <row r="31" spans="1:8" x14ac:dyDescent="0.3">
      <c r="A31" t="s">
        <v>320</v>
      </c>
    </row>
    <row r="32" spans="1:8" x14ac:dyDescent="0.3">
      <c r="A32" t="s">
        <v>321</v>
      </c>
    </row>
    <row r="34" spans="1:8" x14ac:dyDescent="0.3">
      <c r="A34" s="4" t="s">
        <v>322</v>
      </c>
    </row>
    <row r="35" spans="1:8" x14ac:dyDescent="0.3">
      <c r="A35" t="s">
        <v>323</v>
      </c>
    </row>
    <row r="36" spans="1:8" x14ac:dyDescent="0.3">
      <c r="A36" t="s">
        <v>324</v>
      </c>
    </row>
    <row r="37" spans="1:8" x14ac:dyDescent="0.3">
      <c r="A37" t="s">
        <v>325</v>
      </c>
    </row>
    <row r="38" spans="1:8" x14ac:dyDescent="0.3">
      <c r="A38" t="s">
        <v>326</v>
      </c>
    </row>
    <row r="40" spans="1:8" ht="15.6" x14ac:dyDescent="0.3">
      <c r="A40" s="9" t="s">
        <v>327</v>
      </c>
      <c r="B40" s="1"/>
      <c r="C40" s="1"/>
      <c r="D40" s="1"/>
      <c r="E40" s="1"/>
      <c r="F40" s="1"/>
      <c r="G40" s="1"/>
      <c r="H40" s="1"/>
    </row>
    <row r="42" spans="1:8" x14ac:dyDescent="0.3">
      <c r="A42" s="4" t="s">
        <v>328</v>
      </c>
    </row>
    <row r="43" spans="1:8" x14ac:dyDescent="0.3">
      <c r="A43" t="s">
        <v>329</v>
      </c>
    </row>
    <row r="45" spans="1:8" x14ac:dyDescent="0.3">
      <c r="A45" s="4" t="s">
        <v>330</v>
      </c>
    </row>
    <row r="46" spans="1:8" x14ac:dyDescent="0.3">
      <c r="A46" t="s">
        <v>331</v>
      </c>
    </row>
    <row r="47" spans="1:8" x14ac:dyDescent="0.3">
      <c r="A47" t="s">
        <v>332</v>
      </c>
    </row>
    <row r="48" spans="1:8" x14ac:dyDescent="0.3">
      <c r="A48" t="s">
        <v>333</v>
      </c>
    </row>
    <row r="49" spans="1:2" x14ac:dyDescent="0.3">
      <c r="A49" t="s">
        <v>334</v>
      </c>
    </row>
    <row r="50" spans="1:2" x14ac:dyDescent="0.3">
      <c r="A50" t="s">
        <v>335</v>
      </c>
    </row>
    <row r="51" spans="1:2" x14ac:dyDescent="0.3">
      <c r="A51" t="s">
        <v>336</v>
      </c>
    </row>
    <row r="52" spans="1:2" x14ac:dyDescent="0.3">
      <c r="A52" t="s">
        <v>337</v>
      </c>
    </row>
    <row r="54" spans="1:2" x14ac:dyDescent="0.3">
      <c r="A54" s="4" t="s">
        <v>338</v>
      </c>
    </row>
    <row r="55" spans="1:2" x14ac:dyDescent="0.3">
      <c r="A55" s="6" t="s">
        <v>339</v>
      </c>
      <c r="B55" s="6" t="s">
        <v>6</v>
      </c>
    </row>
    <row r="56" spans="1:2" x14ac:dyDescent="0.3">
      <c r="A56" t="s">
        <v>340</v>
      </c>
      <c r="B56" t="s">
        <v>341</v>
      </c>
    </row>
    <row r="57" spans="1:2" x14ac:dyDescent="0.3">
      <c r="A57" t="s">
        <v>342</v>
      </c>
      <c r="B57" t="s">
        <v>343</v>
      </c>
    </row>
    <row r="58" spans="1:2" x14ac:dyDescent="0.3">
      <c r="A58" t="s">
        <v>344</v>
      </c>
      <c r="B58" t="s">
        <v>345</v>
      </c>
    </row>
    <row r="59" spans="1:2" x14ac:dyDescent="0.3">
      <c r="A59" t="s">
        <v>346</v>
      </c>
      <c r="B59" t="s">
        <v>347</v>
      </c>
    </row>
    <row r="60" spans="1:2" x14ac:dyDescent="0.3">
      <c r="A60" t="s">
        <v>348</v>
      </c>
      <c r="B60" t="s">
        <v>349</v>
      </c>
    </row>
    <row r="61" spans="1:2" x14ac:dyDescent="0.3">
      <c r="A61" t="s">
        <v>350</v>
      </c>
      <c r="B61" t="s">
        <v>351</v>
      </c>
    </row>
    <row r="62" spans="1:2" x14ac:dyDescent="0.3">
      <c r="A62" t="s">
        <v>352</v>
      </c>
      <c r="B62" t="s">
        <v>353</v>
      </c>
    </row>
    <row r="63" spans="1:2" x14ac:dyDescent="0.3">
      <c r="A63" t="s">
        <v>354</v>
      </c>
      <c r="B63" t="s">
        <v>355</v>
      </c>
    </row>
  </sheetData>
  <mergeCells count="4">
    <mergeCell ref="A1:H1"/>
    <mergeCell ref="A3:H3"/>
    <mergeCell ref="A23:H23"/>
    <mergeCell ref="A40:H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28C3-C598-4630-A628-2E01E1EEA01B}">
  <dimension ref="A1:K40"/>
  <sheetViews>
    <sheetView workbookViewId="0">
      <selection activeCell="D44" sqref="D44"/>
    </sheetView>
  </sheetViews>
  <sheetFormatPr defaultRowHeight="14.4" x14ac:dyDescent="0.3"/>
  <cols>
    <col min="1" max="1" width="14.77734375" customWidth="1"/>
    <col min="2" max="2" width="18.5546875" customWidth="1"/>
    <col min="3" max="3" width="14.77734375" customWidth="1"/>
    <col min="4" max="4" width="16.6640625" customWidth="1"/>
    <col min="5" max="5" width="22.21875" customWidth="1"/>
    <col min="6" max="6" width="14.77734375" customWidth="1"/>
    <col min="7" max="7" width="16.6640625" customWidth="1"/>
    <col min="8" max="8" width="18.5546875" customWidth="1"/>
    <col min="10" max="10" width="22.21875" customWidth="1"/>
    <col min="11" max="11" width="18.5546875" customWidth="1"/>
  </cols>
  <sheetData>
    <row r="1" spans="1:11" ht="34.950000000000003" customHeight="1" x14ac:dyDescent="0.4">
      <c r="A1" s="8" t="s">
        <v>356</v>
      </c>
      <c r="B1" s="1"/>
      <c r="C1" s="1"/>
      <c r="D1" s="1"/>
      <c r="E1" s="1"/>
      <c r="F1" s="1"/>
      <c r="G1" s="1"/>
      <c r="H1" s="1"/>
      <c r="I1" s="1"/>
      <c r="J1" s="1"/>
    </row>
    <row r="3" spans="1:11" x14ac:dyDescent="0.3">
      <c r="A3" s="12" t="s">
        <v>357</v>
      </c>
      <c r="B3" s="1"/>
      <c r="C3" s="1"/>
      <c r="D3" s="1"/>
      <c r="E3" s="1"/>
      <c r="F3" s="1"/>
      <c r="G3" s="1"/>
      <c r="H3" s="1"/>
      <c r="I3" s="1"/>
      <c r="J3" s="1"/>
    </row>
    <row r="5" spans="1:11" x14ac:dyDescent="0.3">
      <c r="A5" t="s">
        <v>358</v>
      </c>
    </row>
    <row r="6" spans="1:11" x14ac:dyDescent="0.3">
      <c r="A6" t="s">
        <v>359</v>
      </c>
    </row>
    <row r="7" spans="1:11" x14ac:dyDescent="0.3">
      <c r="A7" t="s">
        <v>360</v>
      </c>
    </row>
    <row r="9" spans="1:11" x14ac:dyDescent="0.3">
      <c r="A9" s="13" t="s">
        <v>361</v>
      </c>
      <c r="B9" s="1"/>
      <c r="C9" s="1"/>
      <c r="D9" s="1"/>
      <c r="E9" s="1"/>
      <c r="F9" s="1"/>
      <c r="G9" s="1"/>
      <c r="H9" s="1"/>
      <c r="J9" s="16" t="s">
        <v>403</v>
      </c>
      <c r="K9" s="1"/>
    </row>
    <row r="10" spans="1:11" x14ac:dyDescent="0.3">
      <c r="A10" s="10" t="s">
        <v>362</v>
      </c>
      <c r="B10" s="10" t="s">
        <v>269</v>
      </c>
      <c r="C10" s="10" t="s">
        <v>58</v>
      </c>
      <c r="D10" s="10" t="s">
        <v>154</v>
      </c>
      <c r="E10" s="10" t="s">
        <v>57</v>
      </c>
      <c r="F10" s="10" t="s">
        <v>60</v>
      </c>
      <c r="G10" s="10" t="s">
        <v>363</v>
      </c>
      <c r="H10" s="10" t="s">
        <v>364</v>
      </c>
      <c r="J10" s="11" t="s">
        <v>404</v>
      </c>
      <c r="K10" s="11" t="s">
        <v>405</v>
      </c>
    </row>
    <row r="11" spans="1:11" x14ac:dyDescent="0.3">
      <c r="A11" t="s">
        <v>365</v>
      </c>
      <c r="B11" s="15">
        <v>45296</v>
      </c>
      <c r="C11" t="s">
        <v>62</v>
      </c>
      <c r="D11" t="s">
        <v>159</v>
      </c>
      <c r="E11" t="s">
        <v>158</v>
      </c>
      <c r="F11">
        <v>2</v>
      </c>
      <c r="G11" s="14">
        <v>899.99</v>
      </c>
      <c r="H11" s="14">
        <f>F11*G11</f>
        <v>1799.98</v>
      </c>
      <c r="J11" t="s">
        <v>406</v>
      </c>
      <c r="K11">
        <f>COUNTA(A11:A40)</f>
        <v>30</v>
      </c>
    </row>
    <row r="12" spans="1:11" x14ac:dyDescent="0.3">
      <c r="A12" t="s">
        <v>366</v>
      </c>
      <c r="B12" s="15">
        <v>45299</v>
      </c>
      <c r="C12" t="s">
        <v>64</v>
      </c>
      <c r="D12" t="s">
        <v>367</v>
      </c>
      <c r="E12" t="s">
        <v>163</v>
      </c>
      <c r="F12">
        <v>5</v>
      </c>
      <c r="G12" s="14">
        <v>149.99</v>
      </c>
      <c r="H12" s="14">
        <f>F12*G12</f>
        <v>749.95</v>
      </c>
      <c r="J12" t="s">
        <v>407</v>
      </c>
      <c r="K12" s="14">
        <f>SUM(H11:H40)</f>
        <v>32877.950000000004</v>
      </c>
    </row>
    <row r="13" spans="1:11" x14ac:dyDescent="0.3">
      <c r="A13" t="s">
        <v>368</v>
      </c>
      <c r="B13" s="15">
        <v>45303</v>
      </c>
      <c r="C13" t="s">
        <v>369</v>
      </c>
      <c r="D13" t="s">
        <v>159</v>
      </c>
      <c r="E13" t="s">
        <v>166</v>
      </c>
      <c r="F13">
        <v>3</v>
      </c>
      <c r="G13" s="14">
        <v>299.99</v>
      </c>
      <c r="H13" s="14">
        <f>F13*G13</f>
        <v>899.97</v>
      </c>
      <c r="J13" t="s">
        <v>408</v>
      </c>
      <c r="K13" s="14">
        <f>AVERAGE(H11:H40)</f>
        <v>1095.9316666666668</v>
      </c>
    </row>
    <row r="14" spans="1:11" x14ac:dyDescent="0.3">
      <c r="A14" t="s">
        <v>370</v>
      </c>
      <c r="B14" s="15">
        <v>45306</v>
      </c>
      <c r="C14" t="s">
        <v>371</v>
      </c>
      <c r="D14" t="s">
        <v>367</v>
      </c>
      <c r="E14" t="s">
        <v>372</v>
      </c>
      <c r="F14">
        <v>2</v>
      </c>
      <c r="G14" s="14">
        <v>199.99</v>
      </c>
      <c r="H14" s="14">
        <f>F14*G14</f>
        <v>399.98</v>
      </c>
      <c r="J14" t="s">
        <v>409</v>
      </c>
      <c r="K14">
        <f>SUM(F11:F40)</f>
        <v>205</v>
      </c>
    </row>
    <row r="15" spans="1:11" x14ac:dyDescent="0.3">
      <c r="A15" t="s">
        <v>373</v>
      </c>
      <c r="B15" s="15">
        <v>45309</v>
      </c>
      <c r="C15" t="s">
        <v>62</v>
      </c>
      <c r="D15" t="s">
        <v>159</v>
      </c>
      <c r="E15" t="s">
        <v>168</v>
      </c>
      <c r="F15">
        <v>10</v>
      </c>
      <c r="G15" s="14">
        <v>59.99</v>
      </c>
      <c r="H15" s="14">
        <f>F15*G15</f>
        <v>599.9</v>
      </c>
      <c r="J15" t="s">
        <v>410</v>
      </c>
      <c r="K15">
        <f>COUNTA(_xlfn.UNIQUE(E11:E40))</f>
        <v>10</v>
      </c>
    </row>
    <row r="16" spans="1:11" x14ac:dyDescent="0.3">
      <c r="A16" t="s">
        <v>374</v>
      </c>
      <c r="B16" s="15">
        <v>45313</v>
      </c>
      <c r="C16" t="s">
        <v>64</v>
      </c>
      <c r="D16" t="s">
        <v>159</v>
      </c>
      <c r="E16" t="s">
        <v>161</v>
      </c>
      <c r="F16">
        <v>15</v>
      </c>
      <c r="G16" s="14">
        <v>29.99</v>
      </c>
      <c r="H16" s="14">
        <f>F16*G16</f>
        <v>449.84999999999997</v>
      </c>
      <c r="J16" t="s">
        <v>411</v>
      </c>
      <c r="K16">
        <f>COUNTA(_xlfn.UNIQUE(C11:C40))</f>
        <v>4</v>
      </c>
    </row>
    <row r="17" spans="1:8" x14ac:dyDescent="0.3">
      <c r="A17" t="s">
        <v>375</v>
      </c>
      <c r="B17" s="15">
        <v>45316</v>
      </c>
      <c r="C17" t="s">
        <v>369</v>
      </c>
      <c r="D17" t="s">
        <v>367</v>
      </c>
      <c r="E17" t="s">
        <v>376</v>
      </c>
      <c r="F17">
        <v>2</v>
      </c>
      <c r="G17" s="14">
        <v>349.99</v>
      </c>
      <c r="H17" s="14">
        <f>F17*G17</f>
        <v>699.98</v>
      </c>
    </row>
    <row r="18" spans="1:8" x14ac:dyDescent="0.3">
      <c r="A18" t="s">
        <v>377</v>
      </c>
      <c r="B18" s="15">
        <v>45319</v>
      </c>
      <c r="C18" t="s">
        <v>371</v>
      </c>
      <c r="D18" t="s">
        <v>159</v>
      </c>
      <c r="E18" t="s">
        <v>378</v>
      </c>
      <c r="F18">
        <v>8</v>
      </c>
      <c r="G18" s="14">
        <v>79.989999999999995</v>
      </c>
      <c r="H18" s="14">
        <f>F18*G18</f>
        <v>639.91999999999996</v>
      </c>
    </row>
    <row r="19" spans="1:8" x14ac:dyDescent="0.3">
      <c r="A19" t="s">
        <v>379</v>
      </c>
      <c r="B19" s="15">
        <v>45324</v>
      </c>
      <c r="C19" t="s">
        <v>62</v>
      </c>
      <c r="D19" t="s">
        <v>367</v>
      </c>
      <c r="E19" t="s">
        <v>380</v>
      </c>
      <c r="F19">
        <v>3</v>
      </c>
      <c r="G19" s="14">
        <v>129.99</v>
      </c>
      <c r="H19" s="14">
        <f>F19*G19</f>
        <v>389.97</v>
      </c>
    </row>
    <row r="20" spans="1:8" x14ac:dyDescent="0.3">
      <c r="A20" t="s">
        <v>381</v>
      </c>
      <c r="B20" s="15">
        <v>45327</v>
      </c>
      <c r="C20" t="s">
        <v>64</v>
      </c>
      <c r="D20" t="s">
        <v>159</v>
      </c>
      <c r="E20" t="s">
        <v>158</v>
      </c>
      <c r="F20">
        <v>4</v>
      </c>
      <c r="G20" s="14">
        <v>899.99</v>
      </c>
      <c r="H20" s="14">
        <f>F20*G20</f>
        <v>3599.96</v>
      </c>
    </row>
    <row r="21" spans="1:8" x14ac:dyDescent="0.3">
      <c r="A21" t="s">
        <v>382</v>
      </c>
      <c r="B21" s="15">
        <v>45330</v>
      </c>
      <c r="C21" t="s">
        <v>369</v>
      </c>
      <c r="D21" t="s">
        <v>367</v>
      </c>
      <c r="E21" t="s">
        <v>163</v>
      </c>
      <c r="F21">
        <v>6</v>
      </c>
      <c r="G21" s="14">
        <v>149.99</v>
      </c>
      <c r="H21" s="14">
        <f>F21*G21</f>
        <v>899.94</v>
      </c>
    </row>
    <row r="22" spans="1:8" x14ac:dyDescent="0.3">
      <c r="A22" t="s">
        <v>383</v>
      </c>
      <c r="B22" s="15">
        <v>45334</v>
      </c>
      <c r="C22" t="s">
        <v>371</v>
      </c>
      <c r="D22" t="s">
        <v>159</v>
      </c>
      <c r="E22" t="s">
        <v>166</v>
      </c>
      <c r="F22">
        <v>5</v>
      </c>
      <c r="G22" s="14">
        <v>299.99</v>
      </c>
      <c r="H22" s="14">
        <f>F22*G22</f>
        <v>1499.95</v>
      </c>
    </row>
    <row r="23" spans="1:8" x14ac:dyDescent="0.3">
      <c r="A23" t="s">
        <v>384</v>
      </c>
      <c r="B23" s="15">
        <v>45337</v>
      </c>
      <c r="C23" t="s">
        <v>62</v>
      </c>
      <c r="D23" t="s">
        <v>159</v>
      </c>
      <c r="E23" t="s">
        <v>385</v>
      </c>
      <c r="F23">
        <v>3</v>
      </c>
      <c r="G23" s="14">
        <v>499.99</v>
      </c>
      <c r="H23" s="14">
        <f>F23*G23</f>
        <v>1499.97</v>
      </c>
    </row>
    <row r="24" spans="1:8" x14ac:dyDescent="0.3">
      <c r="A24" t="s">
        <v>386</v>
      </c>
      <c r="B24" s="15">
        <v>45340</v>
      </c>
      <c r="C24" t="s">
        <v>64</v>
      </c>
      <c r="D24" t="s">
        <v>367</v>
      </c>
      <c r="E24" t="s">
        <v>376</v>
      </c>
      <c r="F24">
        <v>4</v>
      </c>
      <c r="G24" s="14">
        <v>349.99</v>
      </c>
      <c r="H24" s="14">
        <f>F24*G24</f>
        <v>1399.96</v>
      </c>
    </row>
    <row r="25" spans="1:8" x14ac:dyDescent="0.3">
      <c r="A25" t="s">
        <v>387</v>
      </c>
      <c r="B25" s="15">
        <v>45344</v>
      </c>
      <c r="C25" t="s">
        <v>369</v>
      </c>
      <c r="D25" t="s">
        <v>159</v>
      </c>
      <c r="E25" t="s">
        <v>158</v>
      </c>
      <c r="F25">
        <v>2</v>
      </c>
      <c r="G25" s="14">
        <v>899.99</v>
      </c>
      <c r="H25" s="14">
        <f>F25*G25</f>
        <v>1799.98</v>
      </c>
    </row>
    <row r="26" spans="1:8" x14ac:dyDescent="0.3">
      <c r="A26" t="s">
        <v>388</v>
      </c>
      <c r="B26" s="15">
        <v>45347</v>
      </c>
      <c r="C26" t="s">
        <v>371</v>
      </c>
      <c r="D26" t="s">
        <v>367</v>
      </c>
      <c r="E26" t="s">
        <v>372</v>
      </c>
      <c r="F26">
        <v>3</v>
      </c>
      <c r="G26" s="14">
        <v>199.99</v>
      </c>
      <c r="H26" s="14">
        <f>F26*G26</f>
        <v>599.97</v>
      </c>
    </row>
    <row r="27" spans="1:8" x14ac:dyDescent="0.3">
      <c r="A27" t="s">
        <v>389</v>
      </c>
      <c r="B27" s="15">
        <v>45350</v>
      </c>
      <c r="C27" t="s">
        <v>62</v>
      </c>
      <c r="D27" t="s">
        <v>159</v>
      </c>
      <c r="E27" t="s">
        <v>161</v>
      </c>
      <c r="F27">
        <v>20</v>
      </c>
      <c r="G27" s="14">
        <v>29.99</v>
      </c>
      <c r="H27" s="14">
        <f>F27*G27</f>
        <v>599.79999999999995</v>
      </c>
    </row>
    <row r="28" spans="1:8" x14ac:dyDescent="0.3">
      <c r="A28" t="s">
        <v>390</v>
      </c>
      <c r="B28" s="15">
        <v>45353</v>
      </c>
      <c r="C28" t="s">
        <v>64</v>
      </c>
      <c r="D28" t="s">
        <v>159</v>
      </c>
      <c r="E28" t="s">
        <v>168</v>
      </c>
      <c r="F28">
        <v>12</v>
      </c>
      <c r="G28" s="14">
        <v>59.99</v>
      </c>
      <c r="H28" s="14">
        <f>F28*G28</f>
        <v>719.88</v>
      </c>
    </row>
    <row r="29" spans="1:8" x14ac:dyDescent="0.3">
      <c r="A29" t="s">
        <v>391</v>
      </c>
      <c r="B29" s="15">
        <v>45356</v>
      </c>
      <c r="C29" t="s">
        <v>369</v>
      </c>
      <c r="D29" t="s">
        <v>367</v>
      </c>
      <c r="E29" t="s">
        <v>380</v>
      </c>
      <c r="F29">
        <v>4</v>
      </c>
      <c r="G29" s="14">
        <v>129.99</v>
      </c>
      <c r="H29" s="14">
        <f>F29*G29</f>
        <v>519.96</v>
      </c>
    </row>
    <row r="30" spans="1:8" x14ac:dyDescent="0.3">
      <c r="A30" t="s">
        <v>392</v>
      </c>
      <c r="B30" s="15">
        <v>45359</v>
      </c>
      <c r="C30" t="s">
        <v>371</v>
      </c>
      <c r="D30" t="s">
        <v>159</v>
      </c>
      <c r="E30" t="s">
        <v>378</v>
      </c>
      <c r="F30">
        <v>10</v>
      </c>
      <c r="G30" s="14">
        <v>79.989999999999995</v>
      </c>
      <c r="H30" s="14">
        <f>F30*G30</f>
        <v>799.9</v>
      </c>
    </row>
    <row r="31" spans="1:8" x14ac:dyDescent="0.3">
      <c r="A31" t="s">
        <v>393</v>
      </c>
      <c r="B31" s="15">
        <v>45361</v>
      </c>
      <c r="C31" t="s">
        <v>62</v>
      </c>
      <c r="D31" t="s">
        <v>367</v>
      </c>
      <c r="E31" t="s">
        <v>376</v>
      </c>
      <c r="F31">
        <v>3</v>
      </c>
      <c r="G31" s="14">
        <v>349.99</v>
      </c>
      <c r="H31" s="14">
        <f>F31*G31</f>
        <v>1049.97</v>
      </c>
    </row>
    <row r="32" spans="1:8" x14ac:dyDescent="0.3">
      <c r="A32" t="s">
        <v>394</v>
      </c>
      <c r="B32" s="15">
        <v>45363</v>
      </c>
      <c r="C32" t="s">
        <v>64</v>
      </c>
      <c r="D32" t="s">
        <v>159</v>
      </c>
      <c r="E32" t="s">
        <v>385</v>
      </c>
      <c r="F32">
        <v>5</v>
      </c>
      <c r="G32" s="14">
        <v>499.99</v>
      </c>
      <c r="H32" s="14">
        <f>F32*G32</f>
        <v>2499.9499999999998</v>
      </c>
    </row>
    <row r="33" spans="1:8" x14ac:dyDescent="0.3">
      <c r="A33" t="s">
        <v>395</v>
      </c>
      <c r="B33" s="15">
        <v>45366</v>
      </c>
      <c r="C33" t="s">
        <v>369</v>
      </c>
      <c r="D33" t="s">
        <v>159</v>
      </c>
      <c r="E33" t="s">
        <v>158</v>
      </c>
      <c r="F33">
        <v>3</v>
      </c>
      <c r="G33" s="14">
        <v>899.99</v>
      </c>
      <c r="H33" s="14">
        <f>F33*G33</f>
        <v>2699.9700000000003</v>
      </c>
    </row>
    <row r="34" spans="1:8" x14ac:dyDescent="0.3">
      <c r="A34" t="s">
        <v>396</v>
      </c>
      <c r="B34" s="15">
        <v>45369</v>
      </c>
      <c r="C34" t="s">
        <v>371</v>
      </c>
      <c r="D34" t="s">
        <v>367</v>
      </c>
      <c r="E34" t="s">
        <v>163</v>
      </c>
      <c r="F34">
        <v>8</v>
      </c>
      <c r="G34" s="14">
        <v>149.99</v>
      </c>
      <c r="H34" s="14">
        <f>F34*G34</f>
        <v>1199.92</v>
      </c>
    </row>
    <row r="35" spans="1:8" x14ac:dyDescent="0.3">
      <c r="A35" t="s">
        <v>397</v>
      </c>
      <c r="B35" s="15">
        <v>45371</v>
      </c>
      <c r="C35" t="s">
        <v>62</v>
      </c>
      <c r="D35" t="s">
        <v>159</v>
      </c>
      <c r="E35" t="s">
        <v>166</v>
      </c>
      <c r="F35">
        <v>4</v>
      </c>
      <c r="G35" s="14">
        <v>299.99</v>
      </c>
      <c r="H35" s="14">
        <f>F35*G35</f>
        <v>1199.96</v>
      </c>
    </row>
    <row r="36" spans="1:8" x14ac:dyDescent="0.3">
      <c r="A36" t="s">
        <v>398</v>
      </c>
      <c r="B36" s="15">
        <v>45373</v>
      </c>
      <c r="C36" t="s">
        <v>64</v>
      </c>
      <c r="D36" t="s">
        <v>367</v>
      </c>
      <c r="E36" t="s">
        <v>372</v>
      </c>
      <c r="F36">
        <v>2</v>
      </c>
      <c r="G36" s="14">
        <v>199.99</v>
      </c>
      <c r="H36" s="14">
        <f>F36*G36</f>
        <v>399.98</v>
      </c>
    </row>
    <row r="37" spans="1:8" x14ac:dyDescent="0.3">
      <c r="A37" t="s">
        <v>399</v>
      </c>
      <c r="B37" s="15">
        <v>45376</v>
      </c>
      <c r="C37" t="s">
        <v>369</v>
      </c>
      <c r="D37" t="s">
        <v>159</v>
      </c>
      <c r="E37" t="s">
        <v>168</v>
      </c>
      <c r="F37">
        <v>15</v>
      </c>
      <c r="G37" s="14">
        <v>59.99</v>
      </c>
      <c r="H37" s="14">
        <f>F37*G37</f>
        <v>899.85</v>
      </c>
    </row>
    <row r="38" spans="1:8" x14ac:dyDescent="0.3">
      <c r="A38" t="s">
        <v>400</v>
      </c>
      <c r="B38" s="15">
        <v>45378</v>
      </c>
      <c r="C38" t="s">
        <v>371</v>
      </c>
      <c r="D38" t="s">
        <v>159</v>
      </c>
      <c r="E38" t="s">
        <v>161</v>
      </c>
      <c r="F38">
        <v>25</v>
      </c>
      <c r="G38" s="14">
        <v>29.99</v>
      </c>
      <c r="H38" s="14">
        <f>F38*G38</f>
        <v>749.75</v>
      </c>
    </row>
    <row r="39" spans="1:8" x14ac:dyDescent="0.3">
      <c r="A39" t="s">
        <v>401</v>
      </c>
      <c r="B39" s="15">
        <v>45380</v>
      </c>
      <c r="C39" t="s">
        <v>62</v>
      </c>
      <c r="D39" t="s">
        <v>367</v>
      </c>
      <c r="E39" t="s">
        <v>380</v>
      </c>
      <c r="F39">
        <v>5</v>
      </c>
      <c r="G39" s="14">
        <v>129.99</v>
      </c>
      <c r="H39" s="14">
        <f>F39*G39</f>
        <v>649.95000000000005</v>
      </c>
    </row>
    <row r="40" spans="1:8" x14ac:dyDescent="0.3">
      <c r="A40" t="s">
        <v>402</v>
      </c>
      <c r="B40" s="15">
        <v>45382</v>
      </c>
      <c r="C40" t="s">
        <v>64</v>
      </c>
      <c r="D40" t="s">
        <v>159</v>
      </c>
      <c r="E40" t="s">
        <v>378</v>
      </c>
      <c r="F40">
        <v>12</v>
      </c>
      <c r="G40" s="14">
        <v>79.989999999999995</v>
      </c>
      <c r="H40" s="14">
        <f>F40*G40</f>
        <v>959.87999999999988</v>
      </c>
    </row>
  </sheetData>
  <mergeCells count="4">
    <mergeCell ref="A1:J1"/>
    <mergeCell ref="A3:J3"/>
    <mergeCell ref="A9:H9"/>
    <mergeCell ref="J9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F0D4-6875-4DC6-A06E-86D02C2C1473}">
  <dimension ref="A1:H68"/>
  <sheetViews>
    <sheetView topLeftCell="A20" workbookViewId="0">
      <selection activeCell="D44" sqref="D44"/>
    </sheetView>
  </sheetViews>
  <sheetFormatPr defaultRowHeight="14.4" x14ac:dyDescent="0.3"/>
  <cols>
    <col min="1" max="1" width="51.88671875" customWidth="1"/>
    <col min="2" max="2" width="33.33203125" customWidth="1"/>
    <col min="3" max="3" width="22.21875" customWidth="1"/>
    <col min="4" max="4" width="18.5546875" customWidth="1"/>
  </cols>
  <sheetData>
    <row r="1" spans="1:8" ht="34.950000000000003" customHeight="1" x14ac:dyDescent="0.4">
      <c r="A1" s="8" t="s">
        <v>412</v>
      </c>
      <c r="B1" s="1"/>
      <c r="C1" s="1"/>
      <c r="D1" s="1"/>
      <c r="E1" s="1"/>
      <c r="F1" s="1"/>
      <c r="G1" s="1"/>
      <c r="H1" s="1"/>
    </row>
    <row r="3" spans="1:8" x14ac:dyDescent="0.3">
      <c r="A3" s="13" t="s">
        <v>413</v>
      </c>
      <c r="B3" s="1"/>
      <c r="C3" s="1"/>
      <c r="D3" s="1"/>
      <c r="E3" s="1"/>
      <c r="F3" s="1"/>
      <c r="G3" s="1"/>
      <c r="H3" s="1"/>
    </row>
    <row r="4" spans="1:8" x14ac:dyDescent="0.3">
      <c r="A4" t="s">
        <v>414</v>
      </c>
    </row>
    <row r="6" spans="1:8" x14ac:dyDescent="0.3">
      <c r="A6" s="10" t="s">
        <v>58</v>
      </c>
      <c r="B6" s="10" t="s">
        <v>415</v>
      </c>
      <c r="C6" s="10" t="s">
        <v>416</v>
      </c>
      <c r="D6" s="10" t="s">
        <v>408</v>
      </c>
    </row>
    <row r="7" spans="1:8" x14ac:dyDescent="0.3">
      <c r="A7" t="s">
        <v>62</v>
      </c>
      <c r="B7" s="14">
        <f>SUMIFS('6. Case Study - Data'!H11:H40,'6. Case Study - Data'!C11:C40,A7)</f>
        <v>7789.5000000000009</v>
      </c>
      <c r="C7">
        <f>COUNTIF('6. Case Study - Data'!C11:C40,A7)</f>
        <v>8</v>
      </c>
      <c r="D7" s="14">
        <f>B7/C7</f>
        <v>973.68750000000011</v>
      </c>
    </row>
    <row r="8" spans="1:8" x14ac:dyDescent="0.3">
      <c r="A8" t="s">
        <v>64</v>
      </c>
      <c r="B8" s="14">
        <f>SUMIFS('6. Case Study - Data'!H11:H40,'6. Case Study - Data'!C11:C40,A8)</f>
        <v>10779.409999999998</v>
      </c>
      <c r="C8">
        <f>COUNTIF('6. Case Study - Data'!C11:C40,A8)</f>
        <v>8</v>
      </c>
      <c r="D8" s="14">
        <f>B8/C8</f>
        <v>1347.4262499999998</v>
      </c>
    </row>
    <row r="9" spans="1:8" x14ac:dyDescent="0.3">
      <c r="A9" t="s">
        <v>369</v>
      </c>
      <c r="B9" s="14">
        <f>SUMIFS('6. Case Study - Data'!H11:H40,'6. Case Study - Data'!C11:C40,A9)</f>
        <v>8419.6500000000015</v>
      </c>
      <c r="C9">
        <f>COUNTIF('6. Case Study - Data'!C11:C40,A9)</f>
        <v>7</v>
      </c>
      <c r="D9" s="14">
        <f>B9/C9</f>
        <v>1202.8071428571432</v>
      </c>
    </row>
    <row r="10" spans="1:8" x14ac:dyDescent="0.3">
      <c r="A10" t="s">
        <v>371</v>
      </c>
      <c r="B10" s="14">
        <f>SUMIFS('6. Case Study - Data'!H11:H40,'6. Case Study - Data'!C11:C40,A10)</f>
        <v>5889.3900000000012</v>
      </c>
      <c r="C10">
        <f>COUNTIF('6. Case Study - Data'!C11:C40,A10)</f>
        <v>7</v>
      </c>
      <c r="D10" s="14">
        <f>B10/C10</f>
        <v>841.34142857142876</v>
      </c>
    </row>
    <row r="11" spans="1:8" x14ac:dyDescent="0.3">
      <c r="A11" s="11" t="s">
        <v>417</v>
      </c>
      <c r="B11" s="17">
        <f>SUM(B7:B10)</f>
        <v>32877.950000000004</v>
      </c>
      <c r="C11" s="17">
        <f>SUM(C7:C10)</f>
        <v>30</v>
      </c>
      <c r="D11" s="17">
        <f>B11/C11</f>
        <v>1095.9316666666668</v>
      </c>
    </row>
    <row r="13" spans="1:8" x14ac:dyDescent="0.3">
      <c r="A13" s="13" t="s">
        <v>418</v>
      </c>
      <c r="B13" s="1"/>
      <c r="C13" s="1"/>
      <c r="D13" s="1"/>
      <c r="E13" s="1"/>
      <c r="F13" s="1"/>
      <c r="G13" s="1"/>
      <c r="H13" s="1"/>
    </row>
    <row r="14" spans="1:8" x14ac:dyDescent="0.3">
      <c r="A14" t="s">
        <v>419</v>
      </c>
    </row>
    <row r="16" spans="1:8" x14ac:dyDescent="0.3">
      <c r="A16" s="10" t="s">
        <v>154</v>
      </c>
      <c r="B16" s="10" t="s">
        <v>415</v>
      </c>
      <c r="C16" s="10" t="s">
        <v>420</v>
      </c>
      <c r="D16" s="10" t="s">
        <v>421</v>
      </c>
    </row>
    <row r="17" spans="1:8" x14ac:dyDescent="0.3">
      <c r="A17" t="s">
        <v>159</v>
      </c>
      <c r="B17" s="14">
        <f>SUMIFS('6. Case Study - Data'!H11:H40,'6. Case Study - Data'!D11:D40,A17)</f>
        <v>23918.42</v>
      </c>
      <c r="C17" s="18">
        <f>B17/SUM(B17:B18)</f>
        <v>0.72749122132006405</v>
      </c>
      <c r="D17">
        <f>SUMIFS('6. Case Study - Data'!F11:F40,'6. Case Study - Data'!D11:D40,A17)</f>
        <v>158</v>
      </c>
    </row>
    <row r="18" spans="1:8" x14ac:dyDescent="0.3">
      <c r="A18" t="s">
        <v>367</v>
      </c>
      <c r="B18" s="14">
        <f>SUMIFS('6. Case Study - Data'!H11:H40,'6. Case Study - Data'!D11:D40,A18)</f>
        <v>8959.5300000000025</v>
      </c>
      <c r="C18" s="18">
        <f>B18/SUM(B17:B18)</f>
        <v>0.27250877867993606</v>
      </c>
      <c r="D18">
        <f>SUMIFS('6. Case Study - Data'!F11:F40,'6. Case Study - Data'!D11:D40,A18)</f>
        <v>47</v>
      </c>
    </row>
    <row r="20" spans="1:8" x14ac:dyDescent="0.3">
      <c r="A20" s="13" t="s">
        <v>422</v>
      </c>
      <c r="B20" s="1"/>
      <c r="C20" s="1"/>
      <c r="D20" s="1"/>
      <c r="E20" s="1"/>
      <c r="F20" s="1"/>
      <c r="G20" s="1"/>
      <c r="H20" s="1"/>
    </row>
    <row r="21" spans="1:8" x14ac:dyDescent="0.3">
      <c r="A21" t="s">
        <v>423</v>
      </c>
    </row>
    <row r="23" spans="1:8" x14ac:dyDescent="0.3">
      <c r="A23" s="10" t="s">
        <v>57</v>
      </c>
      <c r="B23" s="10" t="s">
        <v>415</v>
      </c>
      <c r="C23" s="10" t="s">
        <v>424</v>
      </c>
    </row>
    <row r="24" spans="1:8" x14ac:dyDescent="0.3">
      <c r="A24" t="s">
        <v>158</v>
      </c>
      <c r="B24" s="14">
        <f>SUMIFS('6. Case Study - Data'!H11:H40,'6. Case Study - Data'!E11:E40,A24)</f>
        <v>9899.89</v>
      </c>
      <c r="C24">
        <f>SUMIFS('6. Case Study - Data'!F11:F40,'6. Case Study - Data'!E11:E40,A24)</f>
        <v>11</v>
      </c>
    </row>
    <row r="25" spans="1:8" x14ac:dyDescent="0.3">
      <c r="A25" t="s">
        <v>166</v>
      </c>
      <c r="B25" s="14">
        <f>SUMIFS('6. Case Study - Data'!H11:H40,'6. Case Study - Data'!E11:E40,A25)</f>
        <v>3599.88</v>
      </c>
      <c r="C25">
        <f>SUMIFS('6. Case Study - Data'!F11:F40,'6. Case Study - Data'!E11:E40,A25)</f>
        <v>12</v>
      </c>
    </row>
    <row r="26" spans="1:8" x14ac:dyDescent="0.3">
      <c r="A26" t="s">
        <v>385</v>
      </c>
      <c r="B26" s="14">
        <f>SUMIFS('6. Case Study - Data'!H11:H40,'6. Case Study - Data'!E11:E40,A26)</f>
        <v>3999.92</v>
      </c>
      <c r="C26">
        <f>SUMIFS('6. Case Study - Data'!F11:F40,'6. Case Study - Data'!E11:E40,A26)</f>
        <v>8</v>
      </c>
    </row>
    <row r="27" spans="1:8" x14ac:dyDescent="0.3">
      <c r="A27" t="s">
        <v>168</v>
      </c>
      <c r="B27" s="14">
        <f>SUMIFS('6. Case Study - Data'!H11:H40,'6. Case Study - Data'!E11:E40,A27)</f>
        <v>2219.63</v>
      </c>
      <c r="C27">
        <f>SUMIFS('6. Case Study - Data'!F11:F40,'6. Case Study - Data'!E11:E40,A27)</f>
        <v>37</v>
      </c>
    </row>
    <row r="28" spans="1:8" x14ac:dyDescent="0.3">
      <c r="A28" t="s">
        <v>161</v>
      </c>
      <c r="B28" s="14">
        <f>SUMIFS('6. Case Study - Data'!H11:H40,'6. Case Study - Data'!E11:E40,A28)</f>
        <v>1799.3999999999999</v>
      </c>
      <c r="C28">
        <f>SUMIFS('6. Case Study - Data'!F11:F40,'6. Case Study - Data'!E11:E40,A28)</f>
        <v>60</v>
      </c>
    </row>
    <row r="29" spans="1:8" x14ac:dyDescent="0.3">
      <c r="A29" t="s">
        <v>378</v>
      </c>
      <c r="B29" s="14">
        <f>SUMIFS('6. Case Study - Data'!H11:H40,'6. Case Study - Data'!E11:E40,A29)</f>
        <v>2399.6999999999998</v>
      </c>
      <c r="C29">
        <f>SUMIFS('6. Case Study - Data'!F11:F40,'6. Case Study - Data'!E11:E40,A29)</f>
        <v>30</v>
      </c>
    </row>
    <row r="30" spans="1:8" x14ac:dyDescent="0.3">
      <c r="A30" t="s">
        <v>376</v>
      </c>
      <c r="B30" s="14">
        <f>SUMIFS('6. Case Study - Data'!H11:H40,'6. Case Study - Data'!E11:E40,A30)</f>
        <v>3149.91</v>
      </c>
      <c r="C30">
        <f>SUMIFS('6. Case Study - Data'!F11:F40,'6. Case Study - Data'!E11:E40,A30)</f>
        <v>9</v>
      </c>
    </row>
    <row r="31" spans="1:8" x14ac:dyDescent="0.3">
      <c r="A31" t="s">
        <v>163</v>
      </c>
      <c r="B31" s="14">
        <f>SUMIFS('6. Case Study - Data'!H11:H40,'6. Case Study - Data'!E11:E40,A31)</f>
        <v>2849.8100000000004</v>
      </c>
      <c r="C31">
        <f>SUMIFS('6. Case Study - Data'!F11:F40,'6. Case Study - Data'!E11:E40,A31)</f>
        <v>19</v>
      </c>
    </row>
    <row r="32" spans="1:8" x14ac:dyDescent="0.3">
      <c r="A32" t="s">
        <v>372</v>
      </c>
      <c r="B32" s="14">
        <f>SUMIFS('6. Case Study - Data'!H11:H40,'6. Case Study - Data'!E11:E40,A32)</f>
        <v>1399.93</v>
      </c>
      <c r="C32">
        <f>SUMIFS('6. Case Study - Data'!F11:F40,'6. Case Study - Data'!E11:E40,A32)</f>
        <v>7</v>
      </c>
    </row>
    <row r="33" spans="1:8" x14ac:dyDescent="0.3">
      <c r="A33" t="s">
        <v>380</v>
      </c>
      <c r="B33" s="14">
        <f>SUMIFS('6. Case Study - Data'!H11:H40,'6. Case Study - Data'!E11:E40,A33)</f>
        <v>1559.88</v>
      </c>
      <c r="C33">
        <f>SUMIFS('6. Case Study - Data'!F11:F40,'6. Case Study - Data'!E11:E40,A33)</f>
        <v>12</v>
      </c>
    </row>
    <row r="35" spans="1:8" x14ac:dyDescent="0.3">
      <c r="A35" s="13" t="s">
        <v>425</v>
      </c>
      <c r="B35" s="1"/>
      <c r="C35" s="1"/>
      <c r="D35" s="1"/>
      <c r="E35" s="1"/>
      <c r="F35" s="1"/>
      <c r="G35" s="1"/>
      <c r="H35" s="1"/>
    </row>
    <row r="36" spans="1:8" x14ac:dyDescent="0.3">
      <c r="A36" t="s">
        <v>426</v>
      </c>
    </row>
    <row r="38" spans="1:8" x14ac:dyDescent="0.3">
      <c r="A38" s="10" t="s">
        <v>427</v>
      </c>
      <c r="B38" s="10" t="s">
        <v>415</v>
      </c>
      <c r="C38" s="10" t="s">
        <v>428</v>
      </c>
      <c r="D38" s="10" t="s">
        <v>429</v>
      </c>
    </row>
    <row r="39" spans="1:8" x14ac:dyDescent="0.3">
      <c r="A39" t="s">
        <v>430</v>
      </c>
      <c r="B39" s="14">
        <f>SUMIFS('6. Case Study - Data'!H11:H40,'6. Case Study - Data'!B11:B40,"&gt;=2024-01-01",'6. Case Study - Data'!B11:B40,"&lt;=2024-01-31")</f>
        <v>6239.5300000000007</v>
      </c>
      <c r="C39">
        <f>COUNTIFS('6. Case Study - Data'!B11:B40,"&gt;=2024-01-01",'6. Case Study - Data'!B11:B40,"&lt;=2024-01-31")</f>
        <v>8</v>
      </c>
      <c r="D39" t="s">
        <v>8</v>
      </c>
    </row>
    <row r="40" spans="1:8" x14ac:dyDescent="0.3">
      <c r="A40" t="s">
        <v>431</v>
      </c>
      <c r="B40" s="14">
        <f>SUMIFS('6. Case Study - Data'!H11:H40,'6. Case Study - Data'!B11:B40,"&gt;=2024-02-01",'6. Case Study - Data'!B11:B40,"&lt;=2024-02-29")</f>
        <v>12289.499999999998</v>
      </c>
      <c r="C40">
        <f>COUNTIFS('6. Case Study - Data'!B11:B40,"&gt;=2024-02-01",'6. Case Study - Data'!B11:B40,"&lt;=2024-02-29")</f>
        <v>9</v>
      </c>
      <c r="D40" s="18">
        <f>(B40-B39)/B39</f>
        <v>0.96961950659745155</v>
      </c>
    </row>
    <row r="41" spans="1:8" x14ac:dyDescent="0.3">
      <c r="A41" t="s">
        <v>432</v>
      </c>
      <c r="B41" s="14">
        <f>SUMIFS('6. Case Study - Data'!H11:H40,'6. Case Study - Data'!B11:B40,"&gt;=2024-03-01",'6. Case Study - Data'!B11:B40,"&lt;=2024-03-31")</f>
        <v>14348.920000000002</v>
      </c>
      <c r="C41">
        <f>COUNTIFS('6. Case Study - Data'!B11:B40,"&gt;=2024-03-01",'6. Case Study - Data'!B11:B40,"&lt;=2024-03-31")</f>
        <v>13</v>
      </c>
      <c r="D41" s="18">
        <f>(B41-B40)/B40</f>
        <v>0.16757557264331371</v>
      </c>
    </row>
    <row r="43" spans="1:8" x14ac:dyDescent="0.3">
      <c r="A43" s="13" t="s">
        <v>433</v>
      </c>
      <c r="B43" s="1"/>
      <c r="C43" s="1"/>
      <c r="D43" s="1"/>
      <c r="E43" s="1"/>
      <c r="F43" s="1"/>
      <c r="G43" s="1"/>
      <c r="H43" s="1"/>
    </row>
    <row r="45" spans="1:8" x14ac:dyDescent="0.3">
      <c r="A45" s="10" t="s">
        <v>434</v>
      </c>
      <c r="B45" s="10" t="s">
        <v>435</v>
      </c>
      <c r="C45" s="10" t="s">
        <v>80</v>
      </c>
    </row>
    <row r="46" spans="1:8" x14ac:dyDescent="0.3">
      <c r="A46" t="s">
        <v>436</v>
      </c>
    </row>
    <row r="47" spans="1:8" x14ac:dyDescent="0.3">
      <c r="A47" t="s">
        <v>437</v>
      </c>
      <c r="B47" t="s">
        <v>438</v>
      </c>
      <c r="C47" t="str">
        <f>INDEX(A24:A33,MATCH(MAX(B24:B33),B24:B33,0))</f>
        <v>Laptop</v>
      </c>
    </row>
    <row r="48" spans="1:8" x14ac:dyDescent="0.3">
      <c r="A48" t="s">
        <v>439</v>
      </c>
      <c r="B48" t="s">
        <v>438</v>
      </c>
      <c r="C48" t="str">
        <f>INDEX(A7:A10,MATCH(MAX(C7:C10),C7:C10,0))</f>
        <v>North</v>
      </c>
    </row>
    <row r="49" spans="1:8" x14ac:dyDescent="0.3">
      <c r="A49" t="s">
        <v>440</v>
      </c>
      <c r="B49" t="s">
        <v>53</v>
      </c>
      <c r="C49" s="14">
        <f>AVERAGEIFS('6. Case Study - Data'!H11:H40,'6. Case Study - Data'!D11:D40,"Electronics")</f>
        <v>1328.8011111111109</v>
      </c>
    </row>
    <row r="51" spans="1:8" x14ac:dyDescent="0.3">
      <c r="A51" s="16" t="s">
        <v>441</v>
      </c>
      <c r="B51" s="16"/>
      <c r="C51" s="16"/>
      <c r="D51" s="16"/>
      <c r="E51" s="16"/>
      <c r="F51" s="16"/>
      <c r="G51" s="16"/>
      <c r="H51" s="16"/>
    </row>
    <row r="52" spans="1:8" x14ac:dyDescent="0.3">
      <c r="A52" t="s">
        <v>442</v>
      </c>
    </row>
    <row r="54" spans="1:8" x14ac:dyDescent="0.3">
      <c r="A54" s="4" t="s">
        <v>443</v>
      </c>
    </row>
    <row r="55" spans="1:8" x14ac:dyDescent="0.3">
      <c r="A55" t="s">
        <v>444</v>
      </c>
    </row>
    <row r="56" spans="1:8" x14ac:dyDescent="0.3">
      <c r="A56" t="s">
        <v>445</v>
      </c>
    </row>
    <row r="58" spans="1:8" x14ac:dyDescent="0.3">
      <c r="A58" s="4" t="s">
        <v>446</v>
      </c>
    </row>
    <row r="59" spans="1:8" x14ac:dyDescent="0.3">
      <c r="A59" t="s">
        <v>447</v>
      </c>
    </row>
    <row r="60" spans="1:8" x14ac:dyDescent="0.3">
      <c r="A60" t="s">
        <v>448</v>
      </c>
    </row>
    <row r="62" spans="1:8" x14ac:dyDescent="0.3">
      <c r="A62" s="4" t="s">
        <v>449</v>
      </c>
    </row>
    <row r="63" spans="1:8" x14ac:dyDescent="0.3">
      <c r="A63" t="s">
        <v>450</v>
      </c>
    </row>
    <row r="64" spans="1:8" x14ac:dyDescent="0.3">
      <c r="A64" t="s">
        <v>451</v>
      </c>
    </row>
    <row r="66" spans="1:1" x14ac:dyDescent="0.3">
      <c r="A66" s="4" t="s">
        <v>452</v>
      </c>
    </row>
    <row r="67" spans="1:1" x14ac:dyDescent="0.3">
      <c r="A67" t="s">
        <v>453</v>
      </c>
    </row>
    <row r="68" spans="1:1" x14ac:dyDescent="0.3">
      <c r="A68" t="s">
        <v>454</v>
      </c>
    </row>
  </sheetData>
  <mergeCells count="7">
    <mergeCell ref="A51:H51"/>
    <mergeCell ref="A1:H1"/>
    <mergeCell ref="A3:H3"/>
    <mergeCell ref="A13:H13"/>
    <mergeCell ref="A20:H20"/>
    <mergeCell ref="A35:H35"/>
    <mergeCell ref="A43:H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1371-332F-45EE-825E-D2035EF79FBF}">
  <dimension ref="A1:K71"/>
  <sheetViews>
    <sheetView tabSelected="1" workbookViewId="0">
      <selection activeCell="D44" sqref="D44"/>
    </sheetView>
  </sheetViews>
  <sheetFormatPr defaultRowHeight="14.4" x14ac:dyDescent="0.3"/>
  <cols>
    <col min="1" max="1" width="64.77734375" customWidth="1"/>
    <col min="2" max="2" width="55.5546875" customWidth="1"/>
    <col min="3" max="3" width="27.77734375" customWidth="1"/>
    <col min="6" max="6" width="46.33203125" customWidth="1"/>
    <col min="7" max="8" width="22.21875" customWidth="1"/>
  </cols>
  <sheetData>
    <row r="1" spans="1:8" ht="34.950000000000003" customHeight="1" x14ac:dyDescent="0.4">
      <c r="A1" s="8" t="s">
        <v>455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456</v>
      </c>
      <c r="B2" s="1"/>
      <c r="C2" s="1"/>
      <c r="D2" s="1"/>
      <c r="E2" s="1"/>
      <c r="F2" s="1"/>
      <c r="G2" s="1"/>
      <c r="H2" s="1"/>
    </row>
    <row r="4" spans="1:8" x14ac:dyDescent="0.3">
      <c r="A4" s="12" t="s">
        <v>457</v>
      </c>
      <c r="B4" s="1"/>
      <c r="C4" s="1"/>
      <c r="D4" s="1"/>
      <c r="E4" s="1"/>
      <c r="F4" s="1"/>
      <c r="G4" s="1"/>
      <c r="H4" s="1"/>
    </row>
    <row r="6" spans="1:8" x14ac:dyDescent="0.3">
      <c r="A6" s="10" t="s">
        <v>458</v>
      </c>
      <c r="B6" s="10" t="s">
        <v>90</v>
      </c>
      <c r="C6" s="10" t="s">
        <v>91</v>
      </c>
      <c r="D6" s="10" t="s">
        <v>196</v>
      </c>
      <c r="F6" s="6" t="s">
        <v>463</v>
      </c>
      <c r="G6" s="6" t="s">
        <v>464</v>
      </c>
      <c r="H6" s="20" t="s">
        <v>473</v>
      </c>
    </row>
    <row r="7" spans="1:8" x14ac:dyDescent="0.3">
      <c r="A7" t="s">
        <v>459</v>
      </c>
      <c r="B7" t="s">
        <v>59</v>
      </c>
      <c r="C7">
        <v>52000</v>
      </c>
      <c r="D7">
        <v>3</v>
      </c>
      <c r="F7" t="s">
        <v>465</v>
      </c>
      <c r="G7" s="19"/>
      <c r="H7">
        <f>SUMIF(B7:B14,"Sales",C7:C14)</f>
        <v>165000</v>
      </c>
    </row>
    <row r="8" spans="1:8" x14ac:dyDescent="0.3">
      <c r="A8" t="s">
        <v>460</v>
      </c>
      <c r="B8" t="s">
        <v>99</v>
      </c>
      <c r="C8">
        <v>68000</v>
      </c>
      <c r="D8">
        <v>5</v>
      </c>
      <c r="F8" t="s">
        <v>466</v>
      </c>
      <c r="G8" s="19"/>
      <c r="H8">
        <f>COUNTIF(B7:B14,"IT")</f>
        <v>3</v>
      </c>
    </row>
    <row r="9" spans="1:8" x14ac:dyDescent="0.3">
      <c r="A9" t="s">
        <v>199</v>
      </c>
      <c r="B9" t="s">
        <v>59</v>
      </c>
      <c r="C9">
        <v>55000</v>
      </c>
      <c r="D9">
        <v>4</v>
      </c>
      <c r="F9" t="s">
        <v>467</v>
      </c>
      <c r="G9" s="19"/>
      <c r="H9">
        <f>AVERAGEIF(B7:B14,"HR",C7:C14)</f>
        <v>49500</v>
      </c>
    </row>
    <row r="10" spans="1:8" x14ac:dyDescent="0.3">
      <c r="A10" t="s">
        <v>200</v>
      </c>
      <c r="B10" t="s">
        <v>102</v>
      </c>
      <c r="C10">
        <v>48000</v>
      </c>
      <c r="D10">
        <v>2</v>
      </c>
      <c r="F10" t="s">
        <v>468</v>
      </c>
      <c r="G10" s="19"/>
      <c r="H10">
        <f>SUMIFS(C7:C14,D7:D14,"&gt;4")</f>
        <v>198000</v>
      </c>
    </row>
    <row r="11" spans="1:8" x14ac:dyDescent="0.3">
      <c r="A11" t="s">
        <v>201</v>
      </c>
      <c r="B11" t="s">
        <v>99</v>
      </c>
      <c r="C11">
        <v>72000</v>
      </c>
      <c r="D11">
        <v>6</v>
      </c>
      <c r="F11" t="s">
        <v>469</v>
      </c>
      <c r="G11" s="19"/>
      <c r="H11">
        <f>COUNTIF(C7:C14,"&gt;55000")</f>
        <v>4</v>
      </c>
    </row>
    <row r="12" spans="1:8" x14ac:dyDescent="0.3">
      <c r="A12" t="s">
        <v>202</v>
      </c>
      <c r="B12" t="s">
        <v>59</v>
      </c>
      <c r="C12">
        <v>58000</v>
      </c>
      <c r="D12">
        <v>5</v>
      </c>
      <c r="F12" t="s">
        <v>470</v>
      </c>
      <c r="G12" s="19"/>
      <c r="H12">
        <f>_xlfn.MAXIFS(C7:C14,B7:B14,"IT")</f>
        <v>72000</v>
      </c>
    </row>
    <row r="13" spans="1:8" x14ac:dyDescent="0.3">
      <c r="A13" t="s">
        <v>461</v>
      </c>
      <c r="B13" t="s">
        <v>102</v>
      </c>
      <c r="C13">
        <v>51000</v>
      </c>
      <c r="D13">
        <v>3</v>
      </c>
      <c r="F13" t="s">
        <v>471</v>
      </c>
      <c r="G13" s="19"/>
      <c r="H13">
        <f>_xlfn.MINIFS(D7:D14,B7:B14,"Sales")</f>
        <v>3</v>
      </c>
    </row>
    <row r="14" spans="1:8" x14ac:dyDescent="0.3">
      <c r="A14" t="s">
        <v>462</v>
      </c>
      <c r="B14" t="s">
        <v>99</v>
      </c>
      <c r="C14">
        <v>65000</v>
      </c>
      <c r="D14">
        <v>4</v>
      </c>
      <c r="F14" t="s">
        <v>472</v>
      </c>
      <c r="G14" s="19"/>
      <c r="H14" t="str">
        <f>INDEX(B7:B14,MATCH("Emma",A7:A14,0))</f>
        <v>IT</v>
      </c>
    </row>
    <row r="16" spans="1:8" x14ac:dyDescent="0.3">
      <c r="A16" s="13" t="s">
        <v>474</v>
      </c>
      <c r="B16" s="1"/>
      <c r="C16" s="1"/>
      <c r="D16" s="1"/>
      <c r="E16" s="1"/>
      <c r="F16" s="1"/>
      <c r="G16" s="1"/>
      <c r="H16" s="1"/>
    </row>
    <row r="18" spans="1:11" x14ac:dyDescent="0.3">
      <c r="A18" s="10" t="s">
        <v>475</v>
      </c>
      <c r="B18" s="10" t="s">
        <v>57</v>
      </c>
      <c r="C18" s="10" t="s">
        <v>155</v>
      </c>
      <c r="D18" s="10" t="s">
        <v>154</v>
      </c>
      <c r="F18" s="6" t="s">
        <v>463</v>
      </c>
      <c r="G18" s="6" t="s">
        <v>464</v>
      </c>
      <c r="H18" s="20" t="s">
        <v>473</v>
      </c>
    </row>
    <row r="19" spans="1:11" x14ac:dyDescent="0.3">
      <c r="A19" t="s">
        <v>476</v>
      </c>
      <c r="B19" t="s">
        <v>477</v>
      </c>
      <c r="C19">
        <v>25.99</v>
      </c>
      <c r="D19" t="s">
        <v>478</v>
      </c>
      <c r="F19" t="s">
        <v>487</v>
      </c>
      <c r="G19" s="19"/>
      <c r="H19">
        <f>_xlfn.XLOOKUP("P103",A19:A23,C19:C23)</f>
        <v>99.99</v>
      </c>
    </row>
    <row r="20" spans="1:11" x14ac:dyDescent="0.3">
      <c r="A20" t="s">
        <v>479</v>
      </c>
      <c r="B20" t="s">
        <v>480</v>
      </c>
      <c r="C20">
        <v>34.5</v>
      </c>
      <c r="D20" t="s">
        <v>478</v>
      </c>
      <c r="F20" t="s">
        <v>488</v>
      </c>
      <c r="G20" s="19"/>
      <c r="H20" t="str">
        <f>_xlfn.XLOOKUP("Widget B",B19:B23,D19:D23)</f>
        <v>Tools</v>
      </c>
    </row>
    <row r="21" spans="1:11" x14ac:dyDescent="0.3">
      <c r="A21" t="s">
        <v>481</v>
      </c>
      <c r="B21" t="s">
        <v>482</v>
      </c>
      <c r="C21">
        <v>99.99</v>
      </c>
      <c r="D21" t="s">
        <v>159</v>
      </c>
      <c r="F21" t="s">
        <v>489</v>
      </c>
      <c r="G21" s="19"/>
      <c r="H21" t="str">
        <f>_xlfn.XLOOKUP("P999",A19:A23,B19:B23,"Not Found")</f>
        <v>Not Found</v>
      </c>
    </row>
    <row r="22" spans="1:11" x14ac:dyDescent="0.3">
      <c r="A22" t="s">
        <v>483</v>
      </c>
      <c r="B22" t="s">
        <v>484</v>
      </c>
      <c r="C22">
        <v>149.99</v>
      </c>
      <c r="D22" t="s">
        <v>159</v>
      </c>
      <c r="F22" t="s">
        <v>490</v>
      </c>
      <c r="G22" s="19"/>
      <c r="H22" t="str" cm="1">
        <f t="array" ref="H22:H24">_xlfn.UNIQUE(D19:D23)</f>
        <v>Tools</v>
      </c>
    </row>
    <row r="23" spans="1:11" x14ac:dyDescent="0.3">
      <c r="A23" t="s">
        <v>485</v>
      </c>
      <c r="B23" t="s">
        <v>486</v>
      </c>
      <c r="C23">
        <v>12.5</v>
      </c>
      <c r="D23" t="s">
        <v>367</v>
      </c>
      <c r="F23" t="s">
        <v>491</v>
      </c>
      <c r="G23" s="19"/>
      <c r="H23" t="str">
        <v>Electronics</v>
      </c>
    </row>
    <row r="24" spans="1:11" x14ac:dyDescent="0.3">
      <c r="F24" t="s">
        <v>492</v>
      </c>
      <c r="G24" s="19"/>
      <c r="H24" t="str">
        <v>Office</v>
      </c>
    </row>
    <row r="25" spans="1:11" x14ac:dyDescent="0.3">
      <c r="F25" t="s">
        <v>493</v>
      </c>
      <c r="G25" s="19"/>
      <c r="H25" t="str" cm="1">
        <f t="array" ref="H25:K26">_xlfn._xlws.FILTER(A19:D23,D19:D23="Electronics")</f>
        <v>P103</v>
      </c>
      <c r="I25" t="str">
        <v>Gadget X</v>
      </c>
      <c r="J25">
        <v>99.99</v>
      </c>
      <c r="K25" t="str">
        <v>Electronics</v>
      </c>
    </row>
    <row r="26" spans="1:11" x14ac:dyDescent="0.3">
      <c r="H26" t="str">
        <v>P104</v>
      </c>
      <c r="I26" t="str">
        <v>Gadget Y</v>
      </c>
      <c r="J26">
        <v>149.99</v>
      </c>
      <c r="K26" t="str">
        <v>Electronics</v>
      </c>
    </row>
    <row r="27" spans="1:11" x14ac:dyDescent="0.3">
      <c r="H27">
        <f>_xlfn.LET(_xlpm.price,100,_xlpm.rate,0.15,_xlpm.price*_xlpm.rate)</f>
        <v>15</v>
      </c>
    </row>
    <row r="29" spans="1:11" x14ac:dyDescent="0.3">
      <c r="H29" cm="1">
        <f t="array" ref="H29:H33">_xlfn.SEQUENCE(5,1,1,1)</f>
        <v>1</v>
      </c>
    </row>
    <row r="30" spans="1:11" x14ac:dyDescent="0.3">
      <c r="H30">
        <v>2</v>
      </c>
    </row>
    <row r="31" spans="1:11" x14ac:dyDescent="0.3">
      <c r="H31">
        <v>3</v>
      </c>
    </row>
    <row r="32" spans="1:11" x14ac:dyDescent="0.3">
      <c r="H32">
        <v>4</v>
      </c>
    </row>
    <row r="33" spans="1:8" x14ac:dyDescent="0.3">
      <c r="H33">
        <v>5</v>
      </c>
    </row>
    <row r="35" spans="1:8" x14ac:dyDescent="0.3">
      <c r="A35" s="21" t="s">
        <v>494</v>
      </c>
      <c r="B35" s="1"/>
      <c r="C35" s="1"/>
      <c r="D35" s="1"/>
      <c r="E35" s="1"/>
      <c r="F35" s="1"/>
      <c r="G35" s="1"/>
      <c r="H35" s="1"/>
    </row>
    <row r="36" spans="1:8" x14ac:dyDescent="0.3">
      <c r="A36" s="1" t="s">
        <v>495</v>
      </c>
      <c r="B36" s="1"/>
      <c r="C36" s="1"/>
      <c r="D36" s="1"/>
      <c r="E36" s="1"/>
      <c r="F36" s="1"/>
      <c r="G36" s="1"/>
      <c r="H36" s="1"/>
    </row>
    <row r="38" spans="1:8" x14ac:dyDescent="0.3">
      <c r="A38" s="6" t="s">
        <v>496</v>
      </c>
      <c r="B38" s="6" t="s">
        <v>497</v>
      </c>
    </row>
    <row r="39" spans="1:8" x14ac:dyDescent="0.3">
      <c r="A39" t="s">
        <v>498</v>
      </c>
      <c r="B39" s="19"/>
    </row>
    <row r="40" spans="1:8" x14ac:dyDescent="0.3">
      <c r="A40" t="s">
        <v>499</v>
      </c>
      <c r="B40" s="19"/>
    </row>
    <row r="41" spans="1:8" x14ac:dyDescent="0.3">
      <c r="A41" t="s">
        <v>500</v>
      </c>
      <c r="B41" s="19"/>
    </row>
    <row r="42" spans="1:8" x14ac:dyDescent="0.3">
      <c r="A42" t="s">
        <v>501</v>
      </c>
      <c r="B42" s="19"/>
    </row>
    <row r="43" spans="1:8" x14ac:dyDescent="0.3">
      <c r="A43" t="s">
        <v>502</v>
      </c>
      <c r="B43" s="19"/>
    </row>
    <row r="44" spans="1:8" x14ac:dyDescent="0.3">
      <c r="A44" t="s">
        <v>503</v>
      </c>
      <c r="B44" s="19"/>
    </row>
    <row r="45" spans="1:8" x14ac:dyDescent="0.3">
      <c r="A45" t="s">
        <v>504</v>
      </c>
      <c r="B45" s="19"/>
    </row>
    <row r="46" spans="1:8" x14ac:dyDescent="0.3">
      <c r="A46" t="s">
        <v>505</v>
      </c>
      <c r="B46" s="19"/>
    </row>
    <row r="47" spans="1:8" x14ac:dyDescent="0.3">
      <c r="A47" t="s">
        <v>506</v>
      </c>
      <c r="B47" s="19"/>
    </row>
    <row r="48" spans="1:8" x14ac:dyDescent="0.3">
      <c r="A48" t="s">
        <v>507</v>
      </c>
      <c r="B48" s="19"/>
      <c r="C48" s="22" t="s">
        <v>158</v>
      </c>
    </row>
    <row r="49" spans="1:8" x14ac:dyDescent="0.3">
      <c r="C49" s="23" t="s">
        <v>508</v>
      </c>
    </row>
    <row r="51" spans="1:8" x14ac:dyDescent="0.3">
      <c r="A51" s="16" t="s">
        <v>509</v>
      </c>
      <c r="B51" s="1"/>
      <c r="C51" s="1"/>
      <c r="D51" s="1"/>
      <c r="E51" s="1"/>
      <c r="F51" s="1"/>
      <c r="G51" s="1"/>
      <c r="H51" s="1"/>
    </row>
    <row r="52" spans="1:8" x14ac:dyDescent="0.3">
      <c r="A52" t="s">
        <v>510</v>
      </c>
    </row>
    <row r="53" spans="1:8" x14ac:dyDescent="0.3">
      <c r="A53" t="s">
        <v>511</v>
      </c>
    </row>
    <row r="54" spans="1:8" x14ac:dyDescent="0.3">
      <c r="A54" t="s">
        <v>512</v>
      </c>
    </row>
    <row r="55" spans="1:8" x14ac:dyDescent="0.3">
      <c r="A55" t="s">
        <v>513</v>
      </c>
    </row>
    <row r="56" spans="1:8" x14ac:dyDescent="0.3">
      <c r="A56" t="s">
        <v>514</v>
      </c>
    </row>
    <row r="57" spans="1:8" x14ac:dyDescent="0.3">
      <c r="A57" t="s">
        <v>515</v>
      </c>
    </row>
    <row r="58" spans="1:8" x14ac:dyDescent="0.3">
      <c r="A58" t="s">
        <v>516</v>
      </c>
    </row>
    <row r="60" spans="1:8" x14ac:dyDescent="0.3">
      <c r="A60" s="24" t="s">
        <v>517</v>
      </c>
      <c r="B60" s="24"/>
      <c r="C60" s="24"/>
      <c r="D60" s="24"/>
      <c r="E60" s="24"/>
      <c r="F60" s="24"/>
      <c r="G60" s="24"/>
      <c r="H60" s="24"/>
    </row>
    <row r="61" spans="1:8" x14ac:dyDescent="0.3">
      <c r="A61" s="4" t="s">
        <v>463</v>
      </c>
      <c r="B61" s="4" t="s">
        <v>524</v>
      </c>
    </row>
    <row r="62" spans="1:8" x14ac:dyDescent="0.3">
      <c r="A62" s="25" t="s">
        <v>518</v>
      </c>
      <c r="B62" s="25" t="s">
        <v>525</v>
      </c>
    </row>
    <row r="63" spans="1:8" x14ac:dyDescent="0.3">
      <c r="A63" s="25" t="s">
        <v>519</v>
      </c>
      <c r="B63" s="25" t="s">
        <v>526</v>
      </c>
    </row>
    <row r="64" spans="1:8" x14ac:dyDescent="0.3">
      <c r="A64" s="25" t="s">
        <v>520</v>
      </c>
      <c r="B64" s="25" t="s">
        <v>527</v>
      </c>
    </row>
    <row r="65" spans="1:2" x14ac:dyDescent="0.3">
      <c r="A65" s="25" t="s">
        <v>521</v>
      </c>
      <c r="B65" s="25" t="s">
        <v>528</v>
      </c>
    </row>
    <row r="66" spans="1:2" x14ac:dyDescent="0.3">
      <c r="A66" s="25" t="s">
        <v>523</v>
      </c>
      <c r="B66" s="25" t="s">
        <v>529</v>
      </c>
    </row>
    <row r="67" spans="1:2" x14ac:dyDescent="0.3">
      <c r="A67" s="25" t="s">
        <v>530</v>
      </c>
      <c r="B67" s="25" t="s">
        <v>531</v>
      </c>
    </row>
    <row r="68" spans="1:2" x14ac:dyDescent="0.3">
      <c r="A68" s="25" t="s">
        <v>532</v>
      </c>
      <c r="B68" s="25" t="s">
        <v>533</v>
      </c>
    </row>
    <row r="69" spans="1:2" x14ac:dyDescent="0.3">
      <c r="A69" s="25" t="s">
        <v>534</v>
      </c>
      <c r="B69" s="25" t="s">
        <v>535</v>
      </c>
    </row>
    <row r="70" spans="1:2" x14ac:dyDescent="0.3">
      <c r="A70" s="25" t="s">
        <v>536</v>
      </c>
      <c r="B70" s="25" t="s">
        <v>537</v>
      </c>
    </row>
    <row r="71" spans="1:2" x14ac:dyDescent="0.3">
      <c r="A71" s="25" t="s">
        <v>538</v>
      </c>
      <c r="B71" s="25" t="s">
        <v>539</v>
      </c>
    </row>
  </sheetData>
  <mergeCells count="8">
    <mergeCell ref="A51:H51"/>
    <mergeCell ref="A60:H60"/>
    <mergeCell ref="A1:H1"/>
    <mergeCell ref="A2:H2"/>
    <mergeCell ref="A4:H4"/>
    <mergeCell ref="A16:H16"/>
    <mergeCell ref="A35:H35"/>
    <mergeCell ref="A36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Table of Contents</vt:lpstr>
      <vt:lpstr>2. Intermediate Formulas</vt:lpstr>
      <vt:lpstr>3. Advanced Formulas</vt:lpstr>
      <vt:lpstr>4. Data Analysis Tools</vt:lpstr>
      <vt:lpstr>5. Advanced Features</vt:lpstr>
      <vt:lpstr>6. Case Study - Data</vt:lpstr>
      <vt:lpstr>7. Case Study - Analysis</vt:lpstr>
      <vt:lpstr>8. Practice 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2026-04-27T00:55:01Z</dcterms:created>
  <dcterms:modified xsi:type="dcterms:W3CDTF">2026-04-27T01:06:31Z</dcterms:modified>
</cp:coreProperties>
</file>